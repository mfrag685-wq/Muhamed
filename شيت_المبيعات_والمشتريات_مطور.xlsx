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اكسيل\"/>
    </mc:Choice>
  </mc:AlternateContent>
  <xr:revisionPtr revIDLastSave="0" documentId="13_ncr:1_{33F84CA7-1EDA-4EC6-A0CC-3C5A569486F3}" xr6:coauthVersionLast="47" xr6:coauthVersionMax="47" xr10:uidLastSave="{00000000-0000-0000-0000-000000000000}"/>
  <bookViews>
    <workbookView xWindow="-120" yWindow="-120" windowWidth="29040" windowHeight="15720" tabRatio="772" firstSheet="13" activeTab="33" xr2:uid="{00000000-000D-0000-FFFF-FFFF00000000}"/>
  </bookViews>
  <sheets>
    <sheet name="الإعدادات" sheetId="1" r:id="rId1"/>
    <sheet name="ملخص الشهر" sheetId="2" r:id="rId2"/>
    <sheet name="قائمة الأصناف" sheetId="3" r:id="rId3"/>
    <sheet name="يوم 1" sheetId="4" r:id="rId4"/>
    <sheet name="يوم 2" sheetId="5" r:id="rId5"/>
    <sheet name="يوم 3" sheetId="6" r:id="rId6"/>
    <sheet name="يوم 4" sheetId="7" r:id="rId7"/>
    <sheet name="يوم 5" sheetId="8" r:id="rId8"/>
    <sheet name="يوم 6" sheetId="9" r:id="rId9"/>
    <sheet name="يوم 7" sheetId="10" r:id="rId10"/>
    <sheet name="يوم 8" sheetId="11" r:id="rId11"/>
    <sheet name="يوم 9" sheetId="12" r:id="rId12"/>
    <sheet name="يوم 10" sheetId="13" r:id="rId13"/>
    <sheet name="يوم 11" sheetId="14" r:id="rId14"/>
    <sheet name="يوم 12" sheetId="15" r:id="rId15"/>
    <sheet name="يوم 13" sheetId="16" r:id="rId16"/>
    <sheet name="يوم 14" sheetId="17" r:id="rId17"/>
    <sheet name="يوم 15" sheetId="18" r:id="rId18"/>
    <sheet name="يوم 16" sheetId="19" r:id="rId19"/>
    <sheet name="يوم 17" sheetId="20" r:id="rId20"/>
    <sheet name="يوم 18" sheetId="21" r:id="rId21"/>
    <sheet name="يوم 19" sheetId="22" r:id="rId22"/>
    <sheet name="يوم 20" sheetId="23" r:id="rId23"/>
    <sheet name="يوم 21" sheetId="24" r:id="rId24"/>
    <sheet name="يوم 22" sheetId="25" r:id="rId25"/>
    <sheet name="يوم 23" sheetId="26" r:id="rId26"/>
    <sheet name="يوم 24" sheetId="27" r:id="rId27"/>
    <sheet name="يوم 25" sheetId="28" r:id="rId28"/>
    <sheet name="يوم 26" sheetId="29" r:id="rId29"/>
    <sheet name="يوم 27" sheetId="30" r:id="rId30"/>
    <sheet name="يوم 28" sheetId="31" r:id="rId31"/>
    <sheet name="يوم 29" sheetId="32" r:id="rId32"/>
    <sheet name="يوم 30" sheetId="33" r:id="rId33"/>
    <sheet name="يوم 31" sheetId="34" r:id="rId3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M50" i="34" l="1"/>
  <c r="C50" i="34"/>
  <c r="Z49" i="34"/>
  <c r="Y49" i="34"/>
  <c r="B49" i="34" s="1"/>
  <c r="O49" i="34"/>
  <c r="Q49" i="34" s="1"/>
  <c r="J49" i="34"/>
  <c r="I49" i="34"/>
  <c r="E49" i="34"/>
  <c r="G49" i="34" s="1"/>
  <c r="Z48" i="34"/>
  <c r="J48" i="34" s="1"/>
  <c r="Y48" i="34"/>
  <c r="B48" i="34" s="1"/>
  <c r="X48" i="34"/>
  <c r="W48" i="34"/>
  <c r="V48" i="34"/>
  <c r="U48" i="34"/>
  <c r="T48" i="34"/>
  <c r="S48" i="34"/>
  <c r="R48" i="34"/>
  <c r="O48" i="34"/>
  <c r="Q48" i="34" s="1"/>
  <c r="I48" i="34"/>
  <c r="G48" i="34"/>
  <c r="F48" i="34"/>
  <c r="E48" i="34"/>
  <c r="Z47" i="34"/>
  <c r="I47" i="34" s="1"/>
  <c r="Y47" i="34"/>
  <c r="W47" i="34" s="1"/>
  <c r="X47" i="34"/>
  <c r="V47" i="34"/>
  <c r="T47" i="34"/>
  <c r="S47" i="34"/>
  <c r="R47" i="34"/>
  <c r="Q47" i="34"/>
  <c r="P47" i="34"/>
  <c r="O47" i="34"/>
  <c r="E47" i="34"/>
  <c r="G47" i="34" s="1"/>
  <c r="B47" i="34"/>
  <c r="Z46" i="34"/>
  <c r="J46" i="34" s="1"/>
  <c r="Y46" i="34"/>
  <c r="W46" i="34" s="1"/>
  <c r="X46" i="34"/>
  <c r="V46" i="34"/>
  <c r="O46" i="34"/>
  <c r="F46" i="34"/>
  <c r="E46" i="34"/>
  <c r="G46" i="34" s="1"/>
  <c r="B46" i="34"/>
  <c r="Z45" i="34"/>
  <c r="J45" i="34" s="1"/>
  <c r="Y45" i="34"/>
  <c r="X45" i="34" s="1"/>
  <c r="T45" i="34"/>
  <c r="O45" i="34"/>
  <c r="Q45" i="34" s="1"/>
  <c r="I45" i="34"/>
  <c r="G45" i="34"/>
  <c r="E45" i="34"/>
  <c r="F45" i="34" s="1"/>
  <c r="Z44" i="34"/>
  <c r="J44" i="34" s="1"/>
  <c r="Y44" i="34"/>
  <c r="X44" i="34"/>
  <c r="W44" i="34"/>
  <c r="V44" i="34"/>
  <c r="U44" i="34"/>
  <c r="T44" i="34"/>
  <c r="O44" i="34"/>
  <c r="Q44" i="34" s="1"/>
  <c r="F44" i="34"/>
  <c r="E44" i="34"/>
  <c r="G44" i="34" s="1"/>
  <c r="Z43" i="34"/>
  <c r="J43" i="34" s="1"/>
  <c r="Y43" i="34"/>
  <c r="X43" i="34"/>
  <c r="W43" i="34"/>
  <c r="V43" i="34"/>
  <c r="U43" i="34"/>
  <c r="T43" i="34"/>
  <c r="S43" i="34"/>
  <c r="R43" i="34"/>
  <c r="P43" i="34"/>
  <c r="O43" i="34"/>
  <c r="Q43" i="34" s="1"/>
  <c r="E43" i="34"/>
  <c r="G43" i="34" s="1"/>
  <c r="B43" i="34"/>
  <c r="Z42" i="34"/>
  <c r="I42" i="34" s="1"/>
  <c r="Y42" i="34"/>
  <c r="W42" i="34" s="1"/>
  <c r="X42" i="34"/>
  <c r="U42" i="34"/>
  <c r="T42" i="34"/>
  <c r="S42" i="34"/>
  <c r="R42" i="34"/>
  <c r="Q42" i="34"/>
  <c r="P42" i="34"/>
  <c r="O42" i="34"/>
  <c r="J42" i="34"/>
  <c r="F42" i="34"/>
  <c r="E42" i="34"/>
  <c r="G42" i="34" s="1"/>
  <c r="Z41" i="34"/>
  <c r="I41" i="34" s="1"/>
  <c r="Y41" i="34"/>
  <c r="V41" i="34" s="1"/>
  <c r="X41" i="34"/>
  <c r="W41" i="34"/>
  <c r="Q41" i="34"/>
  <c r="P41" i="34"/>
  <c r="O41" i="34"/>
  <c r="J41" i="34"/>
  <c r="G41" i="34"/>
  <c r="E41" i="34"/>
  <c r="F41" i="34" s="1"/>
  <c r="Z40" i="34"/>
  <c r="Y40" i="34"/>
  <c r="B40" i="34" s="1"/>
  <c r="X40" i="34"/>
  <c r="W40" i="34"/>
  <c r="V40" i="34"/>
  <c r="U40" i="34"/>
  <c r="T40" i="34"/>
  <c r="S40" i="34"/>
  <c r="R40" i="34"/>
  <c r="Q40" i="34"/>
  <c r="P40" i="34"/>
  <c r="O40" i="34"/>
  <c r="J40" i="34"/>
  <c r="I40" i="34"/>
  <c r="E40" i="34"/>
  <c r="Z39" i="34"/>
  <c r="Y39" i="34"/>
  <c r="X39" i="34"/>
  <c r="W39" i="34"/>
  <c r="V39" i="34"/>
  <c r="U39" i="34"/>
  <c r="T39" i="34"/>
  <c r="S39" i="34"/>
  <c r="R39" i="34"/>
  <c r="O39" i="34"/>
  <c r="J39" i="34"/>
  <c r="I39" i="34"/>
  <c r="F39" i="34"/>
  <c r="E39" i="34"/>
  <c r="G39" i="34" s="1"/>
  <c r="B39" i="34"/>
  <c r="Z38" i="34"/>
  <c r="J38" i="34" s="1"/>
  <c r="Y38" i="34"/>
  <c r="W38" i="34" s="1"/>
  <c r="X38" i="34"/>
  <c r="V38" i="34"/>
  <c r="U38" i="34"/>
  <c r="T38" i="34"/>
  <c r="S38" i="34"/>
  <c r="R38" i="34"/>
  <c r="Q38" i="34"/>
  <c r="P38" i="34"/>
  <c r="O38" i="34"/>
  <c r="E38" i="34"/>
  <c r="G38" i="34" s="1"/>
  <c r="B38" i="34"/>
  <c r="Z37" i="34"/>
  <c r="I37" i="34" s="1"/>
  <c r="Y37" i="34"/>
  <c r="W37" i="34" s="1"/>
  <c r="X37" i="34"/>
  <c r="V37" i="34"/>
  <c r="T37" i="34"/>
  <c r="S37" i="34"/>
  <c r="R37" i="34"/>
  <c r="Q37" i="34"/>
  <c r="P37" i="34"/>
  <c r="O37" i="34"/>
  <c r="F37" i="34"/>
  <c r="E37" i="34"/>
  <c r="G37" i="34" s="1"/>
  <c r="B37" i="34"/>
  <c r="Z36" i="34"/>
  <c r="Y36" i="34"/>
  <c r="X36" i="34"/>
  <c r="V36" i="34"/>
  <c r="R36" i="34"/>
  <c r="O36" i="34"/>
  <c r="Q36" i="34" s="1"/>
  <c r="J36" i="34"/>
  <c r="I36" i="34"/>
  <c r="G36" i="34"/>
  <c r="E36" i="34"/>
  <c r="F36" i="34" s="1"/>
  <c r="B36" i="34"/>
  <c r="Z35" i="34"/>
  <c r="J35" i="34" s="1"/>
  <c r="Y35" i="34"/>
  <c r="P35" i="34"/>
  <c r="O35" i="34"/>
  <c r="Q35" i="34" s="1"/>
  <c r="E35" i="34"/>
  <c r="G35" i="34" s="1"/>
  <c r="Z34" i="34"/>
  <c r="I34" i="34" s="1"/>
  <c r="Y34" i="34"/>
  <c r="S34" i="34" s="1"/>
  <c r="X34" i="34"/>
  <c r="W34" i="34"/>
  <c r="R34" i="34"/>
  <c r="Q34" i="34"/>
  <c r="P34" i="34"/>
  <c r="O34" i="34"/>
  <c r="J34" i="34"/>
  <c r="E34" i="34"/>
  <c r="G34" i="34" s="1"/>
  <c r="Z33" i="34"/>
  <c r="Y33" i="34"/>
  <c r="X33" i="34"/>
  <c r="W33" i="34"/>
  <c r="V33" i="34"/>
  <c r="U33" i="34"/>
  <c r="T33" i="34"/>
  <c r="S33" i="34"/>
  <c r="R33" i="34"/>
  <c r="Q33" i="34"/>
  <c r="P33" i="34"/>
  <c r="O33" i="34"/>
  <c r="G33" i="34"/>
  <c r="E33" i="34"/>
  <c r="F33" i="34" s="1"/>
  <c r="B33" i="34"/>
  <c r="Z32" i="34"/>
  <c r="I32" i="34" s="1"/>
  <c r="Y32" i="34"/>
  <c r="X32" i="34" s="1"/>
  <c r="U32" i="34"/>
  <c r="S32" i="34"/>
  <c r="R32" i="34"/>
  <c r="Q32" i="34"/>
  <c r="P32" i="34"/>
  <c r="O32" i="34"/>
  <c r="J32" i="34"/>
  <c r="E32" i="34"/>
  <c r="Z31" i="34"/>
  <c r="I31" i="34" s="1"/>
  <c r="Y31" i="34"/>
  <c r="X31" i="34"/>
  <c r="W31" i="34"/>
  <c r="V31" i="34"/>
  <c r="S31" i="34"/>
  <c r="R31" i="34"/>
  <c r="O31" i="34"/>
  <c r="Q31" i="34" s="1"/>
  <c r="G31" i="34"/>
  <c r="E31" i="34"/>
  <c r="F31" i="34" s="1"/>
  <c r="Z30" i="34"/>
  <c r="Y30" i="34"/>
  <c r="B30" i="34" s="1"/>
  <c r="X30" i="34"/>
  <c r="W30" i="34"/>
  <c r="V30" i="34"/>
  <c r="U30" i="34"/>
  <c r="T30" i="34"/>
  <c r="S30" i="34"/>
  <c r="R30" i="34"/>
  <c r="O30" i="34"/>
  <c r="Q30" i="34" s="1"/>
  <c r="J30" i="34"/>
  <c r="I30" i="34"/>
  <c r="E30" i="34"/>
  <c r="F30" i="34" s="1"/>
  <c r="Z29" i="34"/>
  <c r="Y29" i="34"/>
  <c r="X29" i="34"/>
  <c r="W29" i="34"/>
  <c r="V29" i="34"/>
  <c r="U29" i="34"/>
  <c r="T29" i="34"/>
  <c r="S29" i="34"/>
  <c r="R29" i="34"/>
  <c r="O29" i="34"/>
  <c r="J29" i="34"/>
  <c r="I29" i="34"/>
  <c r="E29" i="34"/>
  <c r="G29" i="34" s="1"/>
  <c r="B29" i="34"/>
  <c r="Z28" i="34"/>
  <c r="Y28" i="34"/>
  <c r="W28" i="34" s="1"/>
  <c r="X28" i="34"/>
  <c r="V28" i="34"/>
  <c r="U28" i="34"/>
  <c r="T28" i="34"/>
  <c r="S28" i="34"/>
  <c r="R28" i="34"/>
  <c r="Q28" i="34"/>
  <c r="P28" i="34"/>
  <c r="O28" i="34"/>
  <c r="E28" i="34"/>
  <c r="B28" i="34"/>
  <c r="Z27" i="34"/>
  <c r="I27" i="34" s="1"/>
  <c r="Y27" i="34"/>
  <c r="W27" i="34" s="1"/>
  <c r="X27" i="34"/>
  <c r="V27" i="34"/>
  <c r="T27" i="34"/>
  <c r="R27" i="34"/>
  <c r="O27" i="34"/>
  <c r="Q27" i="34" s="1"/>
  <c r="F27" i="34"/>
  <c r="E27" i="34"/>
  <c r="G27" i="34" s="1"/>
  <c r="B27" i="34"/>
  <c r="Z26" i="34"/>
  <c r="Y26" i="34"/>
  <c r="X26" i="34"/>
  <c r="V26" i="34"/>
  <c r="R26" i="34"/>
  <c r="P26" i="34"/>
  <c r="O26" i="34"/>
  <c r="Q26" i="34" s="1"/>
  <c r="J26" i="34"/>
  <c r="I26" i="34"/>
  <c r="G26" i="34"/>
  <c r="E26" i="34"/>
  <c r="F26" i="34" s="1"/>
  <c r="B26" i="34"/>
  <c r="Z25" i="34"/>
  <c r="J25" i="34" s="1"/>
  <c r="Y25" i="34"/>
  <c r="X25" i="34"/>
  <c r="W25" i="34"/>
  <c r="V25" i="34"/>
  <c r="T25" i="34"/>
  <c r="P25" i="34"/>
  <c r="O25" i="34"/>
  <c r="Q25" i="34" s="1"/>
  <c r="E25" i="34"/>
  <c r="G25" i="34" s="1"/>
  <c r="Z24" i="34"/>
  <c r="I24" i="34" s="1"/>
  <c r="Y24" i="34"/>
  <c r="S24" i="34" s="1"/>
  <c r="U24" i="34"/>
  <c r="T24" i="34"/>
  <c r="Q24" i="34"/>
  <c r="P24" i="34"/>
  <c r="O24" i="34"/>
  <c r="J24" i="34"/>
  <c r="G24" i="34"/>
  <c r="E24" i="34"/>
  <c r="F24" i="34" s="1"/>
  <c r="Z23" i="34"/>
  <c r="Y23" i="34"/>
  <c r="X23" i="34"/>
  <c r="W23" i="34"/>
  <c r="V23" i="34"/>
  <c r="U23" i="34"/>
  <c r="T23" i="34"/>
  <c r="S23" i="34"/>
  <c r="R23" i="34"/>
  <c r="P23" i="34"/>
  <c r="O23" i="34"/>
  <c r="Q23" i="34" s="1"/>
  <c r="G23" i="34"/>
  <c r="E23" i="34"/>
  <c r="F23" i="34" s="1"/>
  <c r="B23" i="34"/>
  <c r="Z22" i="34"/>
  <c r="I22" i="34" s="1"/>
  <c r="Y22" i="34"/>
  <c r="U22" i="34" s="1"/>
  <c r="X22" i="34"/>
  <c r="T22" i="34"/>
  <c r="S22" i="34"/>
  <c r="R22" i="34"/>
  <c r="Q22" i="34"/>
  <c r="P22" i="34"/>
  <c r="O22" i="34"/>
  <c r="J22" i="34"/>
  <c r="E22" i="34"/>
  <c r="Z21" i="34"/>
  <c r="I21" i="34" s="1"/>
  <c r="Y21" i="34"/>
  <c r="X21" i="34"/>
  <c r="W21" i="34"/>
  <c r="V21" i="34"/>
  <c r="S21" i="34"/>
  <c r="P21" i="34"/>
  <c r="O21" i="34"/>
  <c r="Q21" i="34" s="1"/>
  <c r="G21" i="34"/>
  <c r="E21" i="34"/>
  <c r="F21" i="34" s="1"/>
  <c r="Z20" i="34"/>
  <c r="I20" i="34" s="1"/>
  <c r="Y20" i="34"/>
  <c r="X20" i="34"/>
  <c r="W20" i="34"/>
  <c r="V20" i="34"/>
  <c r="U20" i="34"/>
  <c r="T20" i="34"/>
  <c r="S20" i="34"/>
  <c r="R20" i="34"/>
  <c r="O20" i="34"/>
  <c r="J20" i="34"/>
  <c r="E20" i="34"/>
  <c r="F20" i="34" s="1"/>
  <c r="B20" i="34"/>
  <c r="Z19" i="34"/>
  <c r="Y19" i="34"/>
  <c r="X19" i="34"/>
  <c r="W19" i="34"/>
  <c r="V19" i="34"/>
  <c r="U19" i="34"/>
  <c r="T19" i="34"/>
  <c r="S19" i="34"/>
  <c r="R19" i="34"/>
  <c r="O19" i="34"/>
  <c r="J19" i="34"/>
  <c r="I19" i="34"/>
  <c r="E19" i="34"/>
  <c r="B19" i="34"/>
  <c r="Z18" i="34"/>
  <c r="J18" i="34" s="1"/>
  <c r="Y18" i="34"/>
  <c r="W18" i="34" s="1"/>
  <c r="X18" i="34"/>
  <c r="V18" i="34"/>
  <c r="T18" i="34"/>
  <c r="S18" i="34"/>
  <c r="R18" i="34"/>
  <c r="Q18" i="34"/>
  <c r="P18" i="34"/>
  <c r="O18" i="34"/>
  <c r="I18" i="34"/>
  <c r="F18" i="34"/>
  <c r="E18" i="34"/>
  <c r="G18" i="34" s="1"/>
  <c r="B18" i="34"/>
  <c r="Z17" i="34"/>
  <c r="I17" i="34" s="1"/>
  <c r="Y17" i="34"/>
  <c r="U17" i="34" s="1"/>
  <c r="X17" i="34"/>
  <c r="W17" i="34"/>
  <c r="V17" i="34"/>
  <c r="T17" i="34"/>
  <c r="R17" i="34"/>
  <c r="O17" i="34"/>
  <c r="Q17" i="34" s="1"/>
  <c r="E17" i="34"/>
  <c r="G17" i="34" s="1"/>
  <c r="B17" i="34"/>
  <c r="Z16" i="34"/>
  <c r="J16" i="34" s="1"/>
  <c r="Y16" i="34"/>
  <c r="X16" i="34"/>
  <c r="V16" i="34"/>
  <c r="R16" i="34"/>
  <c r="O16" i="34"/>
  <c r="Q16" i="34" s="1"/>
  <c r="I16" i="34"/>
  <c r="G16" i="34"/>
  <c r="E16" i="34"/>
  <c r="F16" i="34" s="1"/>
  <c r="Z15" i="34"/>
  <c r="Y15" i="34"/>
  <c r="X15" i="34" s="1"/>
  <c r="W15" i="34"/>
  <c r="T15" i="34"/>
  <c r="P15" i="34"/>
  <c r="O15" i="34"/>
  <c r="Q15" i="34" s="1"/>
  <c r="J15" i="34"/>
  <c r="I15" i="34"/>
  <c r="F15" i="34"/>
  <c r="E15" i="34"/>
  <c r="G15" i="34" s="1"/>
  <c r="Z14" i="34"/>
  <c r="I14" i="34" s="1"/>
  <c r="Y14" i="34"/>
  <c r="S14" i="34" s="1"/>
  <c r="X14" i="34"/>
  <c r="W14" i="34"/>
  <c r="V14" i="34"/>
  <c r="U14" i="34"/>
  <c r="Q14" i="34"/>
  <c r="P14" i="34"/>
  <c r="O14" i="34"/>
  <c r="J14" i="34"/>
  <c r="E14" i="34"/>
  <c r="G14" i="34" s="1"/>
  <c r="B14" i="34"/>
  <c r="Z13" i="34"/>
  <c r="Y13" i="34"/>
  <c r="X13" i="34"/>
  <c r="W13" i="34"/>
  <c r="V13" i="34"/>
  <c r="U13" i="34"/>
  <c r="T13" i="34"/>
  <c r="S13" i="34"/>
  <c r="R13" i="34"/>
  <c r="P13" i="34"/>
  <c r="O13" i="34"/>
  <c r="Q13" i="34" s="1"/>
  <c r="E13" i="34"/>
  <c r="F13" i="34" s="1"/>
  <c r="B13" i="34"/>
  <c r="Z12" i="34"/>
  <c r="I12" i="34" s="1"/>
  <c r="Y12" i="34"/>
  <c r="X12" i="34"/>
  <c r="U12" i="34"/>
  <c r="T12" i="34"/>
  <c r="S12" i="34"/>
  <c r="R12" i="34"/>
  <c r="Q12" i="34"/>
  <c r="P12" i="34"/>
  <c r="O12" i="34"/>
  <c r="J12" i="34"/>
  <c r="E12" i="34"/>
  <c r="Z11" i="34"/>
  <c r="I11" i="34" s="1"/>
  <c r="Y11" i="34"/>
  <c r="W11" i="34" s="1"/>
  <c r="X11" i="34"/>
  <c r="Q11" i="34"/>
  <c r="P11" i="34"/>
  <c r="O11" i="34"/>
  <c r="G11" i="34"/>
  <c r="E11" i="34"/>
  <c r="F11" i="34" s="1"/>
  <c r="Z10" i="34"/>
  <c r="J10" i="34" s="1"/>
  <c r="Y10" i="34"/>
  <c r="X10" i="34"/>
  <c r="W10" i="34"/>
  <c r="V10" i="34"/>
  <c r="U10" i="34"/>
  <c r="T10" i="34"/>
  <c r="S10" i="34"/>
  <c r="R10" i="34"/>
  <c r="Q10" i="34"/>
  <c r="P10" i="34"/>
  <c r="O10" i="34"/>
  <c r="E10" i="34"/>
  <c r="F10" i="34" s="1"/>
  <c r="B10" i="34"/>
  <c r="Z9" i="34"/>
  <c r="Y9" i="34"/>
  <c r="X9" i="34"/>
  <c r="W9" i="34"/>
  <c r="V9" i="34"/>
  <c r="U9" i="34"/>
  <c r="T9" i="34"/>
  <c r="S9" i="34"/>
  <c r="R9" i="34"/>
  <c r="O9" i="34"/>
  <c r="J9" i="34"/>
  <c r="I9" i="34"/>
  <c r="G9" i="34"/>
  <c r="F9" i="34"/>
  <c r="E9" i="34"/>
  <c r="B9" i="34"/>
  <c r="Z8" i="34"/>
  <c r="J8" i="34" s="1"/>
  <c r="Y8" i="34"/>
  <c r="W8" i="34" s="1"/>
  <c r="X8" i="34"/>
  <c r="V8" i="34"/>
  <c r="T8" i="34"/>
  <c r="S8" i="34"/>
  <c r="R8" i="34"/>
  <c r="Q8" i="34"/>
  <c r="P8" i="34"/>
  <c r="O8" i="34"/>
  <c r="I8" i="34"/>
  <c r="G8" i="34"/>
  <c r="E8" i="34"/>
  <c r="F8" i="34" s="1"/>
  <c r="B8" i="34"/>
  <c r="Z7" i="34"/>
  <c r="I7" i="34" s="1"/>
  <c r="Y7" i="34"/>
  <c r="U7" i="34" s="1"/>
  <c r="X7" i="34"/>
  <c r="W7" i="34"/>
  <c r="V7" i="34"/>
  <c r="T7" i="34"/>
  <c r="R7" i="34"/>
  <c r="Q7" i="34"/>
  <c r="O7" i="34"/>
  <c r="P7" i="34" s="1"/>
  <c r="E7" i="34"/>
  <c r="G7" i="34" s="1"/>
  <c r="B7" i="34"/>
  <c r="Z6" i="34"/>
  <c r="I6" i="34" s="1"/>
  <c r="Y6" i="34"/>
  <c r="O6" i="34"/>
  <c r="Q6" i="34" s="1"/>
  <c r="J6" i="34"/>
  <c r="G6" i="34"/>
  <c r="E6" i="34"/>
  <c r="F6" i="34" s="1"/>
  <c r="Z5" i="34"/>
  <c r="Y5" i="34"/>
  <c r="X5" i="34" s="1"/>
  <c r="T5" i="34"/>
  <c r="P5" i="34"/>
  <c r="O5" i="34"/>
  <c r="J5" i="34"/>
  <c r="I5" i="34"/>
  <c r="G5" i="34"/>
  <c r="E5" i="34"/>
  <c r="M50" i="33"/>
  <c r="C50" i="33"/>
  <c r="Z49" i="33"/>
  <c r="I49" i="33" s="1"/>
  <c r="Y49" i="33"/>
  <c r="X49" i="33"/>
  <c r="W49" i="33"/>
  <c r="V49" i="33"/>
  <c r="S49" i="33"/>
  <c r="R49" i="33"/>
  <c r="Q49" i="33"/>
  <c r="O49" i="33"/>
  <c r="P49" i="33" s="1"/>
  <c r="J49" i="33"/>
  <c r="G49" i="33"/>
  <c r="E49" i="33"/>
  <c r="F49" i="33" s="1"/>
  <c r="Z48" i="33"/>
  <c r="Y48" i="33"/>
  <c r="X48" i="33"/>
  <c r="W48" i="33"/>
  <c r="V48" i="33"/>
  <c r="U48" i="33"/>
  <c r="T48" i="33"/>
  <c r="S48" i="33"/>
  <c r="R48" i="33"/>
  <c r="O48" i="33"/>
  <c r="Q48" i="33" s="1"/>
  <c r="J48" i="33"/>
  <c r="I48" i="33"/>
  <c r="G48" i="33"/>
  <c r="E48" i="33"/>
  <c r="F48" i="33" s="1"/>
  <c r="B48" i="33"/>
  <c r="Z47" i="33"/>
  <c r="Y47" i="33"/>
  <c r="X47" i="33"/>
  <c r="W47" i="33"/>
  <c r="V47" i="33"/>
  <c r="U47" i="33"/>
  <c r="T47" i="33"/>
  <c r="S47" i="33"/>
  <c r="R47" i="33"/>
  <c r="O47" i="33"/>
  <c r="J47" i="33"/>
  <c r="I47" i="33"/>
  <c r="E47" i="33"/>
  <c r="G47" i="33" s="1"/>
  <c r="B47" i="33"/>
  <c r="Z46" i="33"/>
  <c r="Y46" i="33"/>
  <c r="W46" i="33" s="1"/>
  <c r="X46" i="33"/>
  <c r="V46" i="33"/>
  <c r="T46" i="33"/>
  <c r="S46" i="33"/>
  <c r="R46" i="33"/>
  <c r="Q46" i="33"/>
  <c r="P46" i="33"/>
  <c r="O46" i="33"/>
  <c r="G46" i="33"/>
  <c r="F46" i="33"/>
  <c r="E46" i="33"/>
  <c r="B46" i="33"/>
  <c r="Z45" i="33"/>
  <c r="I45" i="33" s="1"/>
  <c r="Y45" i="33"/>
  <c r="U45" i="33" s="1"/>
  <c r="X45" i="33"/>
  <c r="W45" i="33"/>
  <c r="V45" i="33"/>
  <c r="T45" i="33"/>
  <c r="R45" i="33"/>
  <c r="O45" i="33"/>
  <c r="Q45" i="33" s="1"/>
  <c r="J45" i="33"/>
  <c r="F45" i="33"/>
  <c r="E45" i="33"/>
  <c r="G45" i="33" s="1"/>
  <c r="B45" i="33"/>
  <c r="Z44" i="33"/>
  <c r="Y44" i="33"/>
  <c r="X44" i="33" s="1"/>
  <c r="V44" i="33"/>
  <c r="O44" i="33"/>
  <c r="Q44" i="33" s="1"/>
  <c r="J44" i="33"/>
  <c r="I44" i="33"/>
  <c r="G44" i="33"/>
  <c r="E44" i="33"/>
  <c r="F44" i="33" s="1"/>
  <c r="B44" i="33"/>
  <c r="Z43" i="33"/>
  <c r="J43" i="33" s="1"/>
  <c r="Y43" i="33"/>
  <c r="X43" i="33"/>
  <c r="W43" i="33"/>
  <c r="V43" i="33"/>
  <c r="T43" i="33"/>
  <c r="P43" i="33"/>
  <c r="O43" i="33"/>
  <c r="Q43" i="33" s="1"/>
  <c r="G43" i="33"/>
  <c r="F43" i="33"/>
  <c r="E43" i="33"/>
  <c r="Z42" i="33"/>
  <c r="I42" i="33" s="1"/>
  <c r="Y42" i="33"/>
  <c r="S42" i="33" s="1"/>
  <c r="X42" i="33"/>
  <c r="W42" i="33"/>
  <c r="V42" i="33"/>
  <c r="U42" i="33"/>
  <c r="T42" i="33"/>
  <c r="R42" i="33"/>
  <c r="Q42" i="33"/>
  <c r="P42" i="33"/>
  <c r="O42" i="33"/>
  <c r="J42" i="33"/>
  <c r="G42" i="33"/>
  <c r="F42" i="33"/>
  <c r="E42" i="33"/>
  <c r="Z41" i="33"/>
  <c r="Y41" i="33"/>
  <c r="X41" i="33"/>
  <c r="W41" i="33"/>
  <c r="V41" i="33"/>
  <c r="U41" i="33"/>
  <c r="T41" i="33"/>
  <c r="S41" i="33"/>
  <c r="R41" i="33"/>
  <c r="P41" i="33"/>
  <c r="O41" i="33"/>
  <c r="Q41" i="33" s="1"/>
  <c r="G41" i="33"/>
  <c r="E41" i="33"/>
  <c r="F41" i="33" s="1"/>
  <c r="B41" i="33"/>
  <c r="Z40" i="33"/>
  <c r="Y40" i="33"/>
  <c r="Q40" i="33"/>
  <c r="P40" i="33"/>
  <c r="O40" i="33"/>
  <c r="E40" i="33"/>
  <c r="Z39" i="33"/>
  <c r="I39" i="33" s="1"/>
  <c r="Y39" i="33"/>
  <c r="W39" i="33" s="1"/>
  <c r="X39" i="33"/>
  <c r="V39" i="33"/>
  <c r="S39" i="33"/>
  <c r="O39" i="33"/>
  <c r="Q39" i="33" s="1"/>
  <c r="J39" i="33"/>
  <c r="G39" i="33"/>
  <c r="E39" i="33"/>
  <c r="F39" i="33" s="1"/>
  <c r="Z38" i="33"/>
  <c r="Y38" i="33"/>
  <c r="X38" i="33"/>
  <c r="W38" i="33"/>
  <c r="V38" i="33"/>
  <c r="U38" i="33"/>
  <c r="T38" i="33"/>
  <c r="S38" i="33"/>
  <c r="R38" i="33"/>
  <c r="O38" i="33"/>
  <c r="J38" i="33"/>
  <c r="I38" i="33"/>
  <c r="E38" i="33"/>
  <c r="B38" i="33"/>
  <c r="Z37" i="33"/>
  <c r="Y37" i="33"/>
  <c r="X37" i="33"/>
  <c r="W37" i="33"/>
  <c r="V37" i="33"/>
  <c r="U37" i="33"/>
  <c r="T37" i="33"/>
  <c r="S37" i="33"/>
  <c r="R37" i="33"/>
  <c r="O37" i="33"/>
  <c r="J37" i="33"/>
  <c r="I37" i="33"/>
  <c r="E37" i="33"/>
  <c r="B37" i="33"/>
  <c r="Z36" i="33"/>
  <c r="J36" i="33" s="1"/>
  <c r="Y36" i="33"/>
  <c r="W36" i="33" s="1"/>
  <c r="X36" i="33"/>
  <c r="V36" i="33"/>
  <c r="T36" i="33"/>
  <c r="S36" i="33"/>
  <c r="R36" i="33"/>
  <c r="Q36" i="33"/>
  <c r="P36" i="33"/>
  <c r="O36" i="33"/>
  <c r="E36" i="33"/>
  <c r="G36" i="33" s="1"/>
  <c r="B36" i="33"/>
  <c r="Z35" i="33"/>
  <c r="I35" i="33" s="1"/>
  <c r="Y35" i="33"/>
  <c r="U35" i="33" s="1"/>
  <c r="X35" i="33"/>
  <c r="W35" i="33"/>
  <c r="V35" i="33"/>
  <c r="T35" i="33"/>
  <c r="R35" i="33"/>
  <c r="O35" i="33"/>
  <c r="F35" i="33"/>
  <c r="E35" i="33"/>
  <c r="G35" i="33" s="1"/>
  <c r="B35" i="33"/>
  <c r="Z34" i="33"/>
  <c r="Y34" i="33"/>
  <c r="X34" i="33" s="1"/>
  <c r="O34" i="33"/>
  <c r="Q34" i="33" s="1"/>
  <c r="J34" i="33"/>
  <c r="I34" i="33"/>
  <c r="G34" i="33"/>
  <c r="E34" i="33"/>
  <c r="F34" i="33" s="1"/>
  <c r="B34" i="33"/>
  <c r="Z33" i="33"/>
  <c r="J33" i="33" s="1"/>
  <c r="Y33" i="33"/>
  <c r="P33" i="33"/>
  <c r="O33" i="33"/>
  <c r="Q33" i="33" s="1"/>
  <c r="E33" i="33"/>
  <c r="G33" i="33" s="1"/>
  <c r="Z32" i="33"/>
  <c r="I32" i="33" s="1"/>
  <c r="Y32" i="33"/>
  <c r="S32" i="33" s="1"/>
  <c r="X32" i="33"/>
  <c r="V32" i="33"/>
  <c r="U32" i="33"/>
  <c r="Q32" i="33"/>
  <c r="P32" i="33"/>
  <c r="O32" i="33"/>
  <c r="J32" i="33"/>
  <c r="E32" i="33"/>
  <c r="G32" i="33" s="1"/>
  <c r="Z31" i="33"/>
  <c r="Y31" i="33"/>
  <c r="X31" i="33"/>
  <c r="W31" i="33"/>
  <c r="V31" i="33"/>
  <c r="U31" i="33"/>
  <c r="T31" i="33"/>
  <c r="S31" i="33"/>
  <c r="R31" i="33"/>
  <c r="P31" i="33"/>
  <c r="O31" i="33"/>
  <c r="Q31" i="33" s="1"/>
  <c r="E31" i="33"/>
  <c r="B31" i="33"/>
  <c r="Z30" i="33"/>
  <c r="Y30" i="33"/>
  <c r="Q30" i="33"/>
  <c r="P30" i="33"/>
  <c r="O30" i="33"/>
  <c r="E30" i="33"/>
  <c r="Z29" i="33"/>
  <c r="I29" i="33" s="1"/>
  <c r="Y29" i="33"/>
  <c r="V29" i="33" s="1"/>
  <c r="X29" i="33"/>
  <c r="W29" i="33"/>
  <c r="R29" i="33"/>
  <c r="Q29" i="33"/>
  <c r="P29" i="33"/>
  <c r="O29" i="33"/>
  <c r="G29" i="33"/>
  <c r="E29" i="33"/>
  <c r="F29" i="33" s="1"/>
  <c r="Z28" i="33"/>
  <c r="Y28" i="33"/>
  <c r="X28" i="33"/>
  <c r="W28" i="33"/>
  <c r="V28" i="33"/>
  <c r="U28" i="33"/>
  <c r="T28" i="33"/>
  <c r="S28" i="33"/>
  <c r="R28" i="33"/>
  <c r="Q28" i="33"/>
  <c r="P28" i="33"/>
  <c r="O28" i="33"/>
  <c r="J28" i="33"/>
  <c r="I28" i="33"/>
  <c r="E28" i="33"/>
  <c r="B28" i="33"/>
  <c r="Z27" i="33"/>
  <c r="Y27" i="33"/>
  <c r="X27" i="33"/>
  <c r="W27" i="33"/>
  <c r="V27" i="33"/>
  <c r="U27" i="33"/>
  <c r="T27" i="33"/>
  <c r="S27" i="33"/>
  <c r="R27" i="33"/>
  <c r="O27" i="33"/>
  <c r="J27" i="33"/>
  <c r="I27" i="33"/>
  <c r="G27" i="33"/>
  <c r="F27" i="33"/>
  <c r="E27" i="33"/>
  <c r="B27" i="33"/>
  <c r="Z26" i="33"/>
  <c r="Y26" i="33"/>
  <c r="W26" i="33" s="1"/>
  <c r="X26" i="33"/>
  <c r="V26" i="33"/>
  <c r="T26" i="33"/>
  <c r="S26" i="33"/>
  <c r="R26" i="33"/>
  <c r="Q26" i="33"/>
  <c r="P26" i="33"/>
  <c r="O26" i="33"/>
  <c r="E26" i="33"/>
  <c r="G26" i="33" s="1"/>
  <c r="B26" i="33"/>
  <c r="Z25" i="33"/>
  <c r="I25" i="33" s="1"/>
  <c r="Y25" i="33"/>
  <c r="U25" i="33" s="1"/>
  <c r="X25" i="33"/>
  <c r="W25" i="33"/>
  <c r="V25" i="33"/>
  <c r="T25" i="33"/>
  <c r="R25" i="33"/>
  <c r="Q25" i="33"/>
  <c r="P25" i="33"/>
  <c r="O25" i="33"/>
  <c r="F25" i="33"/>
  <c r="E25" i="33"/>
  <c r="G25" i="33" s="1"/>
  <c r="B25" i="33"/>
  <c r="Z24" i="33"/>
  <c r="Y24" i="33"/>
  <c r="X24" i="33"/>
  <c r="V24" i="33"/>
  <c r="R24" i="33"/>
  <c r="P24" i="33"/>
  <c r="O24" i="33"/>
  <c r="Q24" i="33" s="1"/>
  <c r="J24" i="33"/>
  <c r="I24" i="33"/>
  <c r="G24" i="33"/>
  <c r="E24" i="33"/>
  <c r="F24" i="33" s="1"/>
  <c r="B24" i="33"/>
  <c r="Z23" i="33"/>
  <c r="Y23" i="33"/>
  <c r="P23" i="33"/>
  <c r="O23" i="33"/>
  <c r="Q23" i="33" s="1"/>
  <c r="E23" i="33"/>
  <c r="G23" i="33" s="1"/>
  <c r="Z22" i="33"/>
  <c r="I22" i="33" s="1"/>
  <c r="Y22" i="33"/>
  <c r="S22" i="33" s="1"/>
  <c r="X22" i="33"/>
  <c r="W22" i="33"/>
  <c r="T22" i="33"/>
  <c r="R22" i="33"/>
  <c r="Q22" i="33"/>
  <c r="P22" i="33"/>
  <c r="O22" i="33"/>
  <c r="J22" i="33"/>
  <c r="E22" i="33"/>
  <c r="G22" i="33" s="1"/>
  <c r="Z21" i="33"/>
  <c r="Y21" i="33"/>
  <c r="X21" i="33"/>
  <c r="W21" i="33"/>
  <c r="V21" i="33"/>
  <c r="U21" i="33"/>
  <c r="T21" i="33"/>
  <c r="S21" i="33"/>
  <c r="R21" i="33"/>
  <c r="P21" i="33"/>
  <c r="O21" i="33"/>
  <c r="Q21" i="33" s="1"/>
  <c r="E21" i="33"/>
  <c r="B21" i="33"/>
  <c r="Z20" i="33"/>
  <c r="I20" i="33" s="1"/>
  <c r="Y20" i="33"/>
  <c r="S20" i="33" s="1"/>
  <c r="X20" i="33"/>
  <c r="U20" i="33"/>
  <c r="T20" i="33"/>
  <c r="R20" i="33"/>
  <c r="Q20" i="33"/>
  <c r="P20" i="33"/>
  <c r="O20" i="33"/>
  <c r="J20" i="33"/>
  <c r="E20" i="33"/>
  <c r="Z19" i="33"/>
  <c r="Y19" i="33"/>
  <c r="X19" i="33" s="1"/>
  <c r="V19" i="33"/>
  <c r="S19" i="33"/>
  <c r="R19" i="33"/>
  <c r="Q19" i="33"/>
  <c r="P19" i="33"/>
  <c r="O19" i="33"/>
  <c r="G19" i="33"/>
  <c r="E19" i="33"/>
  <c r="F19" i="33" s="1"/>
  <c r="Z18" i="33"/>
  <c r="Y18" i="33"/>
  <c r="X18" i="33"/>
  <c r="W18" i="33"/>
  <c r="V18" i="33"/>
  <c r="U18" i="33"/>
  <c r="T18" i="33"/>
  <c r="S18" i="33"/>
  <c r="R18" i="33"/>
  <c r="O18" i="33"/>
  <c r="J18" i="33"/>
  <c r="I18" i="33"/>
  <c r="G18" i="33"/>
  <c r="E18" i="33"/>
  <c r="F18" i="33" s="1"/>
  <c r="B18" i="33"/>
  <c r="Z17" i="33"/>
  <c r="Y17" i="33"/>
  <c r="X17" i="33"/>
  <c r="W17" i="33"/>
  <c r="V17" i="33"/>
  <c r="U17" i="33"/>
  <c r="T17" i="33"/>
  <c r="S17" i="33"/>
  <c r="R17" i="33"/>
  <c r="O17" i="33"/>
  <c r="J17" i="33"/>
  <c r="I17" i="33"/>
  <c r="E17" i="33"/>
  <c r="B17" i="33"/>
  <c r="Z16" i="33"/>
  <c r="Y16" i="33"/>
  <c r="W16" i="33" s="1"/>
  <c r="X16" i="33"/>
  <c r="V16" i="33"/>
  <c r="T16" i="33"/>
  <c r="S16" i="33"/>
  <c r="R16" i="33"/>
  <c r="Q16" i="33"/>
  <c r="P16" i="33"/>
  <c r="O16" i="33"/>
  <c r="F16" i="33"/>
  <c r="E16" i="33"/>
  <c r="G16" i="33" s="1"/>
  <c r="B16" i="33"/>
  <c r="Z15" i="33"/>
  <c r="I15" i="33" s="1"/>
  <c r="Y15" i="33"/>
  <c r="U15" i="33" s="1"/>
  <c r="X15" i="33"/>
  <c r="W15" i="33"/>
  <c r="V15" i="33"/>
  <c r="T15" i="33"/>
  <c r="R15" i="33"/>
  <c r="O15" i="33"/>
  <c r="Q15" i="33" s="1"/>
  <c r="F15" i="33"/>
  <c r="E15" i="33"/>
  <c r="G15" i="33" s="1"/>
  <c r="B15" i="33"/>
  <c r="Z14" i="33"/>
  <c r="Y14" i="33"/>
  <c r="X14" i="33"/>
  <c r="V14" i="33"/>
  <c r="R14" i="33"/>
  <c r="P14" i="33"/>
  <c r="O14" i="33"/>
  <c r="Q14" i="33" s="1"/>
  <c r="J14" i="33"/>
  <c r="I14" i="33"/>
  <c r="G14" i="33"/>
  <c r="E14" i="33"/>
  <c r="F14" i="33" s="1"/>
  <c r="B14" i="33"/>
  <c r="Z13" i="33"/>
  <c r="J13" i="33" s="1"/>
  <c r="Y13" i="33"/>
  <c r="P13" i="33"/>
  <c r="O13" i="33"/>
  <c r="Q13" i="33" s="1"/>
  <c r="F13" i="33"/>
  <c r="E13" i="33"/>
  <c r="Z12" i="33"/>
  <c r="Y12" i="33"/>
  <c r="Q12" i="33"/>
  <c r="P12" i="33"/>
  <c r="O12" i="33"/>
  <c r="E12" i="33"/>
  <c r="F12" i="33" s="1"/>
  <c r="G12" i="33" s="1"/>
  <c r="Z11" i="33"/>
  <c r="Y11" i="33"/>
  <c r="P11" i="33"/>
  <c r="O11" i="33"/>
  <c r="Q11" i="33" s="1"/>
  <c r="G11" i="33"/>
  <c r="E11" i="33"/>
  <c r="F11" i="33" s="1"/>
  <c r="Z10" i="33"/>
  <c r="Y10" i="33"/>
  <c r="Q10" i="33"/>
  <c r="P10" i="33"/>
  <c r="O10" i="33"/>
  <c r="E10" i="33"/>
  <c r="Z9" i="33"/>
  <c r="Y9" i="33"/>
  <c r="O9" i="33"/>
  <c r="Q9" i="33" s="1"/>
  <c r="E9" i="33"/>
  <c r="F9" i="33" s="1"/>
  <c r="G9" i="33" s="1"/>
  <c r="Z8" i="33"/>
  <c r="Y8" i="33"/>
  <c r="Q8" i="33"/>
  <c r="P8" i="33"/>
  <c r="O8" i="33"/>
  <c r="G8" i="33"/>
  <c r="E8" i="33"/>
  <c r="F8" i="33" s="1"/>
  <c r="Z7" i="33"/>
  <c r="Y7" i="33"/>
  <c r="O7" i="33"/>
  <c r="Q7" i="33" s="1"/>
  <c r="E7" i="33"/>
  <c r="Z6" i="33"/>
  <c r="Y6" i="33"/>
  <c r="Q6" i="33"/>
  <c r="P6" i="33"/>
  <c r="O6" i="33"/>
  <c r="F6" i="33"/>
  <c r="G6" i="33" s="1"/>
  <c r="E6" i="33"/>
  <c r="Z5" i="33"/>
  <c r="Y5" i="33"/>
  <c r="P5" i="33"/>
  <c r="O5" i="33"/>
  <c r="E5" i="33"/>
  <c r="M50" i="32"/>
  <c r="C50" i="32"/>
  <c r="Z49" i="32"/>
  <c r="I49" i="32" s="1"/>
  <c r="Y49" i="32"/>
  <c r="X49" i="32"/>
  <c r="W49" i="32"/>
  <c r="V49" i="32"/>
  <c r="U49" i="32"/>
  <c r="T49" i="32"/>
  <c r="S49" i="32"/>
  <c r="R49" i="32"/>
  <c r="P49" i="32"/>
  <c r="O49" i="32"/>
  <c r="Q49" i="32" s="1"/>
  <c r="J49" i="32"/>
  <c r="G49" i="32"/>
  <c r="E49" i="32"/>
  <c r="F49" i="32" s="1"/>
  <c r="B49" i="32"/>
  <c r="Z48" i="32"/>
  <c r="I48" i="32" s="1"/>
  <c r="Y48" i="32"/>
  <c r="X48" i="32"/>
  <c r="V48" i="32"/>
  <c r="U48" i="32"/>
  <c r="S48" i="32"/>
  <c r="R48" i="32"/>
  <c r="Q48" i="32"/>
  <c r="P48" i="32"/>
  <c r="O48" i="32"/>
  <c r="J48" i="32"/>
  <c r="G48" i="32"/>
  <c r="E48" i="32"/>
  <c r="F48" i="32" s="1"/>
  <c r="B48" i="32"/>
  <c r="Z47" i="32"/>
  <c r="Y47" i="32"/>
  <c r="X47" i="32" s="1"/>
  <c r="Q47" i="32"/>
  <c r="P47" i="32"/>
  <c r="O47" i="32"/>
  <c r="E47" i="32"/>
  <c r="Z46" i="32"/>
  <c r="Y46" i="32"/>
  <c r="X46" i="32"/>
  <c r="W46" i="32"/>
  <c r="V46" i="32"/>
  <c r="U46" i="32"/>
  <c r="T46" i="32"/>
  <c r="R46" i="32"/>
  <c r="P46" i="32"/>
  <c r="O46" i="32"/>
  <c r="Q46" i="32" s="1"/>
  <c r="J46" i="32"/>
  <c r="I46" i="32"/>
  <c r="E46" i="32"/>
  <c r="F46" i="32" s="1"/>
  <c r="Z45" i="32"/>
  <c r="Y45" i="32"/>
  <c r="X45" i="32"/>
  <c r="W45" i="32"/>
  <c r="V45" i="32"/>
  <c r="U45" i="32"/>
  <c r="T45" i="32"/>
  <c r="S45" i="32"/>
  <c r="R45" i="32"/>
  <c r="O45" i="32"/>
  <c r="Q45" i="32" s="1"/>
  <c r="J45" i="32"/>
  <c r="I45" i="32"/>
  <c r="E45" i="32"/>
  <c r="G45" i="32" s="1"/>
  <c r="B45" i="32"/>
  <c r="Z44" i="32"/>
  <c r="Y44" i="32"/>
  <c r="X44" i="32"/>
  <c r="W44" i="32"/>
  <c r="V44" i="32"/>
  <c r="U44" i="32"/>
  <c r="T44" i="32"/>
  <c r="S44" i="32"/>
  <c r="R44" i="32"/>
  <c r="Q44" i="32"/>
  <c r="P44" i="32"/>
  <c r="O44" i="32"/>
  <c r="J44" i="32"/>
  <c r="I44" i="32"/>
  <c r="G44" i="32"/>
  <c r="F44" i="32"/>
  <c r="E44" i="32"/>
  <c r="B44" i="32"/>
  <c r="Z43" i="32"/>
  <c r="Y43" i="32"/>
  <c r="W43" i="32" s="1"/>
  <c r="X43" i="32"/>
  <c r="V43" i="32"/>
  <c r="U43" i="32"/>
  <c r="T43" i="32"/>
  <c r="S43" i="32"/>
  <c r="R43" i="32"/>
  <c r="Q43" i="32"/>
  <c r="P43" i="32"/>
  <c r="O43" i="32"/>
  <c r="E43" i="32"/>
  <c r="B43" i="32"/>
  <c r="Z42" i="32"/>
  <c r="Y42" i="32"/>
  <c r="Q42" i="32"/>
  <c r="O42" i="32"/>
  <c r="P42" i="32" s="1"/>
  <c r="G42" i="32"/>
  <c r="E42" i="32"/>
  <c r="F42" i="32" s="1"/>
  <c r="Z41" i="32"/>
  <c r="Y41" i="32"/>
  <c r="X41" i="32"/>
  <c r="W41" i="32"/>
  <c r="V41" i="32"/>
  <c r="T41" i="32"/>
  <c r="R41" i="32"/>
  <c r="P41" i="32"/>
  <c r="O41" i="32"/>
  <c r="Q41" i="32" s="1"/>
  <c r="J41" i="32"/>
  <c r="I41" i="32"/>
  <c r="E41" i="32"/>
  <c r="Z40" i="32"/>
  <c r="Y40" i="32"/>
  <c r="W40" i="32"/>
  <c r="V40" i="32"/>
  <c r="U40" i="32"/>
  <c r="P40" i="32"/>
  <c r="O40" i="32"/>
  <c r="Q40" i="32" s="1"/>
  <c r="J40" i="32"/>
  <c r="I40" i="32"/>
  <c r="E40" i="32"/>
  <c r="G40" i="32" s="1"/>
  <c r="B40" i="32"/>
  <c r="Z39" i="32"/>
  <c r="Y39" i="32"/>
  <c r="X39" i="32"/>
  <c r="W39" i="32"/>
  <c r="V39" i="32"/>
  <c r="U39" i="32"/>
  <c r="T39" i="32"/>
  <c r="S39" i="32"/>
  <c r="R39" i="32"/>
  <c r="P39" i="32"/>
  <c r="O39" i="32"/>
  <c r="Q39" i="32" s="1"/>
  <c r="F39" i="32"/>
  <c r="E39" i="32"/>
  <c r="G39" i="32" s="1"/>
  <c r="B39" i="32"/>
  <c r="Z38" i="32"/>
  <c r="I38" i="32" s="1"/>
  <c r="Y38" i="32"/>
  <c r="V38" i="32" s="1"/>
  <c r="X38" i="32"/>
  <c r="U38" i="32"/>
  <c r="T38" i="32"/>
  <c r="S38" i="32"/>
  <c r="R38" i="32"/>
  <c r="Q38" i="32"/>
  <c r="P38" i="32"/>
  <c r="O38" i="32"/>
  <c r="J38" i="32"/>
  <c r="E38" i="32"/>
  <c r="F38" i="32" s="1"/>
  <c r="Z37" i="32"/>
  <c r="I37" i="32" s="1"/>
  <c r="Y37" i="32"/>
  <c r="X37" i="32" s="1"/>
  <c r="W37" i="32"/>
  <c r="V37" i="32"/>
  <c r="T37" i="32"/>
  <c r="S37" i="32"/>
  <c r="R37" i="32"/>
  <c r="O37" i="32"/>
  <c r="Q37" i="32" s="1"/>
  <c r="J37" i="32"/>
  <c r="E37" i="32"/>
  <c r="F37" i="32" s="1"/>
  <c r="Z36" i="32"/>
  <c r="I36" i="32" s="1"/>
  <c r="Y36" i="32"/>
  <c r="U36" i="32" s="1"/>
  <c r="X36" i="32"/>
  <c r="W36" i="32"/>
  <c r="V36" i="32"/>
  <c r="R36" i="32"/>
  <c r="Q36" i="32"/>
  <c r="P36" i="32"/>
  <c r="O36" i="32"/>
  <c r="J36" i="32"/>
  <c r="E36" i="32"/>
  <c r="F36" i="32" s="1"/>
  <c r="Z35" i="32"/>
  <c r="Y35" i="32"/>
  <c r="B35" i="32" s="1"/>
  <c r="X35" i="32"/>
  <c r="W35" i="32"/>
  <c r="V35" i="32"/>
  <c r="U35" i="32"/>
  <c r="T35" i="32"/>
  <c r="S35" i="32"/>
  <c r="R35" i="32"/>
  <c r="P35" i="32"/>
  <c r="O35" i="32"/>
  <c r="Q35" i="32" s="1"/>
  <c r="E35" i="32"/>
  <c r="G35" i="32" s="1"/>
  <c r="Z34" i="32"/>
  <c r="Y34" i="32"/>
  <c r="W34" i="32" s="1"/>
  <c r="X34" i="32"/>
  <c r="V34" i="32"/>
  <c r="U34" i="32"/>
  <c r="T34" i="32"/>
  <c r="S34" i="32"/>
  <c r="R34" i="32"/>
  <c r="Q34" i="32"/>
  <c r="P34" i="32"/>
  <c r="O34" i="32"/>
  <c r="J34" i="32"/>
  <c r="I34" i="32"/>
  <c r="G34" i="32"/>
  <c r="E34" i="32"/>
  <c r="F34" i="32" s="1"/>
  <c r="B34" i="32"/>
  <c r="Z33" i="32"/>
  <c r="I33" i="32" s="1"/>
  <c r="Y33" i="32"/>
  <c r="W33" i="32" s="1"/>
  <c r="X33" i="32"/>
  <c r="V33" i="32"/>
  <c r="T33" i="32"/>
  <c r="S33" i="32"/>
  <c r="R33" i="32"/>
  <c r="O33" i="32"/>
  <c r="Q33" i="32" s="1"/>
  <c r="J33" i="32"/>
  <c r="G33" i="32"/>
  <c r="F33" i="32"/>
  <c r="E33" i="32"/>
  <c r="B33" i="32"/>
  <c r="Z32" i="32"/>
  <c r="Y32" i="32"/>
  <c r="T32" i="32" s="1"/>
  <c r="R32" i="32"/>
  <c r="Q32" i="32"/>
  <c r="O32" i="32"/>
  <c r="P32" i="32" s="1"/>
  <c r="E32" i="32"/>
  <c r="Z31" i="32"/>
  <c r="J31" i="32" s="1"/>
  <c r="Y31" i="32"/>
  <c r="X31" i="32"/>
  <c r="T31" i="32"/>
  <c r="R31" i="32"/>
  <c r="P31" i="32"/>
  <c r="O31" i="32"/>
  <c r="Q31" i="32" s="1"/>
  <c r="E31" i="32"/>
  <c r="G31" i="32" s="1"/>
  <c r="Z30" i="32"/>
  <c r="J30" i="32" s="1"/>
  <c r="Y30" i="32"/>
  <c r="X30" i="32"/>
  <c r="W30" i="32"/>
  <c r="V30" i="32"/>
  <c r="U30" i="32"/>
  <c r="T30" i="32"/>
  <c r="R30" i="32"/>
  <c r="P30" i="32"/>
  <c r="O30" i="32"/>
  <c r="Q30" i="32" s="1"/>
  <c r="I30" i="32"/>
  <c r="G30" i="32"/>
  <c r="F30" i="32"/>
  <c r="E30" i="32"/>
  <c r="Z29" i="32"/>
  <c r="Y29" i="32"/>
  <c r="X29" i="32"/>
  <c r="W29" i="32"/>
  <c r="V29" i="32"/>
  <c r="U29" i="32"/>
  <c r="T29" i="32"/>
  <c r="S29" i="32"/>
  <c r="R29" i="32"/>
  <c r="P29" i="32"/>
  <c r="O29" i="32"/>
  <c r="Q29" i="32" s="1"/>
  <c r="G29" i="32"/>
  <c r="F29" i="32"/>
  <c r="E29" i="32"/>
  <c r="B29" i="32"/>
  <c r="Z28" i="32"/>
  <c r="Y28" i="32"/>
  <c r="T28" i="32"/>
  <c r="S28" i="32"/>
  <c r="R28" i="32"/>
  <c r="Q28" i="32"/>
  <c r="P28" i="32"/>
  <c r="O28" i="32"/>
  <c r="G28" i="32"/>
  <c r="E28" i="32"/>
  <c r="F28" i="32" s="1"/>
  <c r="Z27" i="32"/>
  <c r="I27" i="32" s="1"/>
  <c r="Y27" i="32"/>
  <c r="X27" i="32" s="1"/>
  <c r="V27" i="32"/>
  <c r="T27" i="32"/>
  <c r="S27" i="32"/>
  <c r="P27" i="32"/>
  <c r="O27" i="32"/>
  <c r="Q27" i="32" s="1"/>
  <c r="J27" i="32"/>
  <c r="G27" i="32"/>
  <c r="E27" i="32"/>
  <c r="F27" i="32" s="1"/>
  <c r="Z26" i="32"/>
  <c r="Y26" i="32"/>
  <c r="X26" i="32"/>
  <c r="W26" i="32"/>
  <c r="V26" i="32"/>
  <c r="O26" i="32"/>
  <c r="P26" i="32" s="1"/>
  <c r="E26" i="32"/>
  <c r="F26" i="32" s="1"/>
  <c r="Z25" i="32"/>
  <c r="Y25" i="32"/>
  <c r="B25" i="32" s="1"/>
  <c r="X25" i="32"/>
  <c r="W25" i="32"/>
  <c r="V25" i="32"/>
  <c r="U25" i="32"/>
  <c r="T25" i="32"/>
  <c r="S25" i="32"/>
  <c r="R25" i="32"/>
  <c r="O25" i="32"/>
  <c r="J25" i="32"/>
  <c r="I25" i="32"/>
  <c r="G25" i="32"/>
  <c r="E25" i="32"/>
  <c r="F25" i="32" s="1"/>
  <c r="Z24" i="32"/>
  <c r="Y24" i="32"/>
  <c r="W24" i="32" s="1"/>
  <c r="X24" i="32"/>
  <c r="V24" i="32"/>
  <c r="U24" i="32"/>
  <c r="T24" i="32"/>
  <c r="S24" i="32"/>
  <c r="R24" i="32"/>
  <c r="Q24" i="32"/>
  <c r="P24" i="32"/>
  <c r="O24" i="32"/>
  <c r="J24" i="32"/>
  <c r="I24" i="32"/>
  <c r="F24" i="32"/>
  <c r="E24" i="32"/>
  <c r="G24" i="32" s="1"/>
  <c r="B24" i="32"/>
  <c r="Z23" i="32"/>
  <c r="Y23" i="32"/>
  <c r="X23" i="32"/>
  <c r="W23" i="32"/>
  <c r="V23" i="32"/>
  <c r="U23" i="32"/>
  <c r="T23" i="32"/>
  <c r="S23" i="32"/>
  <c r="R23" i="32"/>
  <c r="Q23" i="32"/>
  <c r="P23" i="32"/>
  <c r="O23" i="32"/>
  <c r="G23" i="32"/>
  <c r="F23" i="32"/>
  <c r="E23" i="32"/>
  <c r="B23" i="32"/>
  <c r="Z22" i="32"/>
  <c r="Y22" i="32"/>
  <c r="R22" i="32"/>
  <c r="Q22" i="32"/>
  <c r="P22" i="32"/>
  <c r="O22" i="32"/>
  <c r="E22" i="32"/>
  <c r="Z21" i="32"/>
  <c r="I21" i="32" s="1"/>
  <c r="Y21" i="32"/>
  <c r="X21" i="32"/>
  <c r="W21" i="32"/>
  <c r="V21" i="32"/>
  <c r="T21" i="32"/>
  <c r="R21" i="32"/>
  <c r="O21" i="32"/>
  <c r="Q21" i="32" s="1"/>
  <c r="J21" i="32"/>
  <c r="E21" i="32"/>
  <c r="G21" i="32" s="1"/>
  <c r="Z20" i="32"/>
  <c r="Y20" i="32"/>
  <c r="S20" i="32" s="1"/>
  <c r="X20" i="32"/>
  <c r="W20" i="32"/>
  <c r="V20" i="32"/>
  <c r="U20" i="32"/>
  <c r="T20" i="32"/>
  <c r="R20" i="32"/>
  <c r="Q20" i="32"/>
  <c r="P20" i="32"/>
  <c r="O20" i="32"/>
  <c r="J20" i="32"/>
  <c r="I20" i="32"/>
  <c r="E20" i="32"/>
  <c r="G20" i="32" s="1"/>
  <c r="B20" i="32"/>
  <c r="Z19" i="32"/>
  <c r="I19" i="32" s="1"/>
  <c r="Y19" i="32"/>
  <c r="X19" i="32"/>
  <c r="W19" i="32"/>
  <c r="V19" i="32"/>
  <c r="U19" i="32"/>
  <c r="T19" i="32"/>
  <c r="S19" i="32"/>
  <c r="R19" i="32"/>
  <c r="P19" i="32"/>
  <c r="O19" i="32"/>
  <c r="Q19" i="32" s="1"/>
  <c r="E19" i="32"/>
  <c r="G19" i="32" s="1"/>
  <c r="B19" i="32"/>
  <c r="Z18" i="32"/>
  <c r="Y18" i="32"/>
  <c r="X18" i="32"/>
  <c r="S18" i="32"/>
  <c r="Q18" i="32"/>
  <c r="P18" i="32"/>
  <c r="O18" i="32"/>
  <c r="G18" i="32"/>
  <c r="E18" i="32"/>
  <c r="F18" i="32" s="1"/>
  <c r="B18" i="32"/>
  <c r="Z17" i="32"/>
  <c r="I17" i="32" s="1"/>
  <c r="Y17" i="32"/>
  <c r="X17" i="32" s="1"/>
  <c r="W17" i="32"/>
  <c r="V17" i="32"/>
  <c r="T17" i="32"/>
  <c r="S17" i="32"/>
  <c r="R17" i="32"/>
  <c r="O17" i="32"/>
  <c r="J17" i="32"/>
  <c r="G17" i="32"/>
  <c r="E17" i="32"/>
  <c r="F17" i="32" s="1"/>
  <c r="Z16" i="32"/>
  <c r="Y16" i="32"/>
  <c r="X16" i="32"/>
  <c r="W16" i="32"/>
  <c r="V16" i="32"/>
  <c r="U16" i="32"/>
  <c r="T16" i="32"/>
  <c r="R16" i="32"/>
  <c r="O16" i="32"/>
  <c r="Q16" i="32" s="1"/>
  <c r="G16" i="32"/>
  <c r="E16" i="32"/>
  <c r="F16" i="32" s="1"/>
  <c r="Z15" i="32"/>
  <c r="Y15" i="32"/>
  <c r="B15" i="32" s="1"/>
  <c r="X15" i="32"/>
  <c r="W15" i="32"/>
  <c r="V15" i="32"/>
  <c r="U15" i="32"/>
  <c r="T15" i="32"/>
  <c r="S15" i="32"/>
  <c r="R15" i="32"/>
  <c r="P15" i="32"/>
  <c r="O15" i="32"/>
  <c r="Q15" i="32" s="1"/>
  <c r="G15" i="32"/>
  <c r="F15" i="32"/>
  <c r="E15" i="32"/>
  <c r="Z14" i="32"/>
  <c r="I14" i="32" s="1"/>
  <c r="Y14" i="32"/>
  <c r="Q14" i="32"/>
  <c r="P14" i="32"/>
  <c r="O14" i="32"/>
  <c r="J14" i="32"/>
  <c r="E14" i="32"/>
  <c r="Z13" i="32"/>
  <c r="Y13" i="32"/>
  <c r="O13" i="32"/>
  <c r="Q13" i="32" s="1"/>
  <c r="E13" i="32"/>
  <c r="Z12" i="32"/>
  <c r="T13" i="32" s="1"/>
  <c r="V13" i="32" s="1"/>
  <c r="Y12" i="32"/>
  <c r="R12" i="32"/>
  <c r="O12" i="32"/>
  <c r="Q12" i="32" s="1"/>
  <c r="E12" i="32"/>
  <c r="Z11" i="32"/>
  <c r="Y11" i="32"/>
  <c r="O11" i="32"/>
  <c r="Q11" i="32" s="1"/>
  <c r="F11" i="32"/>
  <c r="E11" i="32"/>
  <c r="Z10" i="32"/>
  <c r="Y10" i="32"/>
  <c r="O10" i="32"/>
  <c r="E10" i="32"/>
  <c r="Z9" i="32"/>
  <c r="Y9" i="32"/>
  <c r="P9" i="32"/>
  <c r="O9" i="32"/>
  <c r="Q9" i="32" s="1"/>
  <c r="E9" i="32"/>
  <c r="Z8" i="32"/>
  <c r="Y8" i="32"/>
  <c r="Q8" i="32"/>
  <c r="P8" i="32"/>
  <c r="O8" i="32"/>
  <c r="F8" i="32"/>
  <c r="E8" i="32"/>
  <c r="Z7" i="32"/>
  <c r="Y7" i="32"/>
  <c r="O7" i="32"/>
  <c r="P7" i="32" s="1"/>
  <c r="G7" i="32"/>
  <c r="E7" i="32"/>
  <c r="F7" i="32" s="1"/>
  <c r="Z6" i="32"/>
  <c r="Y6" i="32"/>
  <c r="O6" i="32"/>
  <c r="Q6" i="32" s="1"/>
  <c r="E6" i="32"/>
  <c r="Z5" i="32"/>
  <c r="Y5" i="32"/>
  <c r="O5" i="32"/>
  <c r="E5" i="32"/>
  <c r="M50" i="31"/>
  <c r="C50" i="31"/>
  <c r="Z49" i="31"/>
  <c r="Y49" i="31"/>
  <c r="O49" i="31"/>
  <c r="G49" i="31"/>
  <c r="E49" i="31"/>
  <c r="F49" i="31" s="1"/>
  <c r="Z48" i="31"/>
  <c r="I48" i="31" s="1"/>
  <c r="Y48" i="31"/>
  <c r="X48" i="31" s="1"/>
  <c r="W48" i="31"/>
  <c r="U48" i="31"/>
  <c r="O48" i="31"/>
  <c r="Q48" i="31" s="1"/>
  <c r="J48" i="31"/>
  <c r="G48" i="31"/>
  <c r="F48" i="31"/>
  <c r="E48" i="31"/>
  <c r="B48" i="31"/>
  <c r="Z47" i="31"/>
  <c r="Y47" i="31"/>
  <c r="X47" i="31"/>
  <c r="W47" i="31"/>
  <c r="V47" i="31"/>
  <c r="Q47" i="31"/>
  <c r="P47" i="31"/>
  <c r="O47" i="31"/>
  <c r="E47" i="31"/>
  <c r="Z46" i="31"/>
  <c r="I46" i="31" s="1"/>
  <c r="Y46" i="31"/>
  <c r="B46" i="31" s="1"/>
  <c r="X46" i="31"/>
  <c r="W46" i="31"/>
  <c r="V46" i="31"/>
  <c r="T46" i="31"/>
  <c r="S46" i="31"/>
  <c r="R46" i="31"/>
  <c r="Q46" i="31"/>
  <c r="P46" i="31"/>
  <c r="O46" i="31"/>
  <c r="J46" i="31"/>
  <c r="E46" i="31"/>
  <c r="G46" i="31" s="1"/>
  <c r="Z45" i="31"/>
  <c r="Y45" i="31"/>
  <c r="X45" i="31" s="1"/>
  <c r="V45" i="31"/>
  <c r="U45" i="31"/>
  <c r="T45" i="31"/>
  <c r="R45" i="31"/>
  <c r="Q45" i="31"/>
  <c r="P45" i="31"/>
  <c r="O45" i="31"/>
  <c r="J45" i="31"/>
  <c r="I45" i="31"/>
  <c r="G45" i="31"/>
  <c r="E45" i="31"/>
  <c r="F45" i="31" s="1"/>
  <c r="Z44" i="31"/>
  <c r="Y44" i="31"/>
  <c r="X44" i="31"/>
  <c r="W44" i="31"/>
  <c r="V44" i="31"/>
  <c r="U44" i="31"/>
  <c r="S44" i="31"/>
  <c r="R44" i="31"/>
  <c r="O44" i="31"/>
  <c r="J44" i="31"/>
  <c r="I44" i="31"/>
  <c r="G44" i="31"/>
  <c r="F44" i="31"/>
  <c r="E44" i="31"/>
  <c r="Z43" i="31"/>
  <c r="Y43" i="31"/>
  <c r="S43" i="31"/>
  <c r="P43" i="31"/>
  <c r="O43" i="31"/>
  <c r="Q43" i="31" s="1"/>
  <c r="F43" i="31"/>
  <c r="E43" i="31"/>
  <c r="G43" i="31" s="1"/>
  <c r="B43" i="31"/>
  <c r="Z42" i="31"/>
  <c r="I42" i="31" s="1"/>
  <c r="Y42" i="31"/>
  <c r="X42" i="31"/>
  <c r="W42" i="31"/>
  <c r="V42" i="31"/>
  <c r="U42" i="31"/>
  <c r="T42" i="31"/>
  <c r="S42" i="31"/>
  <c r="R42" i="31"/>
  <c r="Q42" i="31"/>
  <c r="P42" i="31"/>
  <c r="O42" i="31"/>
  <c r="J42" i="31"/>
  <c r="E42" i="31"/>
  <c r="G42" i="31" s="1"/>
  <c r="B42" i="31"/>
  <c r="Z41" i="31"/>
  <c r="J41" i="31" s="1"/>
  <c r="Y41" i="31"/>
  <c r="V41" i="31"/>
  <c r="U41" i="31"/>
  <c r="T41" i="31"/>
  <c r="O41" i="31"/>
  <c r="Q41" i="31" s="1"/>
  <c r="I41" i="31"/>
  <c r="E41" i="31"/>
  <c r="Z40" i="31"/>
  <c r="Y40" i="31"/>
  <c r="O40" i="31"/>
  <c r="E40" i="31"/>
  <c r="G40" i="31" s="1"/>
  <c r="Z39" i="31"/>
  <c r="Y39" i="31"/>
  <c r="S39" i="31" s="1"/>
  <c r="X39" i="31"/>
  <c r="W39" i="31"/>
  <c r="V39" i="31"/>
  <c r="U39" i="31"/>
  <c r="T39" i="31"/>
  <c r="R39" i="31"/>
  <c r="P39" i="31"/>
  <c r="O39" i="31"/>
  <c r="Q39" i="31" s="1"/>
  <c r="G39" i="31"/>
  <c r="F39" i="31"/>
  <c r="E39" i="31"/>
  <c r="Z38" i="31"/>
  <c r="Y38" i="31"/>
  <c r="X38" i="31" s="1"/>
  <c r="V38" i="31"/>
  <c r="U38" i="31"/>
  <c r="T38" i="31"/>
  <c r="S38" i="31"/>
  <c r="R38" i="31"/>
  <c r="O38" i="31"/>
  <c r="J38" i="31"/>
  <c r="I38" i="31"/>
  <c r="F38" i="31"/>
  <c r="E38" i="31"/>
  <c r="G38" i="31" s="1"/>
  <c r="B38" i="31"/>
  <c r="Z37" i="31"/>
  <c r="J37" i="31" s="1"/>
  <c r="Y37" i="31"/>
  <c r="R37" i="31" s="1"/>
  <c r="Q37" i="31"/>
  <c r="P37" i="31"/>
  <c r="O37" i="31"/>
  <c r="I37" i="31"/>
  <c r="E37" i="31"/>
  <c r="G37" i="31" s="1"/>
  <c r="B37" i="31"/>
  <c r="Z36" i="31"/>
  <c r="Y36" i="31"/>
  <c r="W36" i="31"/>
  <c r="O36" i="31"/>
  <c r="E36" i="31"/>
  <c r="G36" i="31" s="1"/>
  <c r="Z35" i="31"/>
  <c r="Y35" i="31"/>
  <c r="B35" i="31" s="1"/>
  <c r="X35" i="31"/>
  <c r="W35" i="31"/>
  <c r="V35" i="31"/>
  <c r="U35" i="31"/>
  <c r="T35" i="31"/>
  <c r="S35" i="31"/>
  <c r="R35" i="31"/>
  <c r="O35" i="31"/>
  <c r="P35" i="31" s="1"/>
  <c r="E35" i="31"/>
  <c r="Z34" i="31"/>
  <c r="Y34" i="31"/>
  <c r="X34" i="31" s="1"/>
  <c r="U34" i="31"/>
  <c r="O34" i="31"/>
  <c r="Q34" i="31" s="1"/>
  <c r="F34" i="31"/>
  <c r="E34" i="31"/>
  <c r="G34" i="31" s="1"/>
  <c r="Z33" i="31"/>
  <c r="Y33" i="31"/>
  <c r="W33" i="31"/>
  <c r="V33" i="31"/>
  <c r="T33" i="31"/>
  <c r="S33" i="31"/>
  <c r="R33" i="31"/>
  <c r="O33" i="31"/>
  <c r="Q33" i="31" s="1"/>
  <c r="J33" i="31"/>
  <c r="I33" i="31"/>
  <c r="G33" i="31"/>
  <c r="E33" i="31"/>
  <c r="F33" i="31" s="1"/>
  <c r="Z32" i="31"/>
  <c r="Y32" i="31"/>
  <c r="B32" i="31" s="1"/>
  <c r="X32" i="31"/>
  <c r="W32" i="31"/>
  <c r="V32" i="31"/>
  <c r="U32" i="31"/>
  <c r="T32" i="31"/>
  <c r="S32" i="31"/>
  <c r="R32" i="31"/>
  <c r="O32" i="31"/>
  <c r="J32" i="31"/>
  <c r="I32" i="31"/>
  <c r="E32" i="31"/>
  <c r="G32" i="31" s="1"/>
  <c r="Z31" i="31"/>
  <c r="J31" i="31" s="1"/>
  <c r="Y31" i="31"/>
  <c r="S31" i="31" s="1"/>
  <c r="O31" i="31"/>
  <c r="Q31" i="31" s="1"/>
  <c r="I31" i="31"/>
  <c r="E31" i="31"/>
  <c r="B31" i="31"/>
  <c r="Z30" i="31"/>
  <c r="J30" i="31" s="1"/>
  <c r="Y30" i="31"/>
  <c r="X30" i="31"/>
  <c r="W30" i="31"/>
  <c r="V30" i="31"/>
  <c r="U30" i="31"/>
  <c r="T30" i="31"/>
  <c r="S30" i="31"/>
  <c r="R30" i="31"/>
  <c r="Q30" i="31"/>
  <c r="O30" i="31"/>
  <c r="P30" i="31" s="1"/>
  <c r="E30" i="31"/>
  <c r="B30" i="31"/>
  <c r="Z29" i="31"/>
  <c r="Y29" i="31"/>
  <c r="X29" i="31" s="1"/>
  <c r="U29" i="31"/>
  <c r="T29" i="31"/>
  <c r="P29" i="31"/>
  <c r="O29" i="31"/>
  <c r="Q29" i="31" s="1"/>
  <c r="E29" i="31"/>
  <c r="G29" i="31" s="1"/>
  <c r="Z28" i="31"/>
  <c r="Y28" i="31"/>
  <c r="U28" i="31" s="1"/>
  <c r="X28" i="31"/>
  <c r="W28" i="31"/>
  <c r="V28" i="31"/>
  <c r="T28" i="31"/>
  <c r="S28" i="31"/>
  <c r="R28" i="31"/>
  <c r="Q28" i="31"/>
  <c r="O28" i="31"/>
  <c r="P28" i="31" s="1"/>
  <c r="F28" i="31"/>
  <c r="E28" i="31"/>
  <c r="G28" i="31" s="1"/>
  <c r="B28" i="31"/>
  <c r="Z27" i="31"/>
  <c r="Y27" i="31"/>
  <c r="X27" i="31"/>
  <c r="W27" i="31"/>
  <c r="V27" i="31"/>
  <c r="U27" i="31"/>
  <c r="O27" i="31"/>
  <c r="Q27" i="31" s="1"/>
  <c r="E27" i="31"/>
  <c r="G27" i="31" s="1"/>
  <c r="Z26" i="31"/>
  <c r="Y26" i="31"/>
  <c r="B26" i="31" s="1"/>
  <c r="X26" i="31"/>
  <c r="W26" i="31"/>
  <c r="V26" i="31"/>
  <c r="U26" i="31"/>
  <c r="T26" i="31"/>
  <c r="S26" i="31"/>
  <c r="R26" i="31"/>
  <c r="O26" i="31"/>
  <c r="Q26" i="31" s="1"/>
  <c r="J26" i="31"/>
  <c r="I26" i="31"/>
  <c r="G26" i="31"/>
  <c r="F26" i="31"/>
  <c r="E26" i="31"/>
  <c r="Z25" i="31"/>
  <c r="Y25" i="31"/>
  <c r="X25" i="31" s="1"/>
  <c r="W25" i="31"/>
  <c r="V25" i="31"/>
  <c r="U25" i="31"/>
  <c r="T25" i="31"/>
  <c r="S25" i="31"/>
  <c r="R25" i="31"/>
  <c r="Q25" i="31"/>
  <c r="P25" i="31"/>
  <c r="O25" i="31"/>
  <c r="J25" i="31"/>
  <c r="I25" i="31"/>
  <c r="E25" i="31"/>
  <c r="G25" i="31" s="1"/>
  <c r="B25" i="31"/>
  <c r="Z24" i="31"/>
  <c r="I24" i="31" s="1"/>
  <c r="Y24" i="31"/>
  <c r="X24" i="31"/>
  <c r="W24" i="31"/>
  <c r="V24" i="31"/>
  <c r="U24" i="31"/>
  <c r="T24" i="31"/>
  <c r="S24" i="31"/>
  <c r="R24" i="31"/>
  <c r="Q24" i="31"/>
  <c r="O24" i="31"/>
  <c r="P24" i="31" s="1"/>
  <c r="J24" i="31"/>
  <c r="G24" i="31"/>
  <c r="F24" i="31"/>
  <c r="E24" i="31"/>
  <c r="B24" i="31"/>
  <c r="Z23" i="31"/>
  <c r="Y23" i="31"/>
  <c r="X23" i="31" s="1"/>
  <c r="P23" i="31"/>
  <c r="O23" i="31"/>
  <c r="Q23" i="31" s="1"/>
  <c r="E23" i="31"/>
  <c r="Z22" i="31"/>
  <c r="Y22" i="31"/>
  <c r="W22" i="31" s="1"/>
  <c r="X22" i="31"/>
  <c r="V22" i="31"/>
  <c r="U22" i="31"/>
  <c r="O22" i="31"/>
  <c r="F22" i="31"/>
  <c r="E22" i="31"/>
  <c r="G22" i="31" s="1"/>
  <c r="Z21" i="31"/>
  <c r="Y21" i="31"/>
  <c r="X21" i="31" s="1"/>
  <c r="V21" i="31"/>
  <c r="U21" i="31"/>
  <c r="T21" i="31"/>
  <c r="S21" i="31"/>
  <c r="R21" i="31"/>
  <c r="O21" i="31"/>
  <c r="Q21" i="31" s="1"/>
  <c r="G21" i="31"/>
  <c r="E21" i="31"/>
  <c r="F21" i="31" s="1"/>
  <c r="B21" i="31"/>
  <c r="Z20" i="31"/>
  <c r="Y20" i="31"/>
  <c r="X20" i="31"/>
  <c r="W20" i="31"/>
  <c r="V20" i="31"/>
  <c r="U20" i="31"/>
  <c r="T20" i="31"/>
  <c r="S20" i="31"/>
  <c r="R20" i="31"/>
  <c r="Q20" i="31"/>
  <c r="P20" i="31"/>
  <c r="O20" i="31"/>
  <c r="E20" i="31"/>
  <c r="B20" i="31"/>
  <c r="Z19" i="31"/>
  <c r="J19" i="31" s="1"/>
  <c r="Y19" i="31"/>
  <c r="X19" i="31"/>
  <c r="V19" i="31"/>
  <c r="U19" i="31"/>
  <c r="T19" i="31"/>
  <c r="S19" i="31"/>
  <c r="R19" i="31"/>
  <c r="O19" i="31"/>
  <c r="P19" i="31" s="1"/>
  <c r="I19" i="31"/>
  <c r="E19" i="31"/>
  <c r="G19" i="31" s="1"/>
  <c r="Z18" i="31"/>
  <c r="Y18" i="31"/>
  <c r="W18" i="31" s="1"/>
  <c r="V18" i="31"/>
  <c r="T18" i="31"/>
  <c r="S18" i="31"/>
  <c r="R18" i="31"/>
  <c r="O18" i="31"/>
  <c r="Q18" i="31" s="1"/>
  <c r="J18" i="31"/>
  <c r="I18" i="31"/>
  <c r="G18" i="31"/>
  <c r="F18" i="31"/>
  <c r="E18" i="31"/>
  <c r="Z17" i="31"/>
  <c r="Y17" i="31"/>
  <c r="S17" i="31" s="1"/>
  <c r="X17" i="31"/>
  <c r="W17" i="31"/>
  <c r="V17" i="31"/>
  <c r="U17" i="31"/>
  <c r="T17" i="31"/>
  <c r="R17" i="31"/>
  <c r="P17" i="31"/>
  <c r="O17" i="31"/>
  <c r="Q17" i="31" s="1"/>
  <c r="J17" i="31"/>
  <c r="I17" i="31"/>
  <c r="E17" i="31"/>
  <c r="G17" i="31" s="1"/>
  <c r="B17" i="31"/>
  <c r="Z16" i="31"/>
  <c r="Y16" i="31"/>
  <c r="S16" i="31" s="1"/>
  <c r="O16" i="31"/>
  <c r="G16" i="31"/>
  <c r="E16" i="31"/>
  <c r="F16" i="31" s="1"/>
  <c r="Z15" i="31"/>
  <c r="Y15" i="31"/>
  <c r="X15" i="31" s="1"/>
  <c r="W15" i="31"/>
  <c r="Q15" i="31"/>
  <c r="P15" i="31"/>
  <c r="O15" i="31"/>
  <c r="J15" i="31"/>
  <c r="I15" i="31"/>
  <c r="G15" i="31"/>
  <c r="F15" i="31"/>
  <c r="E15" i="31"/>
  <c r="B15" i="31"/>
  <c r="Z14" i="31"/>
  <c r="Y14" i="31"/>
  <c r="X14" i="31" s="1"/>
  <c r="P14" i="31"/>
  <c r="O14" i="31"/>
  <c r="Q14" i="31" s="1"/>
  <c r="E14" i="31"/>
  <c r="B14" i="31"/>
  <c r="Z13" i="31"/>
  <c r="Y13" i="31"/>
  <c r="Q13" i="31"/>
  <c r="O13" i="31"/>
  <c r="P13" i="31" s="1"/>
  <c r="E13" i="31"/>
  <c r="Z12" i="31"/>
  <c r="I12" i="31" s="1"/>
  <c r="Y12" i="31"/>
  <c r="Q12" i="31"/>
  <c r="O12" i="31"/>
  <c r="P12" i="31" s="1"/>
  <c r="J12" i="31"/>
  <c r="E12" i="31"/>
  <c r="Z11" i="31"/>
  <c r="Y11" i="31"/>
  <c r="O11" i="31"/>
  <c r="J11" i="31"/>
  <c r="I11" i="31"/>
  <c r="G11" i="31"/>
  <c r="F11" i="31"/>
  <c r="E11" i="31"/>
  <c r="Z10" i="31"/>
  <c r="Y10" i="31"/>
  <c r="Q10" i="31"/>
  <c r="O10" i="31"/>
  <c r="P10" i="31" s="1"/>
  <c r="J10" i="31"/>
  <c r="I10" i="31"/>
  <c r="E10" i="31"/>
  <c r="Z9" i="31"/>
  <c r="Y9" i="31"/>
  <c r="Q9" i="31"/>
  <c r="P9" i="31"/>
  <c r="O9" i="31"/>
  <c r="J9" i="31"/>
  <c r="I9" i="31"/>
  <c r="G9" i="31"/>
  <c r="F9" i="31"/>
  <c r="E9" i="31"/>
  <c r="Z8" i="31"/>
  <c r="Y8" i="31"/>
  <c r="Q8" i="31"/>
  <c r="O8" i="31"/>
  <c r="P8" i="31" s="1"/>
  <c r="J8" i="31"/>
  <c r="I8" i="31"/>
  <c r="E8" i="31"/>
  <c r="Z7" i="31"/>
  <c r="Y7" i="31"/>
  <c r="P7" i="31"/>
  <c r="O7" i="31"/>
  <c r="Q7" i="31" s="1"/>
  <c r="E7" i="31"/>
  <c r="Z6" i="31"/>
  <c r="J6" i="31" s="1"/>
  <c r="Y6" i="31"/>
  <c r="R6" i="31"/>
  <c r="U6" i="31" s="1"/>
  <c r="O6" i="31"/>
  <c r="Q6" i="31" s="1"/>
  <c r="F6" i="31"/>
  <c r="E6" i="31"/>
  <c r="G6" i="31" s="1"/>
  <c r="Z5" i="31"/>
  <c r="Y5" i="31"/>
  <c r="Q5" i="31"/>
  <c r="P5" i="31"/>
  <c r="O5" i="31"/>
  <c r="F5" i="31"/>
  <c r="E5" i="31"/>
  <c r="G5" i="31" s="1"/>
  <c r="M50" i="30"/>
  <c r="C50" i="30"/>
  <c r="Z49" i="30"/>
  <c r="Y49" i="30"/>
  <c r="X49" i="30" s="1"/>
  <c r="W49" i="30"/>
  <c r="V49" i="30"/>
  <c r="U49" i="30"/>
  <c r="T49" i="30"/>
  <c r="S49" i="30"/>
  <c r="R49" i="30"/>
  <c r="O49" i="30"/>
  <c r="Q49" i="30" s="1"/>
  <c r="J49" i="30"/>
  <c r="I49" i="30"/>
  <c r="G49" i="30"/>
  <c r="F49" i="30"/>
  <c r="E49" i="30"/>
  <c r="B49" i="30"/>
  <c r="Z48" i="30"/>
  <c r="Y48" i="30"/>
  <c r="X48" i="30"/>
  <c r="W48" i="30"/>
  <c r="V48" i="30"/>
  <c r="U48" i="30"/>
  <c r="T48" i="30"/>
  <c r="S48" i="30"/>
  <c r="R48" i="30"/>
  <c r="Q48" i="30"/>
  <c r="P48" i="30"/>
  <c r="O48" i="30"/>
  <c r="G48" i="30"/>
  <c r="F48" i="30"/>
  <c r="E48" i="30"/>
  <c r="B48" i="30"/>
  <c r="Z47" i="30"/>
  <c r="Y47" i="30"/>
  <c r="X47" i="30"/>
  <c r="V47" i="30"/>
  <c r="R47" i="30"/>
  <c r="O47" i="30"/>
  <c r="J47" i="30"/>
  <c r="I47" i="30"/>
  <c r="E47" i="30"/>
  <c r="G47" i="30" s="1"/>
  <c r="B47" i="30"/>
  <c r="Z46" i="30"/>
  <c r="J46" i="30" s="1"/>
  <c r="Y46" i="30"/>
  <c r="X46" i="30" s="1"/>
  <c r="W46" i="30"/>
  <c r="V46" i="30"/>
  <c r="O46" i="30"/>
  <c r="E46" i="30"/>
  <c r="G46" i="30" s="1"/>
  <c r="Z45" i="30"/>
  <c r="Y45" i="30"/>
  <c r="X45" i="30"/>
  <c r="W45" i="30"/>
  <c r="V45" i="30"/>
  <c r="U45" i="30"/>
  <c r="T45" i="30"/>
  <c r="Q45" i="30"/>
  <c r="P45" i="30"/>
  <c r="O45" i="30"/>
  <c r="G45" i="30"/>
  <c r="E45" i="30"/>
  <c r="F45" i="30" s="1"/>
  <c r="Z44" i="30"/>
  <c r="Y44" i="30"/>
  <c r="X44" i="30"/>
  <c r="W44" i="30"/>
  <c r="V44" i="30"/>
  <c r="U44" i="30"/>
  <c r="T44" i="30"/>
  <c r="S44" i="30"/>
  <c r="R44" i="30"/>
  <c r="O44" i="30"/>
  <c r="Q44" i="30" s="1"/>
  <c r="J44" i="30"/>
  <c r="I44" i="30"/>
  <c r="E44" i="30"/>
  <c r="G44" i="30" s="1"/>
  <c r="B44" i="30"/>
  <c r="Z43" i="30"/>
  <c r="Y43" i="30"/>
  <c r="X43" i="30"/>
  <c r="R43" i="30"/>
  <c r="Q43" i="30"/>
  <c r="P43" i="30"/>
  <c r="O43" i="30"/>
  <c r="J43" i="30"/>
  <c r="I43" i="30"/>
  <c r="G43" i="30"/>
  <c r="F43" i="30"/>
  <c r="E43" i="30"/>
  <c r="Z42" i="30"/>
  <c r="I42" i="30" s="1"/>
  <c r="Y42" i="30"/>
  <c r="X42" i="30" s="1"/>
  <c r="W42" i="30"/>
  <c r="V42" i="30"/>
  <c r="U42" i="30"/>
  <c r="T42" i="30"/>
  <c r="O42" i="30"/>
  <c r="J42" i="30"/>
  <c r="E42" i="30"/>
  <c r="B42" i="30"/>
  <c r="Z41" i="30"/>
  <c r="Y41" i="30"/>
  <c r="X41" i="30"/>
  <c r="W41" i="30"/>
  <c r="V41" i="30"/>
  <c r="U41" i="30"/>
  <c r="T41" i="30"/>
  <c r="S41" i="30"/>
  <c r="R41" i="30"/>
  <c r="Q41" i="30"/>
  <c r="P41" i="30"/>
  <c r="O41" i="30"/>
  <c r="G41" i="30"/>
  <c r="E41" i="30"/>
  <c r="F41" i="30" s="1"/>
  <c r="B41" i="30"/>
  <c r="Z40" i="30"/>
  <c r="Y40" i="30"/>
  <c r="Q40" i="30"/>
  <c r="P40" i="30"/>
  <c r="O40" i="30"/>
  <c r="J40" i="30"/>
  <c r="I40" i="30"/>
  <c r="G40" i="30"/>
  <c r="E40" i="30"/>
  <c r="F40" i="30" s="1"/>
  <c r="Z39" i="30"/>
  <c r="Y39" i="30"/>
  <c r="X39" i="30" s="1"/>
  <c r="W39" i="30"/>
  <c r="V39" i="30"/>
  <c r="U39" i="30"/>
  <c r="T39" i="30"/>
  <c r="P39" i="30"/>
  <c r="O39" i="30"/>
  <c r="Q39" i="30" s="1"/>
  <c r="J39" i="30"/>
  <c r="I39" i="30"/>
  <c r="G39" i="30"/>
  <c r="F39" i="30"/>
  <c r="E39" i="30"/>
  <c r="B39" i="30"/>
  <c r="Z38" i="30"/>
  <c r="I38" i="30" s="1"/>
  <c r="Y38" i="30"/>
  <c r="X38" i="30"/>
  <c r="W38" i="30"/>
  <c r="V38" i="30"/>
  <c r="U38" i="30"/>
  <c r="T38" i="30"/>
  <c r="S38" i="30"/>
  <c r="R38" i="30"/>
  <c r="O38" i="30"/>
  <c r="Q38" i="30" s="1"/>
  <c r="J38" i="30"/>
  <c r="G38" i="30"/>
  <c r="E38" i="30"/>
  <c r="F38" i="30" s="1"/>
  <c r="B38" i="30"/>
  <c r="Z37" i="30"/>
  <c r="Y37" i="30"/>
  <c r="X37" i="30"/>
  <c r="V37" i="30"/>
  <c r="Q37" i="30"/>
  <c r="P37" i="30"/>
  <c r="O37" i="30"/>
  <c r="F37" i="30"/>
  <c r="E37" i="30"/>
  <c r="G37" i="30" s="1"/>
  <c r="Z36" i="30"/>
  <c r="Y36" i="30"/>
  <c r="Q36" i="30"/>
  <c r="P36" i="30"/>
  <c r="O36" i="30"/>
  <c r="G36" i="30"/>
  <c r="E36" i="30"/>
  <c r="F36" i="30" s="1"/>
  <c r="Z35" i="30"/>
  <c r="Y35" i="30"/>
  <c r="S35" i="30" s="1"/>
  <c r="X35" i="30"/>
  <c r="W35" i="30"/>
  <c r="V35" i="30"/>
  <c r="U35" i="30"/>
  <c r="T35" i="30"/>
  <c r="R35" i="30"/>
  <c r="O35" i="30"/>
  <c r="Q35" i="30" s="1"/>
  <c r="J35" i="30"/>
  <c r="I35" i="30"/>
  <c r="G35" i="30"/>
  <c r="F35" i="30"/>
  <c r="E35" i="30"/>
  <c r="B35" i="30"/>
  <c r="Z34" i="30"/>
  <c r="Y34" i="30"/>
  <c r="X34" i="30"/>
  <c r="W34" i="30"/>
  <c r="V34" i="30"/>
  <c r="U34" i="30"/>
  <c r="T34" i="30"/>
  <c r="S34" i="30"/>
  <c r="R34" i="30"/>
  <c r="O34" i="30"/>
  <c r="J34" i="30"/>
  <c r="I34" i="30"/>
  <c r="E34" i="30"/>
  <c r="G34" i="30" s="1"/>
  <c r="B34" i="30"/>
  <c r="Z33" i="30"/>
  <c r="Y33" i="30"/>
  <c r="R33" i="30" s="1"/>
  <c r="Q33" i="30"/>
  <c r="P33" i="30"/>
  <c r="O33" i="30"/>
  <c r="E33" i="30"/>
  <c r="G33" i="30" s="1"/>
  <c r="Z32" i="30"/>
  <c r="I32" i="30" s="1"/>
  <c r="Y32" i="30"/>
  <c r="X32" i="30"/>
  <c r="P32" i="30"/>
  <c r="O32" i="30"/>
  <c r="Q32" i="30" s="1"/>
  <c r="J32" i="30"/>
  <c r="E32" i="30"/>
  <c r="G32" i="30" s="1"/>
  <c r="Z31" i="30"/>
  <c r="J31" i="30" s="1"/>
  <c r="Y31" i="30"/>
  <c r="R31" i="30" s="1"/>
  <c r="W31" i="30"/>
  <c r="V31" i="30"/>
  <c r="U31" i="30"/>
  <c r="T31" i="30"/>
  <c r="S31" i="30"/>
  <c r="O31" i="30"/>
  <c r="I31" i="30"/>
  <c r="E31" i="30"/>
  <c r="F31" i="30" s="1"/>
  <c r="B31" i="30"/>
  <c r="Z30" i="30"/>
  <c r="Y30" i="30"/>
  <c r="Q30" i="30"/>
  <c r="P30" i="30"/>
  <c r="O30" i="30"/>
  <c r="E30" i="30"/>
  <c r="F30" i="30" s="1"/>
  <c r="Z29" i="30"/>
  <c r="I29" i="30" s="1"/>
  <c r="Y29" i="30"/>
  <c r="B29" i="30" s="1"/>
  <c r="V29" i="30"/>
  <c r="U29" i="30"/>
  <c r="T29" i="30"/>
  <c r="S29" i="30"/>
  <c r="R29" i="30"/>
  <c r="O29" i="30"/>
  <c r="J29" i="30"/>
  <c r="E29" i="30"/>
  <c r="G29" i="30" s="1"/>
  <c r="Z28" i="30"/>
  <c r="Y28" i="30"/>
  <c r="X28" i="30"/>
  <c r="W28" i="30"/>
  <c r="V28" i="30"/>
  <c r="U28" i="30"/>
  <c r="T28" i="30"/>
  <c r="S28" i="30"/>
  <c r="R28" i="30"/>
  <c r="O28" i="30"/>
  <c r="J28" i="30"/>
  <c r="I28" i="30"/>
  <c r="G28" i="30"/>
  <c r="F28" i="30"/>
  <c r="E28" i="30"/>
  <c r="B28" i="30"/>
  <c r="Z27" i="30"/>
  <c r="Y27" i="30"/>
  <c r="V27" i="30"/>
  <c r="U27" i="30"/>
  <c r="T27" i="30"/>
  <c r="S27" i="30"/>
  <c r="R27" i="30"/>
  <c r="O27" i="30"/>
  <c r="Q27" i="30" s="1"/>
  <c r="J27" i="30"/>
  <c r="I27" i="30"/>
  <c r="E27" i="30"/>
  <c r="B27" i="30"/>
  <c r="Z26" i="30"/>
  <c r="Y26" i="30"/>
  <c r="U26" i="30" s="1"/>
  <c r="X26" i="30"/>
  <c r="W26" i="30"/>
  <c r="V26" i="30"/>
  <c r="T26" i="30"/>
  <c r="S26" i="30"/>
  <c r="R26" i="30"/>
  <c r="Q26" i="30"/>
  <c r="P26" i="30"/>
  <c r="O26" i="30"/>
  <c r="G26" i="30"/>
  <c r="E26" i="30"/>
  <c r="F26" i="30" s="1"/>
  <c r="B26" i="30"/>
  <c r="Z25" i="30"/>
  <c r="Y25" i="30"/>
  <c r="X25" i="30"/>
  <c r="W25" i="30"/>
  <c r="R25" i="30"/>
  <c r="P25" i="30"/>
  <c r="O25" i="30"/>
  <c r="Q25" i="30" s="1"/>
  <c r="E25" i="30"/>
  <c r="B25" i="30"/>
  <c r="Z24" i="30"/>
  <c r="J24" i="30" s="1"/>
  <c r="Y24" i="30"/>
  <c r="O24" i="30"/>
  <c r="I24" i="30"/>
  <c r="E24" i="30"/>
  <c r="G24" i="30" s="1"/>
  <c r="Z23" i="30"/>
  <c r="J23" i="30" s="1"/>
  <c r="Y23" i="30"/>
  <c r="X23" i="30" s="1"/>
  <c r="W23" i="30"/>
  <c r="V23" i="30"/>
  <c r="U23" i="30"/>
  <c r="T23" i="30"/>
  <c r="S23" i="30"/>
  <c r="R23" i="30"/>
  <c r="Q23" i="30"/>
  <c r="P23" i="30"/>
  <c r="O23" i="30"/>
  <c r="I23" i="30"/>
  <c r="E23" i="30"/>
  <c r="G23" i="30" s="1"/>
  <c r="B23" i="30"/>
  <c r="Z22" i="30"/>
  <c r="Y22" i="30"/>
  <c r="Q22" i="30"/>
  <c r="P22" i="30"/>
  <c r="O22" i="30"/>
  <c r="E22" i="30"/>
  <c r="Z21" i="30"/>
  <c r="Y21" i="30"/>
  <c r="Q21" i="30"/>
  <c r="P21" i="30"/>
  <c r="O21" i="30"/>
  <c r="G21" i="30"/>
  <c r="E21" i="30"/>
  <c r="F21" i="30" s="1"/>
  <c r="Z20" i="30"/>
  <c r="Y20" i="30"/>
  <c r="Q20" i="30"/>
  <c r="P20" i="30"/>
  <c r="O20" i="30"/>
  <c r="J20" i="30"/>
  <c r="I20" i="30"/>
  <c r="G20" i="30"/>
  <c r="F20" i="30"/>
  <c r="E20" i="30"/>
  <c r="Z19" i="30"/>
  <c r="Y19" i="30"/>
  <c r="X19" i="30"/>
  <c r="W19" i="30"/>
  <c r="V19" i="30"/>
  <c r="U19" i="30"/>
  <c r="T19" i="30"/>
  <c r="S19" i="30"/>
  <c r="R19" i="30"/>
  <c r="O19" i="30"/>
  <c r="Q19" i="30" s="1"/>
  <c r="J19" i="30"/>
  <c r="I19" i="30"/>
  <c r="G19" i="30"/>
  <c r="F19" i="30"/>
  <c r="E19" i="30"/>
  <c r="B19" i="30"/>
  <c r="Z18" i="30"/>
  <c r="Y18" i="30"/>
  <c r="U18" i="30" s="1"/>
  <c r="S18" i="30"/>
  <c r="R18" i="30"/>
  <c r="Q18" i="30"/>
  <c r="P18" i="30"/>
  <c r="O18" i="30"/>
  <c r="J18" i="30"/>
  <c r="I18" i="30"/>
  <c r="G18" i="30"/>
  <c r="E18" i="30"/>
  <c r="F18" i="30" s="1"/>
  <c r="B18" i="30"/>
  <c r="Z17" i="30"/>
  <c r="Y17" i="30"/>
  <c r="W17" i="30" s="1"/>
  <c r="X17" i="30"/>
  <c r="Q17" i="30"/>
  <c r="P17" i="30"/>
  <c r="O17" i="30"/>
  <c r="G17" i="30"/>
  <c r="F17" i="30"/>
  <c r="E17" i="30"/>
  <c r="Z16" i="30"/>
  <c r="Y16" i="30"/>
  <c r="W16" i="30" s="1"/>
  <c r="O16" i="30"/>
  <c r="P16" i="30" s="1"/>
  <c r="J16" i="30"/>
  <c r="I16" i="30"/>
  <c r="G16" i="30"/>
  <c r="F16" i="30"/>
  <c r="E16" i="30"/>
  <c r="Z15" i="30"/>
  <c r="J15" i="30" s="1"/>
  <c r="Y15" i="30"/>
  <c r="R15" i="30" s="1"/>
  <c r="X15" i="30"/>
  <c r="W15" i="30"/>
  <c r="V15" i="30"/>
  <c r="U15" i="30"/>
  <c r="T15" i="30"/>
  <c r="S15" i="30"/>
  <c r="O15" i="30"/>
  <c r="I15" i="30"/>
  <c r="G15" i="30"/>
  <c r="E15" i="30"/>
  <c r="F15" i="30" s="1"/>
  <c r="B15" i="30"/>
  <c r="Z14" i="30"/>
  <c r="Y14" i="30"/>
  <c r="X14" i="30" s="1"/>
  <c r="W14" i="30"/>
  <c r="R14" i="30"/>
  <c r="Q14" i="30"/>
  <c r="O14" i="30"/>
  <c r="P14" i="30" s="1"/>
  <c r="F14" i="30"/>
  <c r="E14" i="30"/>
  <c r="G14" i="30" s="1"/>
  <c r="Z13" i="30"/>
  <c r="Y13" i="30"/>
  <c r="X13" i="30" s="1"/>
  <c r="V13" i="30"/>
  <c r="U13" i="30"/>
  <c r="T13" i="30"/>
  <c r="S13" i="30"/>
  <c r="R13" i="30"/>
  <c r="Q13" i="30"/>
  <c r="P13" i="30"/>
  <c r="O13" i="30"/>
  <c r="F13" i="30"/>
  <c r="E13" i="30"/>
  <c r="G13" i="30" s="1"/>
  <c r="B13" i="30"/>
  <c r="Z12" i="30"/>
  <c r="Y12" i="30"/>
  <c r="B12" i="30" s="1"/>
  <c r="X12" i="30"/>
  <c r="W12" i="30"/>
  <c r="V12" i="30"/>
  <c r="U12" i="30"/>
  <c r="T12" i="30"/>
  <c r="S12" i="30"/>
  <c r="R12" i="30"/>
  <c r="P12" i="30"/>
  <c r="O12" i="30"/>
  <c r="Q12" i="30" s="1"/>
  <c r="J12" i="30"/>
  <c r="I12" i="30"/>
  <c r="E12" i="30"/>
  <c r="G12" i="30" s="1"/>
  <c r="Z11" i="30"/>
  <c r="Y11" i="30"/>
  <c r="O11" i="30"/>
  <c r="Q11" i="30" s="1"/>
  <c r="J11" i="30"/>
  <c r="I11" i="30"/>
  <c r="F11" i="30"/>
  <c r="G11" i="30" s="1"/>
  <c r="E11" i="30"/>
  <c r="Z10" i="30"/>
  <c r="Y10" i="30"/>
  <c r="P10" i="30"/>
  <c r="O10" i="30"/>
  <c r="Q10" i="30" s="1"/>
  <c r="J10" i="30"/>
  <c r="I10" i="30"/>
  <c r="G10" i="30"/>
  <c r="F10" i="30"/>
  <c r="E10" i="30"/>
  <c r="Z9" i="30"/>
  <c r="Y9" i="30"/>
  <c r="O9" i="30"/>
  <c r="J9" i="30"/>
  <c r="I9" i="30"/>
  <c r="E9" i="30"/>
  <c r="Z8" i="30"/>
  <c r="Y8" i="30"/>
  <c r="Q8" i="30"/>
  <c r="O8" i="30"/>
  <c r="P8" i="30" s="1"/>
  <c r="E8" i="30"/>
  <c r="Z7" i="30"/>
  <c r="Y7" i="30"/>
  <c r="Q7" i="30"/>
  <c r="P7" i="30"/>
  <c r="O7" i="30"/>
  <c r="J7" i="30"/>
  <c r="I7" i="30"/>
  <c r="F7" i="30"/>
  <c r="G7" i="30" s="1"/>
  <c r="E7" i="30"/>
  <c r="Z6" i="30"/>
  <c r="Y6" i="30"/>
  <c r="Q6" i="30"/>
  <c r="O6" i="30"/>
  <c r="P6" i="30" s="1"/>
  <c r="J6" i="30"/>
  <c r="I6" i="30"/>
  <c r="F6" i="30"/>
  <c r="E6" i="30"/>
  <c r="Z5" i="30"/>
  <c r="Y5" i="30"/>
  <c r="O5" i="30"/>
  <c r="E5" i="30"/>
  <c r="M50" i="29"/>
  <c r="C50" i="29"/>
  <c r="Z49" i="29"/>
  <c r="Y49" i="29"/>
  <c r="B49" i="29" s="1"/>
  <c r="U49" i="29"/>
  <c r="T49" i="29"/>
  <c r="S49" i="29"/>
  <c r="R49" i="29"/>
  <c r="O49" i="29"/>
  <c r="J49" i="29"/>
  <c r="I49" i="29"/>
  <c r="G49" i="29"/>
  <c r="F49" i="29"/>
  <c r="E49" i="29"/>
  <c r="Z48" i="29"/>
  <c r="Y48" i="29"/>
  <c r="W48" i="29"/>
  <c r="V48" i="29"/>
  <c r="O48" i="29"/>
  <c r="J48" i="29"/>
  <c r="I48" i="29"/>
  <c r="E48" i="29"/>
  <c r="G48" i="29" s="1"/>
  <c r="B48" i="29"/>
  <c r="Z47" i="29"/>
  <c r="Y47" i="29"/>
  <c r="X47" i="29" s="1"/>
  <c r="W47" i="29"/>
  <c r="U47" i="29"/>
  <c r="T47" i="29"/>
  <c r="S47" i="29"/>
  <c r="R47" i="29"/>
  <c r="Q47" i="29"/>
  <c r="P47" i="29"/>
  <c r="O47" i="29"/>
  <c r="J47" i="29"/>
  <c r="I47" i="29"/>
  <c r="G47" i="29"/>
  <c r="F47" i="29"/>
  <c r="E47" i="29"/>
  <c r="B47" i="29"/>
  <c r="Z46" i="29"/>
  <c r="Y46" i="29"/>
  <c r="U46" i="29"/>
  <c r="S46" i="29"/>
  <c r="R46" i="29"/>
  <c r="Q46" i="29"/>
  <c r="O46" i="29"/>
  <c r="P46" i="29" s="1"/>
  <c r="G46" i="29"/>
  <c r="F46" i="29"/>
  <c r="E46" i="29"/>
  <c r="Z45" i="29"/>
  <c r="Y45" i="29"/>
  <c r="O45" i="29"/>
  <c r="Q45" i="29" s="1"/>
  <c r="J45" i="29"/>
  <c r="I45" i="29"/>
  <c r="G45" i="29"/>
  <c r="E45" i="29"/>
  <c r="F45" i="29" s="1"/>
  <c r="Z44" i="29"/>
  <c r="Y44" i="29"/>
  <c r="X44" i="29" s="1"/>
  <c r="O44" i="29"/>
  <c r="J44" i="29"/>
  <c r="I44" i="29"/>
  <c r="E44" i="29"/>
  <c r="B44" i="29"/>
  <c r="Z43" i="29"/>
  <c r="Y43" i="29"/>
  <c r="W43" i="29"/>
  <c r="U43" i="29"/>
  <c r="O43" i="29"/>
  <c r="E43" i="29"/>
  <c r="G43" i="29" s="1"/>
  <c r="Z42" i="29"/>
  <c r="J42" i="29" s="1"/>
  <c r="Y42" i="29"/>
  <c r="X42" i="29" s="1"/>
  <c r="V42" i="29"/>
  <c r="U42" i="29"/>
  <c r="T42" i="29"/>
  <c r="S42" i="29"/>
  <c r="R42" i="29"/>
  <c r="Q42" i="29"/>
  <c r="O42" i="29"/>
  <c r="P42" i="29" s="1"/>
  <c r="I42" i="29"/>
  <c r="F42" i="29"/>
  <c r="E42" i="29"/>
  <c r="G42" i="29" s="1"/>
  <c r="B42" i="29"/>
  <c r="Z41" i="29"/>
  <c r="Y41" i="29"/>
  <c r="X41" i="29" s="1"/>
  <c r="W41" i="29"/>
  <c r="V41" i="29"/>
  <c r="U41" i="29"/>
  <c r="T41" i="29"/>
  <c r="S41" i="29"/>
  <c r="R41" i="29"/>
  <c r="O41" i="29"/>
  <c r="F41" i="29"/>
  <c r="E41" i="29"/>
  <c r="G41" i="29" s="1"/>
  <c r="B41" i="29"/>
  <c r="Z40" i="29"/>
  <c r="J40" i="29" s="1"/>
  <c r="Y40" i="29"/>
  <c r="X40" i="29"/>
  <c r="W40" i="29"/>
  <c r="V40" i="29"/>
  <c r="O40" i="29"/>
  <c r="I40" i="29"/>
  <c r="F40" i="29"/>
  <c r="E40" i="29"/>
  <c r="G40" i="29" s="1"/>
  <c r="B40" i="29"/>
  <c r="Z39" i="29"/>
  <c r="Y39" i="29"/>
  <c r="R39" i="29" s="1"/>
  <c r="W39" i="29"/>
  <c r="V39" i="29"/>
  <c r="U39" i="29"/>
  <c r="T39" i="29"/>
  <c r="S39" i="29"/>
  <c r="O39" i="29"/>
  <c r="Q39" i="29" s="1"/>
  <c r="J39" i="29"/>
  <c r="I39" i="29"/>
  <c r="G39" i="29"/>
  <c r="F39" i="29"/>
  <c r="E39" i="29"/>
  <c r="B39" i="29"/>
  <c r="Z38" i="29"/>
  <c r="Y38" i="29"/>
  <c r="W38" i="29"/>
  <c r="V38" i="29"/>
  <c r="Q38" i="29"/>
  <c r="P38" i="29"/>
  <c r="O38" i="29"/>
  <c r="J38" i="29"/>
  <c r="I38" i="29"/>
  <c r="E38" i="29"/>
  <c r="G38" i="29" s="1"/>
  <c r="Z37" i="29"/>
  <c r="Y37" i="29"/>
  <c r="W37" i="29" s="1"/>
  <c r="U37" i="29"/>
  <c r="T37" i="29"/>
  <c r="S37" i="29"/>
  <c r="R37" i="29"/>
  <c r="Q37" i="29"/>
  <c r="P37" i="29"/>
  <c r="O37" i="29"/>
  <c r="J37" i="29"/>
  <c r="I37" i="29"/>
  <c r="G37" i="29"/>
  <c r="F37" i="29"/>
  <c r="E37" i="29"/>
  <c r="Z36" i="29"/>
  <c r="Y36" i="29"/>
  <c r="W36" i="29"/>
  <c r="U36" i="29"/>
  <c r="R36" i="29"/>
  <c r="Q36" i="29"/>
  <c r="P36" i="29"/>
  <c r="O36" i="29"/>
  <c r="J36" i="29"/>
  <c r="I36" i="29"/>
  <c r="G36" i="29"/>
  <c r="F36" i="29"/>
  <c r="E36" i="29"/>
  <c r="B36" i="29"/>
  <c r="Z35" i="29"/>
  <c r="J35" i="29" s="1"/>
  <c r="Y35" i="29"/>
  <c r="O35" i="29"/>
  <c r="I35" i="29"/>
  <c r="F35" i="29"/>
  <c r="E35" i="29"/>
  <c r="G35" i="29" s="1"/>
  <c r="B35" i="29"/>
  <c r="Z34" i="29"/>
  <c r="Y34" i="29"/>
  <c r="X34" i="29"/>
  <c r="W34" i="29"/>
  <c r="V34" i="29"/>
  <c r="U34" i="29"/>
  <c r="S34" i="29"/>
  <c r="Q34" i="29"/>
  <c r="O34" i="29"/>
  <c r="P34" i="29" s="1"/>
  <c r="G34" i="29"/>
  <c r="E34" i="29"/>
  <c r="F34" i="29" s="1"/>
  <c r="Z33" i="29"/>
  <c r="J33" i="29" s="1"/>
  <c r="Y33" i="29"/>
  <c r="W33" i="29" s="1"/>
  <c r="X33" i="29"/>
  <c r="V33" i="29"/>
  <c r="U33" i="29"/>
  <c r="T33" i="29"/>
  <c r="S33" i="29"/>
  <c r="Q33" i="29"/>
  <c r="O33" i="29"/>
  <c r="P33" i="29" s="1"/>
  <c r="I33" i="29"/>
  <c r="G33" i="29"/>
  <c r="F33" i="29"/>
  <c r="E33" i="29"/>
  <c r="Z32" i="29"/>
  <c r="J32" i="29" s="1"/>
  <c r="Y32" i="29"/>
  <c r="X32" i="29" s="1"/>
  <c r="W32" i="29"/>
  <c r="Q32" i="29"/>
  <c r="O32" i="29"/>
  <c r="P32" i="29" s="1"/>
  <c r="I32" i="29"/>
  <c r="E32" i="29"/>
  <c r="B32" i="29"/>
  <c r="Z31" i="29"/>
  <c r="Y31" i="29"/>
  <c r="S31" i="29"/>
  <c r="R31" i="29"/>
  <c r="O31" i="29"/>
  <c r="Q31" i="29" s="1"/>
  <c r="F31" i="29"/>
  <c r="E31" i="29"/>
  <c r="G31" i="29" s="1"/>
  <c r="Z30" i="29"/>
  <c r="I30" i="29" s="1"/>
  <c r="Y30" i="29"/>
  <c r="X30" i="29"/>
  <c r="W30" i="29"/>
  <c r="V30" i="29"/>
  <c r="U30" i="29"/>
  <c r="P30" i="29"/>
  <c r="O30" i="29"/>
  <c r="Q30" i="29" s="1"/>
  <c r="J30" i="29"/>
  <c r="F30" i="29"/>
  <c r="E30" i="29"/>
  <c r="G30" i="29" s="1"/>
  <c r="B30" i="29"/>
  <c r="Z29" i="29"/>
  <c r="Y29" i="29"/>
  <c r="Q29" i="29"/>
  <c r="P29" i="29"/>
  <c r="O29" i="29"/>
  <c r="J29" i="29"/>
  <c r="I29" i="29"/>
  <c r="G29" i="29"/>
  <c r="F29" i="29"/>
  <c r="E29" i="29"/>
  <c r="Z28" i="29"/>
  <c r="Y28" i="29"/>
  <c r="Q28" i="29"/>
  <c r="O28" i="29"/>
  <c r="P28" i="29" s="1"/>
  <c r="J28" i="29"/>
  <c r="I28" i="29"/>
  <c r="E28" i="29"/>
  <c r="Z27" i="29"/>
  <c r="Y27" i="29"/>
  <c r="W27" i="29"/>
  <c r="U27" i="29"/>
  <c r="T27" i="29"/>
  <c r="S27" i="29"/>
  <c r="R27" i="29"/>
  <c r="O27" i="29"/>
  <c r="Q27" i="29" s="1"/>
  <c r="J27" i="29"/>
  <c r="I27" i="29"/>
  <c r="G27" i="29"/>
  <c r="F27" i="29"/>
  <c r="E27" i="29"/>
  <c r="Z26" i="29"/>
  <c r="Y26" i="29"/>
  <c r="W26" i="29"/>
  <c r="U26" i="29"/>
  <c r="S26" i="29"/>
  <c r="R26" i="29"/>
  <c r="O26" i="29"/>
  <c r="Q26" i="29" s="1"/>
  <c r="J26" i="29"/>
  <c r="I26" i="29"/>
  <c r="E26" i="29"/>
  <c r="B26" i="29"/>
  <c r="Z25" i="29"/>
  <c r="Y25" i="29"/>
  <c r="X25" i="29" s="1"/>
  <c r="Q25" i="29"/>
  <c r="O25" i="29"/>
  <c r="P25" i="29" s="1"/>
  <c r="G25" i="29"/>
  <c r="E25" i="29"/>
  <c r="F25" i="29" s="1"/>
  <c r="Z24" i="29"/>
  <c r="J24" i="29" s="1"/>
  <c r="Y24" i="29"/>
  <c r="V24" i="29"/>
  <c r="U24" i="29"/>
  <c r="S24" i="29"/>
  <c r="Q24" i="29"/>
  <c r="P24" i="29"/>
  <c r="O24" i="29"/>
  <c r="I24" i="29"/>
  <c r="G24" i="29"/>
  <c r="E24" i="29"/>
  <c r="F24" i="29" s="1"/>
  <c r="Z23" i="29"/>
  <c r="Y23" i="29"/>
  <c r="O23" i="29"/>
  <c r="E23" i="29"/>
  <c r="Z22" i="29"/>
  <c r="Y22" i="29"/>
  <c r="X22" i="29" s="1"/>
  <c r="O22" i="29"/>
  <c r="P22" i="29" s="1"/>
  <c r="G22" i="29"/>
  <c r="F22" i="29"/>
  <c r="E22" i="29"/>
  <c r="Z21" i="29"/>
  <c r="J21" i="29" s="1"/>
  <c r="Y21" i="29"/>
  <c r="R21" i="29" s="1"/>
  <c r="X21" i="29"/>
  <c r="W21" i="29"/>
  <c r="V21" i="29"/>
  <c r="U21" i="29"/>
  <c r="T21" i="29"/>
  <c r="S21" i="29"/>
  <c r="O21" i="29"/>
  <c r="Q21" i="29" s="1"/>
  <c r="I21" i="29"/>
  <c r="E21" i="29"/>
  <c r="B21" i="29"/>
  <c r="Z20" i="29"/>
  <c r="Y20" i="29"/>
  <c r="X20" i="29" s="1"/>
  <c r="V20" i="29"/>
  <c r="U20" i="29"/>
  <c r="T20" i="29"/>
  <c r="S20" i="29"/>
  <c r="R20" i="29"/>
  <c r="Q20" i="29"/>
  <c r="P20" i="29"/>
  <c r="O20" i="29"/>
  <c r="J20" i="29"/>
  <c r="I20" i="29"/>
  <c r="F20" i="29"/>
  <c r="E20" i="29"/>
  <c r="G20" i="29" s="1"/>
  <c r="B20" i="29"/>
  <c r="Z19" i="29"/>
  <c r="Y19" i="29"/>
  <c r="X19" i="29"/>
  <c r="S19" i="29"/>
  <c r="R19" i="29"/>
  <c r="Q19" i="29"/>
  <c r="O19" i="29"/>
  <c r="P19" i="29" s="1"/>
  <c r="J19" i="29"/>
  <c r="I19" i="29"/>
  <c r="G19" i="29"/>
  <c r="F19" i="29"/>
  <c r="E19" i="29"/>
  <c r="B19" i="29"/>
  <c r="Z18" i="29"/>
  <c r="J18" i="29" s="1"/>
  <c r="Y18" i="29"/>
  <c r="Q18" i="29"/>
  <c r="P18" i="29"/>
  <c r="O18" i="29"/>
  <c r="I18" i="29"/>
  <c r="E18" i="29"/>
  <c r="B18" i="29"/>
  <c r="Z17" i="29"/>
  <c r="Y17" i="29"/>
  <c r="W17" i="29" s="1"/>
  <c r="O17" i="29"/>
  <c r="J17" i="29"/>
  <c r="I17" i="29"/>
  <c r="E17" i="29"/>
  <c r="Z16" i="29"/>
  <c r="Y16" i="29"/>
  <c r="W16" i="29"/>
  <c r="V16" i="29"/>
  <c r="U16" i="29"/>
  <c r="T16" i="29"/>
  <c r="S16" i="29"/>
  <c r="R16" i="29"/>
  <c r="Q16" i="29"/>
  <c r="P16" i="29"/>
  <c r="O16" i="29"/>
  <c r="E16" i="29"/>
  <c r="Z15" i="29"/>
  <c r="I15" i="29" s="1"/>
  <c r="Y15" i="29"/>
  <c r="V15" i="29" s="1"/>
  <c r="X15" i="29"/>
  <c r="W15" i="29"/>
  <c r="U15" i="29"/>
  <c r="T15" i="29"/>
  <c r="S15" i="29"/>
  <c r="R15" i="29"/>
  <c r="O15" i="29"/>
  <c r="J15" i="29"/>
  <c r="G15" i="29"/>
  <c r="E15" i="29"/>
  <c r="F15" i="29" s="1"/>
  <c r="B15" i="29"/>
  <c r="Z14" i="29"/>
  <c r="Y14" i="29"/>
  <c r="W14" i="29"/>
  <c r="R14" i="29"/>
  <c r="O14" i="29"/>
  <c r="G14" i="29"/>
  <c r="F14" i="29"/>
  <c r="E14" i="29"/>
  <c r="Z13" i="29"/>
  <c r="Y13" i="29"/>
  <c r="X13" i="29"/>
  <c r="W13" i="29"/>
  <c r="V13" i="29"/>
  <c r="U13" i="29"/>
  <c r="T13" i="29"/>
  <c r="O13" i="29"/>
  <c r="J13" i="29"/>
  <c r="I13" i="29"/>
  <c r="G13" i="29"/>
  <c r="E13" i="29"/>
  <c r="F13" i="29" s="1"/>
  <c r="Z12" i="29"/>
  <c r="Y12" i="29"/>
  <c r="X12" i="29"/>
  <c r="W12" i="29"/>
  <c r="V12" i="29"/>
  <c r="U12" i="29"/>
  <c r="T12" i="29"/>
  <c r="S12" i="29"/>
  <c r="R12" i="29"/>
  <c r="Q12" i="29"/>
  <c r="O12" i="29"/>
  <c r="P12" i="29" s="1"/>
  <c r="J12" i="29"/>
  <c r="I12" i="29"/>
  <c r="G12" i="29"/>
  <c r="E12" i="29"/>
  <c r="F12" i="29" s="1"/>
  <c r="B12" i="29"/>
  <c r="Z11" i="29"/>
  <c r="I11" i="29" s="1"/>
  <c r="Y11" i="29"/>
  <c r="O11" i="29"/>
  <c r="Q11" i="29" s="1"/>
  <c r="J11" i="29"/>
  <c r="E11" i="29"/>
  <c r="F11" i="29" s="1"/>
  <c r="G11" i="29" s="1"/>
  <c r="Z10" i="29"/>
  <c r="Y10" i="29"/>
  <c r="O10" i="29"/>
  <c r="J10" i="29"/>
  <c r="I10" i="29"/>
  <c r="E10" i="29"/>
  <c r="Z9" i="29"/>
  <c r="Y9" i="29"/>
  <c r="O9" i="29"/>
  <c r="E9" i="29"/>
  <c r="F9" i="29" s="1"/>
  <c r="G9" i="29" s="1"/>
  <c r="Z8" i="29"/>
  <c r="I8" i="29" s="1"/>
  <c r="Y8" i="29"/>
  <c r="O8" i="29"/>
  <c r="J8" i="29"/>
  <c r="E8" i="29"/>
  <c r="Z7" i="29"/>
  <c r="J7" i="29" s="1"/>
  <c r="Y7" i="29"/>
  <c r="Q7" i="29"/>
  <c r="P7" i="29"/>
  <c r="O7" i="29"/>
  <c r="I7" i="29"/>
  <c r="F7" i="29"/>
  <c r="G7" i="29" s="1"/>
  <c r="E7" i="29"/>
  <c r="Z6" i="29"/>
  <c r="Y6" i="29"/>
  <c r="Q6" i="29"/>
  <c r="P6" i="29"/>
  <c r="O6" i="29"/>
  <c r="E6" i="29"/>
  <c r="Z5" i="29"/>
  <c r="Y5" i="29"/>
  <c r="O5" i="29"/>
  <c r="J5" i="29"/>
  <c r="I5" i="29"/>
  <c r="E5" i="29"/>
  <c r="M50" i="28"/>
  <c r="C50" i="28"/>
  <c r="Z49" i="28"/>
  <c r="Y49" i="28"/>
  <c r="U49" i="28"/>
  <c r="R49" i="28"/>
  <c r="P49" i="28"/>
  <c r="O49" i="28"/>
  <c r="Q49" i="28" s="1"/>
  <c r="J49" i="28"/>
  <c r="I49" i="28"/>
  <c r="G49" i="28"/>
  <c r="F49" i="28"/>
  <c r="E49" i="28"/>
  <c r="Z48" i="28"/>
  <c r="Y48" i="28"/>
  <c r="W48" i="28" s="1"/>
  <c r="X48" i="28"/>
  <c r="S48" i="28"/>
  <c r="R48" i="28"/>
  <c r="O48" i="28"/>
  <c r="J48" i="28"/>
  <c r="I48" i="28"/>
  <c r="F48" i="28"/>
  <c r="E48" i="28"/>
  <c r="G48" i="28" s="1"/>
  <c r="B48" i="28"/>
  <c r="Z47" i="28"/>
  <c r="Y47" i="28"/>
  <c r="X47" i="28"/>
  <c r="Q47" i="28"/>
  <c r="P47" i="28"/>
  <c r="O47" i="28"/>
  <c r="G47" i="28"/>
  <c r="F47" i="28"/>
  <c r="E47" i="28"/>
  <c r="Z46" i="28"/>
  <c r="Y46" i="28"/>
  <c r="X46" i="28"/>
  <c r="W46" i="28"/>
  <c r="V46" i="28"/>
  <c r="U46" i="28"/>
  <c r="T46" i="28"/>
  <c r="S46" i="28"/>
  <c r="O46" i="28"/>
  <c r="G46" i="28"/>
  <c r="F46" i="28"/>
  <c r="E46" i="28"/>
  <c r="Z45" i="28"/>
  <c r="Y45" i="28"/>
  <c r="X45" i="28"/>
  <c r="V45" i="28"/>
  <c r="U45" i="28"/>
  <c r="Q45" i="28"/>
  <c r="P45" i="28"/>
  <c r="O45" i="28"/>
  <c r="F45" i="28"/>
  <c r="E45" i="28"/>
  <c r="G45" i="28" s="1"/>
  <c r="Z44" i="28"/>
  <c r="Y44" i="28"/>
  <c r="X44" i="28"/>
  <c r="W44" i="28"/>
  <c r="V44" i="28"/>
  <c r="U44" i="28"/>
  <c r="T44" i="28"/>
  <c r="S44" i="28"/>
  <c r="R44" i="28"/>
  <c r="Q44" i="28"/>
  <c r="P44" i="28"/>
  <c r="O44" i="28"/>
  <c r="E44" i="28"/>
  <c r="G44" i="28" s="1"/>
  <c r="B44" i="28"/>
  <c r="Z43" i="28"/>
  <c r="J43" i="28" s="1"/>
  <c r="Y43" i="28"/>
  <c r="X43" i="28"/>
  <c r="W43" i="28"/>
  <c r="V43" i="28"/>
  <c r="U43" i="28"/>
  <c r="T43" i="28"/>
  <c r="S43" i="28"/>
  <c r="R43" i="28"/>
  <c r="Q43" i="28"/>
  <c r="P43" i="28"/>
  <c r="O43" i="28"/>
  <c r="I43" i="28"/>
  <c r="G43" i="28"/>
  <c r="E43" i="28"/>
  <c r="F43" i="28" s="1"/>
  <c r="B43" i="28"/>
  <c r="Z42" i="28"/>
  <c r="Y42" i="28"/>
  <c r="X42" i="28"/>
  <c r="W42" i="28"/>
  <c r="R42" i="28"/>
  <c r="O42" i="28"/>
  <c r="J42" i="28"/>
  <c r="I42" i="28"/>
  <c r="G42" i="28"/>
  <c r="F42" i="28"/>
  <c r="E42" i="28"/>
  <c r="Z41" i="28"/>
  <c r="Y41" i="28"/>
  <c r="X41" i="28" s="1"/>
  <c r="U41" i="28"/>
  <c r="T41" i="28"/>
  <c r="O41" i="28"/>
  <c r="J41" i="28"/>
  <c r="I41" i="28"/>
  <c r="E41" i="28"/>
  <c r="B41" i="28"/>
  <c r="Z40" i="28"/>
  <c r="Y40" i="28"/>
  <c r="X40" i="28"/>
  <c r="W40" i="28"/>
  <c r="V40" i="28"/>
  <c r="U40" i="28"/>
  <c r="T40" i="28"/>
  <c r="S40" i="28"/>
  <c r="R40" i="28"/>
  <c r="P40" i="28"/>
  <c r="O40" i="28"/>
  <c r="Q40" i="28" s="1"/>
  <c r="J40" i="28"/>
  <c r="I40" i="28"/>
  <c r="E40" i="28"/>
  <c r="B40" i="28"/>
  <c r="Z39" i="28"/>
  <c r="Y39" i="28"/>
  <c r="U39" i="28"/>
  <c r="T39" i="28"/>
  <c r="S39" i="28"/>
  <c r="R39" i="28"/>
  <c r="O39" i="28"/>
  <c r="Q39" i="28" s="1"/>
  <c r="J39" i="28"/>
  <c r="I39" i="28"/>
  <c r="F39" i="28"/>
  <c r="E39" i="28"/>
  <c r="G39" i="28" s="1"/>
  <c r="Z38" i="28"/>
  <c r="Y38" i="28"/>
  <c r="X38" i="28"/>
  <c r="W38" i="28"/>
  <c r="S38" i="28"/>
  <c r="R38" i="28"/>
  <c r="O38" i="28"/>
  <c r="Q38" i="28" s="1"/>
  <c r="G38" i="28"/>
  <c r="F38" i="28"/>
  <c r="E38" i="28"/>
  <c r="B38" i="28"/>
  <c r="Z37" i="28"/>
  <c r="Y37" i="28"/>
  <c r="X37" i="28"/>
  <c r="W37" i="28"/>
  <c r="V37" i="28"/>
  <c r="U37" i="28"/>
  <c r="O37" i="28"/>
  <c r="G37" i="28"/>
  <c r="F37" i="28"/>
  <c r="E37" i="28"/>
  <c r="B37" i="28"/>
  <c r="Z36" i="28"/>
  <c r="J36" i="28" s="1"/>
  <c r="Y36" i="28"/>
  <c r="X36" i="28"/>
  <c r="W36" i="28"/>
  <c r="V36" i="28"/>
  <c r="U36" i="28"/>
  <c r="O36" i="28"/>
  <c r="I36" i="28"/>
  <c r="E36" i="28"/>
  <c r="B36" i="28"/>
  <c r="Z35" i="28"/>
  <c r="Y35" i="28"/>
  <c r="X35" i="28"/>
  <c r="W35" i="28"/>
  <c r="V35" i="28"/>
  <c r="U35" i="28"/>
  <c r="T35" i="28"/>
  <c r="Q35" i="28"/>
  <c r="P35" i="28"/>
  <c r="O35" i="28"/>
  <c r="E35" i="28"/>
  <c r="Z34" i="28"/>
  <c r="I34" i="28" s="1"/>
  <c r="Y34" i="28"/>
  <c r="B34" i="28" s="1"/>
  <c r="W34" i="28"/>
  <c r="V34" i="28"/>
  <c r="U34" i="28"/>
  <c r="T34" i="28"/>
  <c r="S34" i="28"/>
  <c r="R34" i="28"/>
  <c r="Q34" i="28"/>
  <c r="O34" i="28"/>
  <c r="P34" i="28" s="1"/>
  <c r="J34" i="28"/>
  <c r="F34" i="28"/>
  <c r="E34" i="28"/>
  <c r="G34" i="28" s="1"/>
  <c r="Z33" i="28"/>
  <c r="Y33" i="28"/>
  <c r="W33" i="28" s="1"/>
  <c r="X33" i="28"/>
  <c r="V33" i="28"/>
  <c r="U33" i="28"/>
  <c r="T33" i="28"/>
  <c r="S33" i="28"/>
  <c r="R33" i="28"/>
  <c r="Q33" i="28"/>
  <c r="P33" i="28"/>
  <c r="O33" i="28"/>
  <c r="J33" i="28"/>
  <c r="I33" i="28"/>
  <c r="G33" i="28"/>
  <c r="E33" i="28"/>
  <c r="F33" i="28" s="1"/>
  <c r="B33" i="28"/>
  <c r="Z32" i="28"/>
  <c r="Y32" i="28"/>
  <c r="B32" i="28" s="1"/>
  <c r="X32" i="28"/>
  <c r="W32" i="28"/>
  <c r="V32" i="28"/>
  <c r="U32" i="28"/>
  <c r="T32" i="28"/>
  <c r="S32" i="28"/>
  <c r="R32" i="28"/>
  <c r="Q32" i="28"/>
  <c r="P32" i="28"/>
  <c r="O32" i="28"/>
  <c r="J32" i="28"/>
  <c r="I32" i="28"/>
  <c r="G32" i="28"/>
  <c r="F32" i="28"/>
  <c r="E32" i="28"/>
  <c r="Z31" i="28"/>
  <c r="Y31" i="28"/>
  <c r="O31" i="28"/>
  <c r="J31" i="28"/>
  <c r="I31" i="28"/>
  <c r="F31" i="28"/>
  <c r="E31" i="28"/>
  <c r="G31" i="28" s="1"/>
  <c r="Z30" i="28"/>
  <c r="J30" i="28" s="1"/>
  <c r="Y30" i="28"/>
  <c r="X30" i="28"/>
  <c r="W30" i="28"/>
  <c r="V30" i="28"/>
  <c r="U30" i="28"/>
  <c r="T30" i="28"/>
  <c r="S30" i="28"/>
  <c r="R30" i="28"/>
  <c r="Q30" i="28"/>
  <c r="P30" i="28"/>
  <c r="O30" i="28"/>
  <c r="I30" i="28"/>
  <c r="G30" i="28"/>
  <c r="F30" i="28"/>
  <c r="E30" i="28"/>
  <c r="B30" i="28"/>
  <c r="Z29" i="28"/>
  <c r="Y29" i="28"/>
  <c r="X29" i="28"/>
  <c r="U29" i="28"/>
  <c r="T29" i="28"/>
  <c r="S29" i="28"/>
  <c r="R29" i="28"/>
  <c r="Q29" i="28"/>
  <c r="O29" i="28"/>
  <c r="P29" i="28" s="1"/>
  <c r="G29" i="28"/>
  <c r="E29" i="28"/>
  <c r="F29" i="28" s="1"/>
  <c r="B29" i="28"/>
  <c r="Z28" i="28"/>
  <c r="Y28" i="28"/>
  <c r="X28" i="28"/>
  <c r="P28" i="28"/>
  <c r="O28" i="28"/>
  <c r="Q28" i="28" s="1"/>
  <c r="E28" i="28"/>
  <c r="G28" i="28" s="1"/>
  <c r="Z27" i="28"/>
  <c r="Y27" i="28"/>
  <c r="X27" i="28"/>
  <c r="W27" i="28"/>
  <c r="V27" i="28"/>
  <c r="U27" i="28"/>
  <c r="T27" i="28"/>
  <c r="O27" i="28"/>
  <c r="J27" i="28"/>
  <c r="I27" i="28"/>
  <c r="G27" i="28"/>
  <c r="E27" i="28"/>
  <c r="F27" i="28" s="1"/>
  <c r="B27" i="28"/>
  <c r="Z26" i="28"/>
  <c r="Y26" i="28"/>
  <c r="X26" i="28"/>
  <c r="W26" i="28"/>
  <c r="V26" i="28"/>
  <c r="U26" i="28"/>
  <c r="T26" i="28"/>
  <c r="S26" i="28"/>
  <c r="R26" i="28"/>
  <c r="O26" i="28"/>
  <c r="J26" i="28"/>
  <c r="I26" i="28"/>
  <c r="E26" i="28"/>
  <c r="B26" i="28"/>
  <c r="Z25" i="28"/>
  <c r="Y25" i="28"/>
  <c r="X25" i="28"/>
  <c r="W25" i="28"/>
  <c r="R25" i="28"/>
  <c r="Q25" i="28"/>
  <c r="P25" i="28"/>
  <c r="O25" i="28"/>
  <c r="E25" i="28"/>
  <c r="B25" i="28"/>
  <c r="Z24" i="28"/>
  <c r="Y24" i="28"/>
  <c r="V24" i="28" s="1"/>
  <c r="O24" i="28"/>
  <c r="E24" i="28"/>
  <c r="Z23" i="28"/>
  <c r="Y23" i="28"/>
  <c r="B23" i="28" s="1"/>
  <c r="X23" i="28"/>
  <c r="W23" i="28"/>
  <c r="V23" i="28"/>
  <c r="U23" i="28"/>
  <c r="T23" i="28"/>
  <c r="S23" i="28"/>
  <c r="R23" i="28"/>
  <c r="Q23" i="28"/>
  <c r="P23" i="28"/>
  <c r="O23" i="28"/>
  <c r="G23" i="28"/>
  <c r="E23" i="28"/>
  <c r="F23" i="28" s="1"/>
  <c r="Z22" i="28"/>
  <c r="Y22" i="28"/>
  <c r="X22" i="28"/>
  <c r="W22" i="28"/>
  <c r="R22" i="28"/>
  <c r="Q22" i="28"/>
  <c r="O22" i="28"/>
  <c r="P22" i="28" s="1"/>
  <c r="J22" i="28"/>
  <c r="I22" i="28"/>
  <c r="E22" i="28"/>
  <c r="G22" i="28" s="1"/>
  <c r="Z21" i="28"/>
  <c r="Y21" i="28"/>
  <c r="V21" i="28"/>
  <c r="U21" i="28"/>
  <c r="T21" i="28"/>
  <c r="S21" i="28"/>
  <c r="R21" i="28"/>
  <c r="Q21" i="28"/>
  <c r="P21" i="28"/>
  <c r="O21" i="28"/>
  <c r="J21" i="28"/>
  <c r="I21" i="28"/>
  <c r="E21" i="28"/>
  <c r="G21" i="28" s="1"/>
  <c r="Z20" i="28"/>
  <c r="Y20" i="28"/>
  <c r="X20" i="28"/>
  <c r="W20" i="28"/>
  <c r="V20" i="28"/>
  <c r="U20" i="28"/>
  <c r="T20" i="28"/>
  <c r="S20" i="28"/>
  <c r="R20" i="28"/>
  <c r="O20" i="28"/>
  <c r="J20" i="28"/>
  <c r="I20" i="28"/>
  <c r="E20" i="28"/>
  <c r="G20" i="28" s="1"/>
  <c r="B20" i="28"/>
  <c r="Z19" i="28"/>
  <c r="Y19" i="28"/>
  <c r="X19" i="28"/>
  <c r="U19" i="28"/>
  <c r="T19" i="28"/>
  <c r="S19" i="28"/>
  <c r="R19" i="28"/>
  <c r="P19" i="28"/>
  <c r="O19" i="28"/>
  <c r="Q19" i="28" s="1"/>
  <c r="J19" i="28"/>
  <c r="I19" i="28"/>
  <c r="G19" i="28"/>
  <c r="F19" i="28"/>
  <c r="E19" i="28"/>
  <c r="B19" i="28"/>
  <c r="Z18" i="28"/>
  <c r="Y18" i="28"/>
  <c r="X18" i="28"/>
  <c r="W18" i="28"/>
  <c r="V18" i="28"/>
  <c r="O18" i="28"/>
  <c r="G18" i="28"/>
  <c r="E18" i="28"/>
  <c r="F18" i="28" s="1"/>
  <c r="B18" i="28"/>
  <c r="Z17" i="28"/>
  <c r="Y17" i="28"/>
  <c r="X17" i="28"/>
  <c r="V17" i="28"/>
  <c r="U17" i="28"/>
  <c r="T17" i="28"/>
  <c r="Q17" i="28"/>
  <c r="P17" i="28"/>
  <c r="O17" i="28"/>
  <c r="G17" i="28"/>
  <c r="F17" i="28"/>
  <c r="E17" i="28"/>
  <c r="Z16" i="28"/>
  <c r="Y16" i="28"/>
  <c r="B16" i="28" s="1"/>
  <c r="X16" i="28"/>
  <c r="W16" i="28"/>
  <c r="V16" i="28"/>
  <c r="U16" i="28"/>
  <c r="T16" i="28"/>
  <c r="S16" i="28"/>
  <c r="R16" i="28"/>
  <c r="P16" i="28"/>
  <c r="O16" i="28"/>
  <c r="Q16" i="28" s="1"/>
  <c r="J16" i="28"/>
  <c r="I16" i="28"/>
  <c r="F16" i="28"/>
  <c r="E16" i="28"/>
  <c r="G16" i="28" s="1"/>
  <c r="Z15" i="28"/>
  <c r="Y15" i="28"/>
  <c r="B15" i="28" s="1"/>
  <c r="X15" i="28"/>
  <c r="W15" i="28"/>
  <c r="V15" i="28"/>
  <c r="U15" i="28"/>
  <c r="T15" i="28"/>
  <c r="S15" i="28"/>
  <c r="R15" i="28"/>
  <c r="Q15" i="28"/>
  <c r="P15" i="28"/>
  <c r="O15" i="28"/>
  <c r="J15" i="28"/>
  <c r="I15" i="28"/>
  <c r="G15" i="28"/>
  <c r="F15" i="28"/>
  <c r="E15" i="28"/>
  <c r="Z14" i="28"/>
  <c r="I14" i="28" s="1"/>
  <c r="Y14" i="28"/>
  <c r="W14" i="28" s="1"/>
  <c r="X14" i="28"/>
  <c r="V14" i="28"/>
  <c r="U14" i="28"/>
  <c r="T14" i="28"/>
  <c r="S14" i="28"/>
  <c r="R14" i="28"/>
  <c r="O14" i="28"/>
  <c r="J14" i="28"/>
  <c r="E14" i="28"/>
  <c r="B14" i="28"/>
  <c r="Z13" i="28"/>
  <c r="Y13" i="28"/>
  <c r="X13" i="28"/>
  <c r="W13" i="28"/>
  <c r="V13" i="28"/>
  <c r="U13" i="28"/>
  <c r="T13" i="28"/>
  <c r="S13" i="28"/>
  <c r="R13" i="28"/>
  <c r="Q13" i="28"/>
  <c r="O13" i="28"/>
  <c r="P13" i="28" s="1"/>
  <c r="G13" i="28"/>
  <c r="E13" i="28"/>
  <c r="F13" i="28" s="1"/>
  <c r="B13" i="28"/>
  <c r="Z12" i="28"/>
  <c r="Y12" i="28"/>
  <c r="O12" i="28"/>
  <c r="J12" i="28"/>
  <c r="I12" i="28"/>
  <c r="G12" i="28"/>
  <c r="E12" i="28"/>
  <c r="F12" i="28" s="1"/>
  <c r="Z11" i="28"/>
  <c r="Y11" i="28"/>
  <c r="O11" i="28"/>
  <c r="E11" i="28"/>
  <c r="Z10" i="28"/>
  <c r="Y10" i="28"/>
  <c r="O10" i="28"/>
  <c r="Q10" i="28" s="1"/>
  <c r="E10" i="28"/>
  <c r="Z9" i="28"/>
  <c r="Y9" i="28"/>
  <c r="O9" i="28"/>
  <c r="E9" i="28"/>
  <c r="Z8" i="28"/>
  <c r="Y8" i="28"/>
  <c r="P8" i="28"/>
  <c r="O8" i="28"/>
  <c r="Q8" i="28" s="1"/>
  <c r="J8" i="28"/>
  <c r="I8" i="28"/>
  <c r="G8" i="28"/>
  <c r="E8" i="28"/>
  <c r="F8" i="28" s="1"/>
  <c r="Z7" i="28"/>
  <c r="Y7" i="28"/>
  <c r="O7" i="28"/>
  <c r="Q7" i="28" s="1"/>
  <c r="J7" i="28"/>
  <c r="I7" i="28"/>
  <c r="F7" i="28"/>
  <c r="E7" i="28"/>
  <c r="G7" i="28" s="1"/>
  <c r="Z6" i="28"/>
  <c r="Y6" i="28"/>
  <c r="P6" i="28"/>
  <c r="O6" i="28"/>
  <c r="J6" i="28"/>
  <c r="I6" i="28"/>
  <c r="E6" i="28"/>
  <c r="Z5" i="28"/>
  <c r="Y5" i="28"/>
  <c r="Q5" i="28"/>
  <c r="P5" i="28"/>
  <c r="O5" i="28"/>
  <c r="F5" i="28"/>
  <c r="E5" i="28"/>
  <c r="M50" i="27"/>
  <c r="C50" i="27"/>
  <c r="Z49" i="27"/>
  <c r="Y49" i="27"/>
  <c r="X49" i="27"/>
  <c r="W49" i="27"/>
  <c r="V49" i="27"/>
  <c r="U49" i="27"/>
  <c r="T49" i="27"/>
  <c r="S49" i="27"/>
  <c r="R49" i="27"/>
  <c r="Q49" i="27"/>
  <c r="P49" i="27"/>
  <c r="O49" i="27"/>
  <c r="G49" i="27"/>
  <c r="F49" i="27"/>
  <c r="E49" i="27"/>
  <c r="B49" i="27"/>
  <c r="Z48" i="27"/>
  <c r="Y48" i="27"/>
  <c r="X48" i="27"/>
  <c r="W48" i="27"/>
  <c r="V48" i="27"/>
  <c r="U48" i="27"/>
  <c r="T48" i="27"/>
  <c r="S48" i="27"/>
  <c r="R48" i="27"/>
  <c r="Q48" i="27"/>
  <c r="P48" i="27"/>
  <c r="O48" i="27"/>
  <c r="E48" i="27"/>
  <c r="G48" i="27" s="1"/>
  <c r="B48" i="27"/>
  <c r="Z47" i="27"/>
  <c r="Y47" i="27"/>
  <c r="V47" i="27"/>
  <c r="U47" i="27"/>
  <c r="T47" i="27"/>
  <c r="S47" i="27"/>
  <c r="R47" i="27"/>
  <c r="Q47" i="27"/>
  <c r="P47" i="27"/>
  <c r="O47" i="27"/>
  <c r="J47" i="27"/>
  <c r="I47" i="27"/>
  <c r="G47" i="27"/>
  <c r="F47" i="27"/>
  <c r="E47" i="27"/>
  <c r="Z46" i="27"/>
  <c r="Y46" i="27"/>
  <c r="U46" i="27" s="1"/>
  <c r="X46" i="27"/>
  <c r="V46" i="27"/>
  <c r="T46" i="27"/>
  <c r="S46" i="27"/>
  <c r="R46" i="27"/>
  <c r="P46" i="27"/>
  <c r="O46" i="27"/>
  <c r="Q46" i="27" s="1"/>
  <c r="J46" i="27"/>
  <c r="I46" i="27"/>
  <c r="G46" i="27"/>
  <c r="F46" i="27"/>
  <c r="E46" i="27"/>
  <c r="B46" i="27"/>
  <c r="Z45" i="27"/>
  <c r="Y45" i="27"/>
  <c r="S45" i="27" s="1"/>
  <c r="X45" i="27"/>
  <c r="W45" i="27"/>
  <c r="V45" i="27"/>
  <c r="U45" i="27"/>
  <c r="T45" i="27"/>
  <c r="R45" i="27"/>
  <c r="Q45" i="27"/>
  <c r="P45" i="27"/>
  <c r="O45" i="27"/>
  <c r="J45" i="27"/>
  <c r="I45" i="27"/>
  <c r="E45" i="27"/>
  <c r="B45" i="27"/>
  <c r="Z44" i="27"/>
  <c r="I44" i="27" s="1"/>
  <c r="Y44" i="27"/>
  <c r="X44" i="27"/>
  <c r="W44" i="27"/>
  <c r="R44" i="27"/>
  <c r="O44" i="27"/>
  <c r="J44" i="27"/>
  <c r="F44" i="27"/>
  <c r="E44" i="27"/>
  <c r="G44" i="27" s="1"/>
  <c r="B44" i="27"/>
  <c r="Z43" i="27"/>
  <c r="J43" i="27" s="1"/>
  <c r="Y43" i="27"/>
  <c r="X43" i="27"/>
  <c r="W43" i="27"/>
  <c r="V43" i="27"/>
  <c r="U43" i="27"/>
  <c r="T43" i="27"/>
  <c r="O43" i="27"/>
  <c r="I43" i="27"/>
  <c r="E43" i="27"/>
  <c r="G43" i="27" s="1"/>
  <c r="Z42" i="27"/>
  <c r="J42" i="27" s="1"/>
  <c r="Y42" i="27"/>
  <c r="V42" i="27"/>
  <c r="U42" i="27"/>
  <c r="T42" i="27"/>
  <c r="S42" i="27"/>
  <c r="P42" i="27"/>
  <c r="O42" i="27"/>
  <c r="Q42" i="27" s="1"/>
  <c r="I42" i="27"/>
  <c r="E42" i="27"/>
  <c r="G42" i="27" s="1"/>
  <c r="Z41" i="27"/>
  <c r="Y41" i="27"/>
  <c r="X41" i="27"/>
  <c r="W41" i="27"/>
  <c r="V41" i="27"/>
  <c r="U41" i="27"/>
  <c r="T41" i="27"/>
  <c r="S41" i="27"/>
  <c r="R41" i="27"/>
  <c r="Q41" i="27"/>
  <c r="P41" i="27"/>
  <c r="O41" i="27"/>
  <c r="G41" i="27"/>
  <c r="F41" i="27"/>
  <c r="E41" i="27"/>
  <c r="B41" i="27"/>
  <c r="Z40" i="27"/>
  <c r="Y40" i="27"/>
  <c r="X40" i="27"/>
  <c r="Q40" i="27"/>
  <c r="P40" i="27"/>
  <c r="O40" i="27"/>
  <c r="E40" i="27"/>
  <c r="G40" i="27" s="1"/>
  <c r="B40" i="27"/>
  <c r="Z39" i="27"/>
  <c r="Y39" i="27"/>
  <c r="U39" i="27"/>
  <c r="T39" i="27"/>
  <c r="S39" i="27"/>
  <c r="Q39" i="27"/>
  <c r="O39" i="27"/>
  <c r="P39" i="27" s="1"/>
  <c r="J39" i="27"/>
  <c r="I39" i="27"/>
  <c r="G39" i="27"/>
  <c r="E39" i="27"/>
  <c r="F39" i="27" s="1"/>
  <c r="Z38" i="27"/>
  <c r="Y38" i="27"/>
  <c r="W38" i="27"/>
  <c r="V38" i="27"/>
  <c r="U38" i="27"/>
  <c r="T38" i="27"/>
  <c r="S38" i="27"/>
  <c r="R38" i="27"/>
  <c r="P38" i="27"/>
  <c r="O38" i="27"/>
  <c r="Q38" i="27" s="1"/>
  <c r="J38" i="27"/>
  <c r="I38" i="27"/>
  <c r="G38" i="27"/>
  <c r="E38" i="27"/>
  <c r="F38" i="27" s="1"/>
  <c r="Z37" i="27"/>
  <c r="Y37" i="27"/>
  <c r="X37" i="27"/>
  <c r="W37" i="27"/>
  <c r="V37" i="27"/>
  <c r="U37" i="27"/>
  <c r="T37" i="27"/>
  <c r="S37" i="27"/>
  <c r="R37" i="27"/>
  <c r="O37" i="27"/>
  <c r="J37" i="27"/>
  <c r="I37" i="27"/>
  <c r="E37" i="27"/>
  <c r="B37" i="27"/>
  <c r="Z36" i="27"/>
  <c r="Y36" i="27"/>
  <c r="X36" i="27"/>
  <c r="W36" i="27"/>
  <c r="V36" i="27"/>
  <c r="U36" i="27"/>
  <c r="T36" i="27"/>
  <c r="S36" i="27"/>
  <c r="R36" i="27"/>
  <c r="O36" i="27"/>
  <c r="J36" i="27"/>
  <c r="I36" i="27"/>
  <c r="G36" i="27"/>
  <c r="F36" i="27"/>
  <c r="E36" i="27"/>
  <c r="B36" i="27"/>
  <c r="Z35" i="27"/>
  <c r="Y35" i="27"/>
  <c r="P35" i="27"/>
  <c r="O35" i="27"/>
  <c r="Q35" i="27" s="1"/>
  <c r="F35" i="27"/>
  <c r="E35" i="27"/>
  <c r="G35" i="27" s="1"/>
  <c r="B35" i="27"/>
  <c r="Z34" i="27"/>
  <c r="J34" i="27" s="1"/>
  <c r="Y34" i="27"/>
  <c r="X34" i="27" s="1"/>
  <c r="R34" i="27"/>
  <c r="Q34" i="27"/>
  <c r="P34" i="27"/>
  <c r="O34" i="27"/>
  <c r="F34" i="27"/>
  <c r="E34" i="27"/>
  <c r="G34" i="27" s="1"/>
  <c r="Z33" i="27"/>
  <c r="Y33" i="27"/>
  <c r="X33" i="27" s="1"/>
  <c r="W33" i="27"/>
  <c r="V33" i="27"/>
  <c r="T33" i="27"/>
  <c r="O33" i="27"/>
  <c r="J33" i="27"/>
  <c r="I33" i="27"/>
  <c r="G33" i="27"/>
  <c r="F33" i="27"/>
  <c r="E33" i="27"/>
  <c r="Z32" i="27"/>
  <c r="Y32" i="27"/>
  <c r="X32" i="27"/>
  <c r="W32" i="27"/>
  <c r="V32" i="27"/>
  <c r="U32" i="27"/>
  <c r="T32" i="27"/>
  <c r="S32" i="27"/>
  <c r="R32" i="27"/>
  <c r="O32" i="27"/>
  <c r="Q32" i="27" s="1"/>
  <c r="J32" i="27"/>
  <c r="I32" i="27"/>
  <c r="E32" i="27"/>
  <c r="B32" i="27"/>
  <c r="Z31" i="27"/>
  <c r="Y31" i="27"/>
  <c r="T31" i="27" s="1"/>
  <c r="Q31" i="27"/>
  <c r="P31" i="27"/>
  <c r="O31" i="27"/>
  <c r="G31" i="27"/>
  <c r="F31" i="27"/>
  <c r="E31" i="27"/>
  <c r="B31" i="27"/>
  <c r="Z30" i="27"/>
  <c r="Y30" i="27"/>
  <c r="X30" i="27"/>
  <c r="W30" i="27"/>
  <c r="V30" i="27"/>
  <c r="U30" i="27"/>
  <c r="O30" i="27"/>
  <c r="E30" i="27"/>
  <c r="B30" i="27"/>
  <c r="Z29" i="27"/>
  <c r="Y29" i="27"/>
  <c r="X29" i="27" s="1"/>
  <c r="U29" i="27"/>
  <c r="T29" i="27"/>
  <c r="S29" i="27"/>
  <c r="R29" i="27"/>
  <c r="Q29" i="27"/>
  <c r="P29" i="27"/>
  <c r="O29" i="27"/>
  <c r="G29" i="27"/>
  <c r="E29" i="27"/>
  <c r="F29" i="27" s="1"/>
  <c r="Z28" i="27"/>
  <c r="J28" i="27" s="1"/>
  <c r="Y28" i="27"/>
  <c r="B28" i="27" s="1"/>
  <c r="X28" i="27"/>
  <c r="W28" i="27"/>
  <c r="V28" i="27"/>
  <c r="U28" i="27"/>
  <c r="T28" i="27"/>
  <c r="S28" i="27"/>
  <c r="R28" i="27"/>
  <c r="O28" i="27"/>
  <c r="I28" i="27"/>
  <c r="G28" i="27"/>
  <c r="E28" i="27"/>
  <c r="F28" i="27" s="1"/>
  <c r="Z27" i="27"/>
  <c r="Y27" i="27"/>
  <c r="X27" i="27"/>
  <c r="W27" i="27"/>
  <c r="V27" i="27"/>
  <c r="U27" i="27"/>
  <c r="T27" i="27"/>
  <c r="S27" i="27"/>
  <c r="R27" i="27"/>
  <c r="Q27" i="27"/>
  <c r="O27" i="27"/>
  <c r="P27" i="27" s="1"/>
  <c r="J27" i="27"/>
  <c r="I27" i="27"/>
  <c r="E27" i="27"/>
  <c r="B27" i="27"/>
  <c r="Z26" i="27"/>
  <c r="Y26" i="27"/>
  <c r="X26" i="27"/>
  <c r="W26" i="27"/>
  <c r="V26" i="27"/>
  <c r="U26" i="27"/>
  <c r="T26" i="27"/>
  <c r="S26" i="27"/>
  <c r="R26" i="27"/>
  <c r="Q26" i="27"/>
  <c r="O26" i="27"/>
  <c r="P26" i="27" s="1"/>
  <c r="J26" i="27"/>
  <c r="I26" i="27"/>
  <c r="G26" i="27"/>
  <c r="F26" i="27"/>
  <c r="E26" i="27"/>
  <c r="B26" i="27"/>
  <c r="Z25" i="27"/>
  <c r="Y25" i="27"/>
  <c r="Q25" i="27"/>
  <c r="P25" i="27"/>
  <c r="O25" i="27"/>
  <c r="E25" i="27"/>
  <c r="G25" i="27" s="1"/>
  <c r="Z24" i="27"/>
  <c r="Y24" i="27"/>
  <c r="X24" i="27" s="1"/>
  <c r="R24" i="27"/>
  <c r="Q24" i="27"/>
  <c r="O24" i="27"/>
  <c r="P24" i="27" s="1"/>
  <c r="G24" i="27"/>
  <c r="F24" i="27"/>
  <c r="E24" i="27"/>
  <c r="Z23" i="27"/>
  <c r="Y23" i="27"/>
  <c r="X23" i="27"/>
  <c r="W23" i="27"/>
  <c r="U23" i="27"/>
  <c r="T23" i="27"/>
  <c r="O23" i="27"/>
  <c r="Q23" i="27" s="1"/>
  <c r="J23" i="27"/>
  <c r="I23" i="27"/>
  <c r="G23" i="27"/>
  <c r="E23" i="27"/>
  <c r="F23" i="27" s="1"/>
  <c r="Z22" i="27"/>
  <c r="Y22" i="27"/>
  <c r="X22" i="27"/>
  <c r="O22" i="27"/>
  <c r="Q22" i="27" s="1"/>
  <c r="J22" i="27"/>
  <c r="I22" i="27"/>
  <c r="G22" i="27"/>
  <c r="E22" i="27"/>
  <c r="F22" i="27" s="1"/>
  <c r="Z21" i="27"/>
  <c r="Y21" i="27"/>
  <c r="X21" i="27"/>
  <c r="W21" i="27"/>
  <c r="V21" i="27"/>
  <c r="U21" i="27"/>
  <c r="T21" i="27"/>
  <c r="S21" i="27"/>
  <c r="R21" i="27"/>
  <c r="Q21" i="27"/>
  <c r="P21" i="27"/>
  <c r="O21" i="27"/>
  <c r="E21" i="27"/>
  <c r="F21" i="27" s="1"/>
  <c r="B21" i="27"/>
  <c r="Z20" i="27"/>
  <c r="Y20" i="27"/>
  <c r="X20" i="27" s="1"/>
  <c r="W20" i="27"/>
  <c r="Q20" i="27"/>
  <c r="P20" i="27"/>
  <c r="O20" i="27"/>
  <c r="E20" i="27"/>
  <c r="B20" i="27"/>
  <c r="Z19" i="27"/>
  <c r="Y19" i="27"/>
  <c r="W19" i="27"/>
  <c r="V19" i="27"/>
  <c r="U19" i="27"/>
  <c r="Q19" i="27"/>
  <c r="O19" i="27"/>
  <c r="P19" i="27" s="1"/>
  <c r="G19" i="27"/>
  <c r="E19" i="27"/>
  <c r="F19" i="27" s="1"/>
  <c r="Z18" i="27"/>
  <c r="Y18" i="27"/>
  <c r="B18" i="27" s="1"/>
  <c r="X18" i="27"/>
  <c r="W18" i="27"/>
  <c r="V18" i="27"/>
  <c r="U18" i="27"/>
  <c r="T18" i="27"/>
  <c r="S18" i="27"/>
  <c r="R18" i="27"/>
  <c r="Q18" i="27"/>
  <c r="O18" i="27"/>
  <c r="P18" i="27" s="1"/>
  <c r="J18" i="27"/>
  <c r="I18" i="27"/>
  <c r="E18" i="27"/>
  <c r="G18" i="27" s="1"/>
  <c r="Z17" i="27"/>
  <c r="Y17" i="27"/>
  <c r="X17" i="27"/>
  <c r="W17" i="27"/>
  <c r="V17" i="27"/>
  <c r="U17" i="27"/>
  <c r="T17" i="27"/>
  <c r="S17" i="27"/>
  <c r="R17" i="27"/>
  <c r="O17" i="27"/>
  <c r="J17" i="27"/>
  <c r="I17" i="27"/>
  <c r="G17" i="27"/>
  <c r="F17" i="27"/>
  <c r="E17" i="27"/>
  <c r="B17" i="27"/>
  <c r="Z16" i="27"/>
  <c r="Y16" i="27"/>
  <c r="X16" i="27"/>
  <c r="W16" i="27"/>
  <c r="V16" i="27"/>
  <c r="U16" i="27"/>
  <c r="T16" i="27"/>
  <c r="S16" i="27"/>
  <c r="R16" i="27"/>
  <c r="Q16" i="27"/>
  <c r="P16" i="27"/>
  <c r="O16" i="27"/>
  <c r="J16" i="27"/>
  <c r="I16" i="27"/>
  <c r="F16" i="27"/>
  <c r="E16" i="27"/>
  <c r="G16" i="27" s="1"/>
  <c r="B16" i="27"/>
  <c r="Z15" i="27"/>
  <c r="J15" i="27" s="1"/>
  <c r="Y15" i="27"/>
  <c r="X15" i="27"/>
  <c r="T15" i="27"/>
  <c r="S15" i="27"/>
  <c r="R15" i="27"/>
  <c r="Q15" i="27"/>
  <c r="O15" i="27"/>
  <c r="P15" i="27" s="1"/>
  <c r="I15" i="27"/>
  <c r="G15" i="27"/>
  <c r="F15" i="27"/>
  <c r="E15" i="27"/>
  <c r="B15" i="27"/>
  <c r="Z14" i="27"/>
  <c r="J14" i="27" s="1"/>
  <c r="Y14" i="27"/>
  <c r="X14" i="27"/>
  <c r="W14" i="27"/>
  <c r="V14" i="27"/>
  <c r="R14" i="27"/>
  <c r="O14" i="27"/>
  <c r="Q14" i="27" s="1"/>
  <c r="I14" i="27"/>
  <c r="G14" i="27"/>
  <c r="E14" i="27"/>
  <c r="F14" i="27" s="1"/>
  <c r="Z13" i="27"/>
  <c r="Y13" i="27"/>
  <c r="X13" i="27"/>
  <c r="V13" i="27"/>
  <c r="U13" i="27"/>
  <c r="T13" i="27"/>
  <c r="P13" i="27"/>
  <c r="O13" i="27"/>
  <c r="Q13" i="27" s="1"/>
  <c r="J13" i="27"/>
  <c r="I13" i="27"/>
  <c r="E13" i="27"/>
  <c r="G13" i="27" s="1"/>
  <c r="Z12" i="27"/>
  <c r="Y12" i="27"/>
  <c r="U12" i="27"/>
  <c r="T12" i="27"/>
  <c r="S12" i="27"/>
  <c r="O12" i="27"/>
  <c r="Q12" i="27" s="1"/>
  <c r="E12" i="27"/>
  <c r="Z11" i="27"/>
  <c r="J11" i="27" s="1"/>
  <c r="Y11" i="27"/>
  <c r="X11" i="27"/>
  <c r="W11" i="27"/>
  <c r="V11" i="27"/>
  <c r="U11" i="27"/>
  <c r="T11" i="27"/>
  <c r="S11" i="27"/>
  <c r="R11" i="27"/>
  <c r="Q11" i="27"/>
  <c r="P11" i="27"/>
  <c r="O11" i="27"/>
  <c r="I11" i="27"/>
  <c r="G11" i="27"/>
  <c r="F11" i="27"/>
  <c r="E11" i="27"/>
  <c r="B11" i="27"/>
  <c r="Z10" i="27"/>
  <c r="I10" i="27" s="1"/>
  <c r="Y10" i="27"/>
  <c r="S10" i="27"/>
  <c r="R10" i="27"/>
  <c r="O10" i="27"/>
  <c r="J10" i="27"/>
  <c r="E10" i="27"/>
  <c r="G10" i="27" s="1"/>
  <c r="Z9" i="27"/>
  <c r="Y9" i="27"/>
  <c r="O9" i="27"/>
  <c r="E9" i="27"/>
  <c r="Z8" i="27"/>
  <c r="Y8" i="27"/>
  <c r="Q8" i="27"/>
  <c r="O8" i="27"/>
  <c r="P8" i="27" s="1"/>
  <c r="G8" i="27"/>
  <c r="F8" i="27"/>
  <c r="E8" i="27"/>
  <c r="Z7" i="27"/>
  <c r="I7" i="27" s="1"/>
  <c r="Y7" i="27"/>
  <c r="O7" i="27"/>
  <c r="P7" i="27" s="1"/>
  <c r="J7" i="27"/>
  <c r="F7" i="27"/>
  <c r="E7" i="27"/>
  <c r="G7" i="27" s="1"/>
  <c r="Z6" i="27"/>
  <c r="Y6" i="27"/>
  <c r="Q6" i="27"/>
  <c r="P6" i="27"/>
  <c r="O6" i="27"/>
  <c r="E6" i="27"/>
  <c r="F6" i="27" s="1"/>
  <c r="G6" i="27" s="1"/>
  <c r="Z5" i="27"/>
  <c r="Y5" i="27"/>
  <c r="Q5" i="27"/>
  <c r="O5" i="27"/>
  <c r="J5" i="27"/>
  <c r="I5" i="27"/>
  <c r="F5" i="27"/>
  <c r="E5" i="27"/>
  <c r="M50" i="26"/>
  <c r="C50" i="26"/>
  <c r="Z49" i="26"/>
  <c r="Y49" i="26"/>
  <c r="X49" i="26"/>
  <c r="V49" i="26"/>
  <c r="U49" i="26"/>
  <c r="T49" i="26"/>
  <c r="Q49" i="26"/>
  <c r="P49" i="26"/>
  <c r="O49" i="26"/>
  <c r="F49" i="26"/>
  <c r="E49" i="26"/>
  <c r="G49" i="26" s="1"/>
  <c r="Z48" i="26"/>
  <c r="Y48" i="26"/>
  <c r="B48" i="26" s="1"/>
  <c r="X48" i="26"/>
  <c r="W48" i="26"/>
  <c r="V48" i="26"/>
  <c r="U48" i="26"/>
  <c r="T48" i="26"/>
  <c r="S48" i="26"/>
  <c r="R48" i="26"/>
  <c r="O48" i="26"/>
  <c r="Q48" i="26" s="1"/>
  <c r="G48" i="26"/>
  <c r="F48" i="26"/>
  <c r="E48" i="26"/>
  <c r="Z47" i="26"/>
  <c r="Y47" i="26"/>
  <c r="X47" i="26"/>
  <c r="W47" i="26"/>
  <c r="U47" i="26"/>
  <c r="T47" i="26"/>
  <c r="S47" i="26"/>
  <c r="Q47" i="26"/>
  <c r="O47" i="26"/>
  <c r="P47" i="26" s="1"/>
  <c r="E47" i="26"/>
  <c r="Z46" i="26"/>
  <c r="Y46" i="26"/>
  <c r="B46" i="26" s="1"/>
  <c r="X46" i="26"/>
  <c r="W46" i="26"/>
  <c r="V46" i="26"/>
  <c r="U46" i="26"/>
  <c r="T46" i="26"/>
  <c r="S46" i="26"/>
  <c r="R46" i="26"/>
  <c r="Q46" i="26"/>
  <c r="O46" i="26"/>
  <c r="P46" i="26" s="1"/>
  <c r="J46" i="26"/>
  <c r="I46" i="26"/>
  <c r="E46" i="26"/>
  <c r="G46" i="26" s="1"/>
  <c r="Z45" i="26"/>
  <c r="Y45" i="26"/>
  <c r="V45" i="26"/>
  <c r="U45" i="26"/>
  <c r="T45" i="26"/>
  <c r="S45" i="26"/>
  <c r="Q45" i="26"/>
  <c r="P45" i="26"/>
  <c r="O45" i="26"/>
  <c r="J45" i="26"/>
  <c r="I45" i="26"/>
  <c r="G45" i="26"/>
  <c r="F45" i="26"/>
  <c r="E45" i="26"/>
  <c r="Z44" i="26"/>
  <c r="Y44" i="26"/>
  <c r="X44" i="26"/>
  <c r="W44" i="26"/>
  <c r="V44" i="26"/>
  <c r="U44" i="26"/>
  <c r="T44" i="26"/>
  <c r="S44" i="26"/>
  <c r="R44" i="26"/>
  <c r="Q44" i="26"/>
  <c r="O44" i="26"/>
  <c r="P44" i="26" s="1"/>
  <c r="J44" i="26"/>
  <c r="I44" i="26"/>
  <c r="E44" i="26"/>
  <c r="B44" i="26"/>
  <c r="Z43" i="26"/>
  <c r="Y43" i="26"/>
  <c r="X43" i="26"/>
  <c r="W43" i="26"/>
  <c r="V43" i="26"/>
  <c r="U43" i="26"/>
  <c r="T43" i="26"/>
  <c r="S43" i="26"/>
  <c r="R43" i="26"/>
  <c r="O43" i="26"/>
  <c r="Q43" i="26" s="1"/>
  <c r="J43" i="26"/>
  <c r="I43" i="26"/>
  <c r="G43" i="26"/>
  <c r="F43" i="26"/>
  <c r="E43" i="26"/>
  <c r="B43" i="26"/>
  <c r="Z42" i="26"/>
  <c r="J42" i="26" s="1"/>
  <c r="Y42" i="26"/>
  <c r="T42" i="26"/>
  <c r="S42" i="26"/>
  <c r="P42" i="26"/>
  <c r="O42" i="26"/>
  <c r="Q42" i="26" s="1"/>
  <c r="I42" i="26"/>
  <c r="F42" i="26"/>
  <c r="E42" i="26"/>
  <c r="G42" i="26" s="1"/>
  <c r="Z41" i="26"/>
  <c r="Y41" i="26"/>
  <c r="X41" i="26"/>
  <c r="W41" i="26"/>
  <c r="R41" i="26"/>
  <c r="Q41" i="26"/>
  <c r="O41" i="26"/>
  <c r="P41" i="26" s="1"/>
  <c r="J41" i="26"/>
  <c r="I41" i="26"/>
  <c r="G41" i="26"/>
  <c r="F41" i="26"/>
  <c r="E41" i="26"/>
  <c r="B41" i="26"/>
  <c r="Z40" i="26"/>
  <c r="Y40" i="26"/>
  <c r="X40" i="26"/>
  <c r="P40" i="26"/>
  <c r="O40" i="26"/>
  <c r="Q40" i="26" s="1"/>
  <c r="E40" i="26"/>
  <c r="Z39" i="26"/>
  <c r="Y39" i="26"/>
  <c r="V39" i="26" s="1"/>
  <c r="T39" i="26"/>
  <c r="P39" i="26"/>
  <c r="O39" i="26"/>
  <c r="Q39" i="26" s="1"/>
  <c r="J39" i="26"/>
  <c r="I39" i="26"/>
  <c r="E39" i="26"/>
  <c r="B39" i="26"/>
  <c r="Z38" i="26"/>
  <c r="Y38" i="26"/>
  <c r="W38" i="26" s="1"/>
  <c r="U38" i="26"/>
  <c r="T38" i="26"/>
  <c r="S38" i="26"/>
  <c r="R38" i="26"/>
  <c r="Q38" i="26"/>
  <c r="O38" i="26"/>
  <c r="P38" i="26" s="1"/>
  <c r="G38" i="26"/>
  <c r="F38" i="26"/>
  <c r="E38" i="26"/>
  <c r="Z37" i="26"/>
  <c r="Y37" i="26"/>
  <c r="W37" i="26"/>
  <c r="U37" i="26"/>
  <c r="T37" i="26"/>
  <c r="S37" i="26"/>
  <c r="Q37" i="26"/>
  <c r="O37" i="26"/>
  <c r="P37" i="26" s="1"/>
  <c r="E37" i="26"/>
  <c r="Z36" i="26"/>
  <c r="Y36" i="26"/>
  <c r="B36" i="26" s="1"/>
  <c r="X36" i="26"/>
  <c r="W36" i="26"/>
  <c r="V36" i="26"/>
  <c r="U36" i="26"/>
  <c r="T36" i="26"/>
  <c r="S36" i="26"/>
  <c r="R36" i="26"/>
  <c r="P36" i="26"/>
  <c r="O36" i="26"/>
  <c r="Q36" i="26" s="1"/>
  <c r="J36" i="26"/>
  <c r="I36" i="26"/>
  <c r="E36" i="26"/>
  <c r="G36" i="26" s="1"/>
  <c r="Z35" i="26"/>
  <c r="Y35" i="26"/>
  <c r="V35" i="26"/>
  <c r="U35" i="26"/>
  <c r="T35" i="26"/>
  <c r="S35" i="26"/>
  <c r="Q35" i="26"/>
  <c r="P35" i="26"/>
  <c r="O35" i="26"/>
  <c r="J35" i="26"/>
  <c r="I35" i="26"/>
  <c r="G35" i="26"/>
  <c r="F35" i="26"/>
  <c r="E35" i="26"/>
  <c r="Z34" i="26"/>
  <c r="Y34" i="26"/>
  <c r="X34" i="26"/>
  <c r="W34" i="26"/>
  <c r="V34" i="26"/>
  <c r="U34" i="26"/>
  <c r="T34" i="26"/>
  <c r="S34" i="26"/>
  <c r="R34" i="26"/>
  <c r="Q34" i="26"/>
  <c r="O34" i="26"/>
  <c r="P34" i="26" s="1"/>
  <c r="J34" i="26"/>
  <c r="I34" i="26"/>
  <c r="G34" i="26"/>
  <c r="E34" i="26"/>
  <c r="F34" i="26" s="1"/>
  <c r="B34" i="26"/>
  <c r="Z33" i="26"/>
  <c r="Y33" i="26"/>
  <c r="X33" i="26"/>
  <c r="W33" i="26"/>
  <c r="V33" i="26"/>
  <c r="U33" i="26"/>
  <c r="T33" i="26"/>
  <c r="S33" i="26"/>
  <c r="R33" i="26"/>
  <c r="Q33" i="26"/>
  <c r="O33" i="26"/>
  <c r="P33" i="26" s="1"/>
  <c r="J33" i="26"/>
  <c r="I33" i="26"/>
  <c r="G33" i="26"/>
  <c r="F33" i="26"/>
  <c r="E33" i="26"/>
  <c r="B33" i="26"/>
  <c r="Z32" i="26"/>
  <c r="Y32" i="26"/>
  <c r="T32" i="26"/>
  <c r="S32" i="26"/>
  <c r="P32" i="26"/>
  <c r="O32" i="26"/>
  <c r="Q32" i="26" s="1"/>
  <c r="J32" i="26"/>
  <c r="I32" i="26"/>
  <c r="F32" i="26"/>
  <c r="E32" i="26"/>
  <c r="G32" i="26" s="1"/>
  <c r="Z31" i="26"/>
  <c r="Y31" i="26"/>
  <c r="X31" i="26"/>
  <c r="W31" i="26"/>
  <c r="R31" i="26"/>
  <c r="Q31" i="26"/>
  <c r="O31" i="26"/>
  <c r="P31" i="26" s="1"/>
  <c r="J31" i="26"/>
  <c r="I31" i="26"/>
  <c r="G31" i="26"/>
  <c r="F31" i="26"/>
  <c r="E31" i="26"/>
  <c r="B31" i="26"/>
  <c r="Z30" i="26"/>
  <c r="Y30" i="26"/>
  <c r="V30" i="26"/>
  <c r="O30" i="26"/>
  <c r="Q30" i="26" s="1"/>
  <c r="E30" i="26"/>
  <c r="Z29" i="26"/>
  <c r="Y29" i="26"/>
  <c r="R29" i="26" s="1"/>
  <c r="X29" i="26"/>
  <c r="W29" i="26"/>
  <c r="V29" i="26"/>
  <c r="U29" i="26"/>
  <c r="T29" i="26"/>
  <c r="S29" i="26"/>
  <c r="P29" i="26"/>
  <c r="O29" i="26"/>
  <c r="Q29" i="26" s="1"/>
  <c r="J29" i="26"/>
  <c r="I29" i="26"/>
  <c r="E29" i="26"/>
  <c r="B29" i="26"/>
  <c r="Z28" i="26"/>
  <c r="Y28" i="26"/>
  <c r="W28" i="26" s="1"/>
  <c r="U28" i="26"/>
  <c r="T28" i="26"/>
  <c r="S28" i="26"/>
  <c r="R28" i="26"/>
  <c r="Q28" i="26"/>
  <c r="O28" i="26"/>
  <c r="P28" i="26" s="1"/>
  <c r="G28" i="26"/>
  <c r="F28" i="26"/>
  <c r="E28" i="26"/>
  <c r="Z27" i="26"/>
  <c r="Y27" i="26"/>
  <c r="Q27" i="26"/>
  <c r="O27" i="26"/>
  <c r="P27" i="26" s="1"/>
  <c r="E27" i="26"/>
  <c r="Z26" i="26"/>
  <c r="Y26" i="26"/>
  <c r="B26" i="26" s="1"/>
  <c r="X26" i="26"/>
  <c r="W26" i="26"/>
  <c r="V26" i="26"/>
  <c r="U26" i="26"/>
  <c r="T26" i="26"/>
  <c r="S26" i="26"/>
  <c r="R26" i="26"/>
  <c r="P26" i="26"/>
  <c r="O26" i="26"/>
  <c r="Q26" i="26" s="1"/>
  <c r="J26" i="26"/>
  <c r="I26" i="26"/>
  <c r="E26" i="26"/>
  <c r="G26" i="26" s="1"/>
  <c r="Z25" i="26"/>
  <c r="Y25" i="26"/>
  <c r="V25" i="26"/>
  <c r="U25" i="26"/>
  <c r="T25" i="26"/>
  <c r="S25" i="26"/>
  <c r="Q25" i="26"/>
  <c r="P25" i="26"/>
  <c r="O25" i="26"/>
  <c r="J25" i="26"/>
  <c r="I25" i="26"/>
  <c r="G25" i="26"/>
  <c r="F25" i="26"/>
  <c r="E25" i="26"/>
  <c r="Z24" i="26"/>
  <c r="Y24" i="26"/>
  <c r="X24" i="26"/>
  <c r="W24" i="26"/>
  <c r="V24" i="26"/>
  <c r="U24" i="26"/>
  <c r="T24" i="26"/>
  <c r="S24" i="26"/>
  <c r="R24" i="26"/>
  <c r="Q24" i="26"/>
  <c r="O24" i="26"/>
  <c r="P24" i="26" s="1"/>
  <c r="J24" i="26"/>
  <c r="I24" i="26"/>
  <c r="E24" i="26"/>
  <c r="B24" i="26"/>
  <c r="Z23" i="26"/>
  <c r="Y23" i="26"/>
  <c r="X23" i="26"/>
  <c r="W23" i="26"/>
  <c r="V23" i="26"/>
  <c r="U23" i="26"/>
  <c r="T23" i="26"/>
  <c r="S23" i="26"/>
  <c r="R23" i="26"/>
  <c r="Q23" i="26"/>
  <c r="O23" i="26"/>
  <c r="P23" i="26" s="1"/>
  <c r="J23" i="26"/>
  <c r="I23" i="26"/>
  <c r="F23" i="26"/>
  <c r="E23" i="26"/>
  <c r="G23" i="26" s="1"/>
  <c r="B23" i="26"/>
  <c r="Z22" i="26"/>
  <c r="Y22" i="26"/>
  <c r="T22" i="26"/>
  <c r="S22" i="26"/>
  <c r="O22" i="26"/>
  <c r="Q22" i="26" s="1"/>
  <c r="J22" i="26"/>
  <c r="I22" i="26"/>
  <c r="E22" i="26"/>
  <c r="Z21" i="26"/>
  <c r="Y21" i="26"/>
  <c r="X21" i="26"/>
  <c r="W21" i="26"/>
  <c r="R21" i="26"/>
  <c r="Q21" i="26"/>
  <c r="O21" i="26"/>
  <c r="P21" i="26" s="1"/>
  <c r="J21" i="26"/>
  <c r="I21" i="26"/>
  <c r="G21" i="26"/>
  <c r="F21" i="26"/>
  <c r="E21" i="26"/>
  <c r="B21" i="26"/>
  <c r="Z20" i="26"/>
  <c r="Y20" i="26"/>
  <c r="V20" i="26" s="1"/>
  <c r="X20" i="26"/>
  <c r="W20" i="26"/>
  <c r="U20" i="26"/>
  <c r="O20" i="26"/>
  <c r="Q20" i="26" s="1"/>
  <c r="E20" i="26"/>
  <c r="Z19" i="26"/>
  <c r="Y19" i="26"/>
  <c r="R19" i="26" s="1"/>
  <c r="X19" i="26"/>
  <c r="W19" i="26"/>
  <c r="V19" i="26"/>
  <c r="U19" i="26"/>
  <c r="T19" i="26"/>
  <c r="S19" i="26"/>
  <c r="P19" i="26"/>
  <c r="O19" i="26"/>
  <c r="Q19" i="26" s="1"/>
  <c r="J19" i="26"/>
  <c r="I19" i="26"/>
  <c r="E19" i="26"/>
  <c r="B19" i="26"/>
  <c r="Z18" i="26"/>
  <c r="Y18" i="26"/>
  <c r="W18" i="26" s="1"/>
  <c r="U18" i="26"/>
  <c r="T18" i="26"/>
  <c r="S18" i="26"/>
  <c r="R18" i="26"/>
  <c r="Q18" i="26"/>
  <c r="O18" i="26"/>
  <c r="P18" i="26" s="1"/>
  <c r="G18" i="26"/>
  <c r="F18" i="26"/>
  <c r="E18" i="26"/>
  <c r="Z17" i="26"/>
  <c r="Y17" i="26"/>
  <c r="Q17" i="26"/>
  <c r="O17" i="26"/>
  <c r="P17" i="26" s="1"/>
  <c r="E17" i="26"/>
  <c r="Z16" i="26"/>
  <c r="Y16" i="26"/>
  <c r="B16" i="26" s="1"/>
  <c r="X16" i="26"/>
  <c r="W16" i="26"/>
  <c r="V16" i="26"/>
  <c r="U16" i="26"/>
  <c r="T16" i="26"/>
  <c r="S16" i="26"/>
  <c r="R16" i="26"/>
  <c r="Q16" i="26"/>
  <c r="O16" i="26"/>
  <c r="P16" i="26" s="1"/>
  <c r="J16" i="26"/>
  <c r="I16" i="26"/>
  <c r="E16" i="26"/>
  <c r="G16" i="26" s="1"/>
  <c r="Z15" i="26"/>
  <c r="Y15" i="26"/>
  <c r="V15" i="26"/>
  <c r="U15" i="26"/>
  <c r="T15" i="26"/>
  <c r="S15" i="26"/>
  <c r="Q15" i="26"/>
  <c r="P15" i="26"/>
  <c r="O15" i="26"/>
  <c r="J15" i="26"/>
  <c r="I15" i="26"/>
  <c r="G15" i="26"/>
  <c r="F15" i="26"/>
  <c r="E15" i="26"/>
  <c r="Z14" i="26"/>
  <c r="Y14" i="26"/>
  <c r="X14" i="26"/>
  <c r="W14" i="26"/>
  <c r="V14" i="26"/>
  <c r="U14" i="26"/>
  <c r="T14" i="26"/>
  <c r="S14" i="26"/>
  <c r="R14" i="26"/>
  <c r="Q14" i="26"/>
  <c r="O14" i="26"/>
  <c r="P14" i="26" s="1"/>
  <c r="J14" i="26"/>
  <c r="I14" i="26"/>
  <c r="E14" i="26"/>
  <c r="G14" i="26" s="1"/>
  <c r="B14" i="26"/>
  <c r="Z13" i="26"/>
  <c r="Y13" i="26"/>
  <c r="X13" i="26"/>
  <c r="W13" i="26"/>
  <c r="V13" i="26"/>
  <c r="U13" i="26"/>
  <c r="T13" i="26"/>
  <c r="S13" i="26"/>
  <c r="R13" i="26"/>
  <c r="Q13" i="26"/>
  <c r="O13" i="26"/>
  <c r="P13" i="26" s="1"/>
  <c r="J13" i="26"/>
  <c r="I13" i="26"/>
  <c r="G13" i="26"/>
  <c r="E13" i="26"/>
  <c r="F13" i="26" s="1"/>
  <c r="B13" i="26"/>
  <c r="Z12" i="26"/>
  <c r="I12" i="26" s="1"/>
  <c r="Y12" i="26"/>
  <c r="P12" i="26"/>
  <c r="O12" i="26"/>
  <c r="Q12" i="26" s="1"/>
  <c r="J12" i="26"/>
  <c r="E12" i="26"/>
  <c r="Z11" i="26"/>
  <c r="Y11" i="26"/>
  <c r="X11" i="26"/>
  <c r="W11" i="26"/>
  <c r="R11" i="26"/>
  <c r="Q11" i="26"/>
  <c r="O11" i="26"/>
  <c r="P11" i="26" s="1"/>
  <c r="J11" i="26"/>
  <c r="I11" i="26"/>
  <c r="G11" i="26"/>
  <c r="F11" i="26"/>
  <c r="E11" i="26"/>
  <c r="B11" i="26"/>
  <c r="Z10" i="26"/>
  <c r="Y10" i="26"/>
  <c r="X10" i="26" s="1"/>
  <c r="W10" i="26"/>
  <c r="V10" i="26"/>
  <c r="U10" i="26"/>
  <c r="O10" i="26"/>
  <c r="Q10" i="26" s="1"/>
  <c r="E10" i="26"/>
  <c r="Z9" i="26"/>
  <c r="Y9" i="26"/>
  <c r="S9" i="26"/>
  <c r="X9" i="26" s="1"/>
  <c r="P9" i="26"/>
  <c r="O9" i="26"/>
  <c r="Q9" i="26" s="1"/>
  <c r="J9" i="26"/>
  <c r="I9" i="26"/>
  <c r="E9" i="26"/>
  <c r="Z8" i="26"/>
  <c r="Y8" i="26"/>
  <c r="Q8" i="26"/>
  <c r="O8" i="26"/>
  <c r="P8" i="26" s="1"/>
  <c r="G8" i="26"/>
  <c r="F8" i="26"/>
  <c r="E8" i="26"/>
  <c r="Z7" i="26"/>
  <c r="Y7" i="26"/>
  <c r="Q7" i="26"/>
  <c r="O7" i="26"/>
  <c r="P7" i="26" s="1"/>
  <c r="E7" i="26"/>
  <c r="Z6" i="26"/>
  <c r="Y6" i="26"/>
  <c r="Q6" i="26"/>
  <c r="P6" i="26"/>
  <c r="O6" i="26"/>
  <c r="J6" i="26"/>
  <c r="I6" i="26"/>
  <c r="E6" i="26"/>
  <c r="Z5" i="26"/>
  <c r="Y5" i="26"/>
  <c r="O5" i="26"/>
  <c r="J5" i="26"/>
  <c r="I5" i="26"/>
  <c r="F5" i="26"/>
  <c r="E5" i="26"/>
  <c r="M50" i="25"/>
  <c r="C50" i="25"/>
  <c r="Z49" i="25"/>
  <c r="Y49" i="25"/>
  <c r="W49" i="25"/>
  <c r="R49" i="25"/>
  <c r="Q49" i="25"/>
  <c r="O49" i="25"/>
  <c r="P49" i="25" s="1"/>
  <c r="J49" i="25"/>
  <c r="I49" i="25"/>
  <c r="G49" i="25"/>
  <c r="F49" i="25"/>
  <c r="E49" i="25"/>
  <c r="B49" i="25"/>
  <c r="Z48" i="25"/>
  <c r="Y48" i="25"/>
  <c r="W48" i="25"/>
  <c r="O48" i="25"/>
  <c r="Q48" i="25" s="1"/>
  <c r="E48" i="25"/>
  <c r="B48" i="25"/>
  <c r="Z47" i="25"/>
  <c r="Y47" i="25"/>
  <c r="X47" i="25"/>
  <c r="W47" i="25"/>
  <c r="V47" i="25"/>
  <c r="P47" i="25"/>
  <c r="O47" i="25"/>
  <c r="Q47" i="25" s="1"/>
  <c r="J47" i="25"/>
  <c r="I47" i="25"/>
  <c r="E47" i="25"/>
  <c r="Z46" i="25"/>
  <c r="Y46" i="25"/>
  <c r="W46" i="25"/>
  <c r="V46" i="25"/>
  <c r="U46" i="25"/>
  <c r="T46" i="25"/>
  <c r="S46" i="25"/>
  <c r="R46" i="25"/>
  <c r="Q46" i="25"/>
  <c r="O46" i="25"/>
  <c r="P46" i="25" s="1"/>
  <c r="G46" i="25"/>
  <c r="F46" i="25"/>
  <c r="E46" i="25"/>
  <c r="Z45" i="25"/>
  <c r="Y45" i="25"/>
  <c r="X45" i="25" s="1"/>
  <c r="W45" i="25"/>
  <c r="U45" i="25"/>
  <c r="P45" i="25"/>
  <c r="O45" i="25"/>
  <c r="Q45" i="25" s="1"/>
  <c r="E45" i="25"/>
  <c r="B45" i="25"/>
  <c r="Z44" i="25"/>
  <c r="Y44" i="25"/>
  <c r="B44" i="25" s="1"/>
  <c r="X44" i="25"/>
  <c r="W44" i="25"/>
  <c r="V44" i="25"/>
  <c r="U44" i="25"/>
  <c r="T44" i="25"/>
  <c r="S44" i="25"/>
  <c r="R44" i="25"/>
  <c r="Q44" i="25"/>
  <c r="O44" i="25"/>
  <c r="P44" i="25" s="1"/>
  <c r="J44" i="25"/>
  <c r="I44" i="25"/>
  <c r="E44" i="25"/>
  <c r="G44" i="25" s="1"/>
  <c r="Z43" i="25"/>
  <c r="Y43" i="25"/>
  <c r="P43" i="25"/>
  <c r="O43" i="25"/>
  <c r="Q43" i="25" s="1"/>
  <c r="J43" i="25"/>
  <c r="I43" i="25"/>
  <c r="G43" i="25"/>
  <c r="F43" i="25"/>
  <c r="E43" i="25"/>
  <c r="Z42" i="25"/>
  <c r="Y42" i="25"/>
  <c r="X42" i="25"/>
  <c r="W42" i="25"/>
  <c r="V42" i="25"/>
  <c r="U42" i="25"/>
  <c r="T42" i="25"/>
  <c r="S42" i="25"/>
  <c r="R42" i="25"/>
  <c r="Q42" i="25"/>
  <c r="O42" i="25"/>
  <c r="P42" i="25" s="1"/>
  <c r="J42" i="25"/>
  <c r="I42" i="25"/>
  <c r="E42" i="25"/>
  <c r="F42" i="25" s="1"/>
  <c r="B42" i="25"/>
  <c r="Z41" i="25"/>
  <c r="Y41" i="25"/>
  <c r="X41" i="25"/>
  <c r="W41" i="25"/>
  <c r="V41" i="25"/>
  <c r="U41" i="25"/>
  <c r="T41" i="25"/>
  <c r="S41" i="25"/>
  <c r="R41" i="25"/>
  <c r="P41" i="25"/>
  <c r="O41" i="25"/>
  <c r="Q41" i="25" s="1"/>
  <c r="J41" i="25"/>
  <c r="I41" i="25"/>
  <c r="E41" i="25"/>
  <c r="B41" i="25"/>
  <c r="Z40" i="25"/>
  <c r="Y40" i="25"/>
  <c r="O40" i="25"/>
  <c r="Q40" i="25" s="1"/>
  <c r="E40" i="25"/>
  <c r="G40" i="25" s="1"/>
  <c r="Z39" i="25"/>
  <c r="Y39" i="25"/>
  <c r="W39" i="25" s="1"/>
  <c r="R39" i="25"/>
  <c r="Q39" i="25"/>
  <c r="O39" i="25"/>
  <c r="P39" i="25" s="1"/>
  <c r="J39" i="25"/>
  <c r="I39" i="25"/>
  <c r="G39" i="25"/>
  <c r="F39" i="25"/>
  <c r="E39" i="25"/>
  <c r="B39" i="25"/>
  <c r="Z38" i="25"/>
  <c r="Y38" i="25"/>
  <c r="O38" i="25"/>
  <c r="Q38" i="25" s="1"/>
  <c r="G38" i="25"/>
  <c r="E38" i="25"/>
  <c r="F38" i="25" s="1"/>
  <c r="Z37" i="25"/>
  <c r="Y37" i="25"/>
  <c r="X37" i="25" s="1"/>
  <c r="W37" i="25"/>
  <c r="V37" i="25"/>
  <c r="U37" i="25"/>
  <c r="T37" i="25"/>
  <c r="S37" i="25"/>
  <c r="P37" i="25"/>
  <c r="O37" i="25"/>
  <c r="Q37" i="25" s="1"/>
  <c r="J37" i="25"/>
  <c r="I37" i="25"/>
  <c r="E37" i="25"/>
  <c r="Z36" i="25"/>
  <c r="Y36" i="25"/>
  <c r="W36" i="25"/>
  <c r="V36" i="25"/>
  <c r="U36" i="25"/>
  <c r="T36" i="25"/>
  <c r="S36" i="25"/>
  <c r="R36" i="25"/>
  <c r="Q36" i="25"/>
  <c r="O36" i="25"/>
  <c r="P36" i="25" s="1"/>
  <c r="G36" i="25"/>
  <c r="F36" i="25"/>
  <c r="E36" i="25"/>
  <c r="Z35" i="25"/>
  <c r="Y35" i="25"/>
  <c r="P35" i="25"/>
  <c r="O35" i="25"/>
  <c r="Q35" i="25" s="1"/>
  <c r="E35" i="25"/>
  <c r="Z34" i="25"/>
  <c r="Y34" i="25"/>
  <c r="B34" i="25" s="1"/>
  <c r="X34" i="25"/>
  <c r="W34" i="25"/>
  <c r="V34" i="25"/>
  <c r="U34" i="25"/>
  <c r="T34" i="25"/>
  <c r="S34" i="25"/>
  <c r="R34" i="25"/>
  <c r="P34" i="25"/>
  <c r="O34" i="25"/>
  <c r="Q34" i="25" s="1"/>
  <c r="J34" i="25"/>
  <c r="I34" i="25"/>
  <c r="E34" i="25"/>
  <c r="G34" i="25" s="1"/>
  <c r="Z33" i="25"/>
  <c r="Y33" i="25"/>
  <c r="U33" i="25" s="1"/>
  <c r="P33" i="25"/>
  <c r="O33" i="25"/>
  <c r="Q33" i="25" s="1"/>
  <c r="J33" i="25"/>
  <c r="I33" i="25"/>
  <c r="G33" i="25"/>
  <c r="F33" i="25"/>
  <c r="E33" i="25"/>
  <c r="Z32" i="25"/>
  <c r="Y32" i="25"/>
  <c r="X32" i="25"/>
  <c r="W32" i="25"/>
  <c r="V32" i="25"/>
  <c r="U32" i="25"/>
  <c r="T32" i="25"/>
  <c r="S32" i="25"/>
  <c r="R32" i="25"/>
  <c r="Q32" i="25"/>
  <c r="O32" i="25"/>
  <c r="P32" i="25" s="1"/>
  <c r="J32" i="25"/>
  <c r="I32" i="25"/>
  <c r="G32" i="25"/>
  <c r="E32" i="25"/>
  <c r="F32" i="25" s="1"/>
  <c r="B32" i="25"/>
  <c r="Z31" i="25"/>
  <c r="Y31" i="25"/>
  <c r="X31" i="25"/>
  <c r="W31" i="25"/>
  <c r="V31" i="25"/>
  <c r="U31" i="25"/>
  <c r="T31" i="25"/>
  <c r="S31" i="25"/>
  <c r="R31" i="25"/>
  <c r="P31" i="25"/>
  <c r="O31" i="25"/>
  <c r="Q31" i="25" s="1"/>
  <c r="J31" i="25"/>
  <c r="I31" i="25"/>
  <c r="F31" i="25"/>
  <c r="E31" i="25"/>
  <c r="G31" i="25" s="1"/>
  <c r="B31" i="25"/>
  <c r="Z30" i="25"/>
  <c r="Y30" i="25"/>
  <c r="P30" i="25"/>
  <c r="O30" i="25"/>
  <c r="Q30" i="25" s="1"/>
  <c r="E30" i="25"/>
  <c r="G30" i="25" s="1"/>
  <c r="Z29" i="25"/>
  <c r="Y29" i="25"/>
  <c r="R29" i="25"/>
  <c r="Q29" i="25"/>
  <c r="O29" i="25"/>
  <c r="P29" i="25" s="1"/>
  <c r="J29" i="25"/>
  <c r="I29" i="25"/>
  <c r="G29" i="25"/>
  <c r="F29" i="25"/>
  <c r="E29" i="25"/>
  <c r="Z28" i="25"/>
  <c r="Y28" i="25"/>
  <c r="X28" i="25"/>
  <c r="W28" i="25"/>
  <c r="O28" i="25"/>
  <c r="Q28" i="25" s="1"/>
  <c r="G28" i="25"/>
  <c r="E28" i="25"/>
  <c r="F28" i="25" s="1"/>
  <c r="B28" i="25"/>
  <c r="Z27" i="25"/>
  <c r="Y27" i="25"/>
  <c r="W27" i="25"/>
  <c r="V27" i="25"/>
  <c r="U27" i="25"/>
  <c r="T27" i="25"/>
  <c r="S27" i="25"/>
  <c r="P27" i="25"/>
  <c r="O27" i="25"/>
  <c r="Q27" i="25" s="1"/>
  <c r="J27" i="25"/>
  <c r="I27" i="25"/>
  <c r="E27" i="25"/>
  <c r="Z26" i="25"/>
  <c r="Y26" i="25"/>
  <c r="V26" i="25" s="1"/>
  <c r="W26" i="25"/>
  <c r="U26" i="25"/>
  <c r="T26" i="25"/>
  <c r="S26" i="25"/>
  <c r="R26" i="25"/>
  <c r="Q26" i="25"/>
  <c r="O26" i="25"/>
  <c r="P26" i="25" s="1"/>
  <c r="G26" i="25"/>
  <c r="F26" i="25"/>
  <c r="E26" i="25"/>
  <c r="Z25" i="25"/>
  <c r="Y25" i="25"/>
  <c r="X25" i="25"/>
  <c r="P25" i="25"/>
  <c r="O25" i="25"/>
  <c r="Q25" i="25" s="1"/>
  <c r="E25" i="25"/>
  <c r="Z24" i="25"/>
  <c r="Y24" i="25"/>
  <c r="B24" i="25" s="1"/>
  <c r="X24" i="25"/>
  <c r="W24" i="25"/>
  <c r="V24" i="25"/>
  <c r="U24" i="25"/>
  <c r="T24" i="25"/>
  <c r="S24" i="25"/>
  <c r="R24" i="25"/>
  <c r="P24" i="25"/>
  <c r="O24" i="25"/>
  <c r="Q24" i="25" s="1"/>
  <c r="J24" i="25"/>
  <c r="I24" i="25"/>
  <c r="E24" i="25"/>
  <c r="G24" i="25" s="1"/>
  <c r="Z23" i="25"/>
  <c r="Y23" i="25"/>
  <c r="U23" i="25" s="1"/>
  <c r="T23" i="25"/>
  <c r="Q23" i="25"/>
  <c r="P23" i="25"/>
  <c r="O23" i="25"/>
  <c r="J23" i="25"/>
  <c r="I23" i="25"/>
  <c r="G23" i="25"/>
  <c r="F23" i="25"/>
  <c r="E23" i="25"/>
  <c r="Z22" i="25"/>
  <c r="Y22" i="25"/>
  <c r="X22" i="25"/>
  <c r="W22" i="25"/>
  <c r="V22" i="25"/>
  <c r="U22" i="25"/>
  <c r="T22" i="25"/>
  <c r="S22" i="25"/>
  <c r="R22" i="25"/>
  <c r="Q22" i="25"/>
  <c r="O22" i="25"/>
  <c r="P22" i="25" s="1"/>
  <c r="J22" i="25"/>
  <c r="I22" i="25"/>
  <c r="E22" i="25"/>
  <c r="B22" i="25"/>
  <c r="Z21" i="25"/>
  <c r="Y21" i="25"/>
  <c r="X21" i="25"/>
  <c r="W21" i="25"/>
  <c r="V21" i="25"/>
  <c r="U21" i="25"/>
  <c r="T21" i="25"/>
  <c r="S21" i="25"/>
  <c r="R21" i="25"/>
  <c r="P21" i="25"/>
  <c r="O21" i="25"/>
  <c r="Q21" i="25" s="1"/>
  <c r="J21" i="25"/>
  <c r="I21" i="25"/>
  <c r="G21" i="25"/>
  <c r="E21" i="25"/>
  <c r="F21" i="25" s="1"/>
  <c r="B21" i="25"/>
  <c r="Z20" i="25"/>
  <c r="I20" i="25" s="1"/>
  <c r="Y20" i="25"/>
  <c r="S20" i="25"/>
  <c r="Q20" i="25"/>
  <c r="P20" i="25"/>
  <c r="O20" i="25"/>
  <c r="J20" i="25"/>
  <c r="E20" i="25"/>
  <c r="G20" i="25" s="1"/>
  <c r="Z19" i="25"/>
  <c r="Y19" i="25"/>
  <c r="X19" i="25"/>
  <c r="W19" i="25"/>
  <c r="R19" i="25"/>
  <c r="O19" i="25"/>
  <c r="J19" i="25"/>
  <c r="I19" i="25"/>
  <c r="E19" i="25"/>
  <c r="Z18" i="25"/>
  <c r="Y18" i="25"/>
  <c r="P18" i="25"/>
  <c r="O18" i="25"/>
  <c r="Q18" i="25" s="1"/>
  <c r="G18" i="25"/>
  <c r="F18" i="25"/>
  <c r="E18" i="25"/>
  <c r="Z17" i="25"/>
  <c r="Y17" i="25"/>
  <c r="X17" i="25" s="1"/>
  <c r="W17" i="25"/>
  <c r="V17" i="25"/>
  <c r="P17" i="25"/>
  <c r="O17" i="25"/>
  <c r="Q17" i="25" s="1"/>
  <c r="E17" i="25"/>
  <c r="Z16" i="25"/>
  <c r="Y16" i="25"/>
  <c r="X16" i="25"/>
  <c r="V16" i="25"/>
  <c r="U16" i="25"/>
  <c r="S16" i="25"/>
  <c r="R16" i="25"/>
  <c r="Q16" i="25"/>
  <c r="O16" i="25"/>
  <c r="P16" i="25" s="1"/>
  <c r="G16" i="25"/>
  <c r="F16" i="25"/>
  <c r="E16" i="25"/>
  <c r="Z15" i="25"/>
  <c r="Y15" i="25"/>
  <c r="Q15" i="25"/>
  <c r="P15" i="25"/>
  <c r="O15" i="25"/>
  <c r="E15" i="25"/>
  <c r="Z14" i="25"/>
  <c r="Y14" i="25"/>
  <c r="O14" i="25"/>
  <c r="J14" i="25"/>
  <c r="I14" i="25"/>
  <c r="E14" i="25"/>
  <c r="Z13" i="25"/>
  <c r="Y13" i="25"/>
  <c r="Q13" i="25"/>
  <c r="P13" i="25"/>
  <c r="O13" i="25"/>
  <c r="F13" i="25"/>
  <c r="G13" i="25" s="1"/>
  <c r="E13" i="25"/>
  <c r="Z12" i="25"/>
  <c r="Y12" i="25"/>
  <c r="P12" i="25"/>
  <c r="O12" i="25"/>
  <c r="Q12" i="25" s="1"/>
  <c r="J12" i="25"/>
  <c r="I12" i="25"/>
  <c r="E12" i="25"/>
  <c r="Z11" i="25"/>
  <c r="Y11" i="25"/>
  <c r="O11" i="25"/>
  <c r="Q11" i="25" s="1"/>
  <c r="J11" i="25"/>
  <c r="I11" i="25"/>
  <c r="E11" i="25"/>
  <c r="Z10" i="25"/>
  <c r="J10" i="25" s="1"/>
  <c r="Y10" i="25"/>
  <c r="O10" i="25"/>
  <c r="I10" i="25"/>
  <c r="G10" i="25"/>
  <c r="E10" i="25"/>
  <c r="F10" i="25" s="1"/>
  <c r="Z9" i="25"/>
  <c r="Y9" i="25"/>
  <c r="Q9" i="25"/>
  <c r="O9" i="25"/>
  <c r="P9" i="25" s="1"/>
  <c r="E9" i="25"/>
  <c r="Z8" i="25"/>
  <c r="Y8" i="25"/>
  <c r="O8" i="25"/>
  <c r="J8" i="25"/>
  <c r="I8" i="25"/>
  <c r="F8" i="25"/>
  <c r="G8" i="25" s="1"/>
  <c r="E8" i="25"/>
  <c r="Z7" i="25"/>
  <c r="Y7" i="25"/>
  <c r="P7" i="25"/>
  <c r="O7" i="25"/>
  <c r="Q7" i="25" s="1"/>
  <c r="I7" i="25"/>
  <c r="E7" i="25"/>
  <c r="Z6" i="25"/>
  <c r="Y6" i="25"/>
  <c r="Q6" i="25"/>
  <c r="O6" i="25"/>
  <c r="P6" i="25" s="1"/>
  <c r="G6" i="25"/>
  <c r="F6" i="25"/>
  <c r="E6" i="25"/>
  <c r="Z5" i="25"/>
  <c r="Y5" i="25"/>
  <c r="Q5" i="25"/>
  <c r="O5" i="25"/>
  <c r="P5" i="25" s="1"/>
  <c r="E5" i="25"/>
  <c r="M50" i="24"/>
  <c r="C50" i="24"/>
  <c r="Z49" i="24"/>
  <c r="Y49" i="24"/>
  <c r="X49" i="24"/>
  <c r="W49" i="24"/>
  <c r="V49" i="24"/>
  <c r="U49" i="24"/>
  <c r="T49" i="24"/>
  <c r="S49" i="24"/>
  <c r="R49" i="24"/>
  <c r="Q49" i="24"/>
  <c r="P49" i="24"/>
  <c r="O49" i="24"/>
  <c r="J49" i="24"/>
  <c r="I49" i="24"/>
  <c r="G49" i="24"/>
  <c r="E49" i="24"/>
  <c r="F49" i="24" s="1"/>
  <c r="B49" i="24"/>
  <c r="Z48" i="24"/>
  <c r="I48" i="24" s="1"/>
  <c r="Y48" i="24"/>
  <c r="O48" i="24"/>
  <c r="Q48" i="24" s="1"/>
  <c r="J48" i="24"/>
  <c r="E48" i="24"/>
  <c r="G48" i="24" s="1"/>
  <c r="B48" i="24"/>
  <c r="Z47" i="24"/>
  <c r="Y47" i="24"/>
  <c r="Q47" i="24"/>
  <c r="P47" i="24"/>
  <c r="O47" i="24"/>
  <c r="G47" i="24"/>
  <c r="F47" i="24"/>
  <c r="E47" i="24"/>
  <c r="Z46" i="24"/>
  <c r="Y46" i="24"/>
  <c r="X46" i="24"/>
  <c r="W46" i="24"/>
  <c r="V46" i="24"/>
  <c r="U46" i="24"/>
  <c r="O46" i="24"/>
  <c r="Q46" i="24" s="1"/>
  <c r="G46" i="24"/>
  <c r="F46" i="24"/>
  <c r="E46" i="24"/>
  <c r="B46" i="24"/>
  <c r="Z45" i="24"/>
  <c r="Y45" i="24"/>
  <c r="T45" i="24" s="1"/>
  <c r="P45" i="24"/>
  <c r="O45" i="24"/>
  <c r="Q45" i="24" s="1"/>
  <c r="J45" i="24"/>
  <c r="I45" i="24"/>
  <c r="G45" i="24"/>
  <c r="F45" i="24"/>
  <c r="E45" i="24"/>
  <c r="B45" i="24"/>
  <c r="Z44" i="24"/>
  <c r="Y44" i="24"/>
  <c r="X44" i="24" s="1"/>
  <c r="W44" i="24"/>
  <c r="V44" i="24"/>
  <c r="U44" i="24"/>
  <c r="Q44" i="24"/>
  <c r="O44" i="24"/>
  <c r="P44" i="24" s="1"/>
  <c r="F44" i="24"/>
  <c r="E44" i="24"/>
  <c r="G44" i="24" s="1"/>
  <c r="Z43" i="24"/>
  <c r="Y43" i="24"/>
  <c r="B43" i="24" s="1"/>
  <c r="X43" i="24"/>
  <c r="W43" i="24"/>
  <c r="V43" i="24"/>
  <c r="U43" i="24"/>
  <c r="T43" i="24"/>
  <c r="S43" i="24"/>
  <c r="R43" i="24"/>
  <c r="Q43" i="24"/>
  <c r="P43" i="24"/>
  <c r="O43" i="24"/>
  <c r="E43" i="24"/>
  <c r="Z42" i="24"/>
  <c r="Y42" i="24"/>
  <c r="V42" i="24"/>
  <c r="U42" i="24"/>
  <c r="P42" i="24"/>
  <c r="O42" i="24"/>
  <c r="Q42" i="24" s="1"/>
  <c r="J42" i="24"/>
  <c r="I42" i="24"/>
  <c r="E42" i="24"/>
  <c r="G42" i="24" s="1"/>
  <c r="Z41" i="24"/>
  <c r="Y41" i="24"/>
  <c r="T41" i="24" s="1"/>
  <c r="R41" i="24"/>
  <c r="Q41" i="24"/>
  <c r="P41" i="24"/>
  <c r="O41" i="24"/>
  <c r="J41" i="24"/>
  <c r="I41" i="24"/>
  <c r="G41" i="24"/>
  <c r="F41" i="24"/>
  <c r="E41" i="24"/>
  <c r="Z40" i="24"/>
  <c r="Y40" i="24"/>
  <c r="X40" i="24"/>
  <c r="W40" i="24"/>
  <c r="V40" i="24"/>
  <c r="U40" i="24"/>
  <c r="T40" i="24"/>
  <c r="S40" i="24"/>
  <c r="R40" i="24"/>
  <c r="Q40" i="24"/>
  <c r="O40" i="24"/>
  <c r="P40" i="24" s="1"/>
  <c r="J40" i="24"/>
  <c r="I40" i="24"/>
  <c r="G40" i="24"/>
  <c r="F40" i="24"/>
  <c r="E40" i="24"/>
  <c r="B40" i="24"/>
  <c r="Z39" i="24"/>
  <c r="Y39" i="24"/>
  <c r="X39" i="24"/>
  <c r="W39" i="24"/>
  <c r="V39" i="24"/>
  <c r="U39" i="24"/>
  <c r="T39" i="24"/>
  <c r="S39" i="24"/>
  <c r="R39" i="24"/>
  <c r="O39" i="24"/>
  <c r="J39" i="24"/>
  <c r="I39" i="24"/>
  <c r="E39" i="24"/>
  <c r="G39" i="24" s="1"/>
  <c r="B39" i="24"/>
  <c r="Z38" i="24"/>
  <c r="Y38" i="24"/>
  <c r="T38" i="24" s="1"/>
  <c r="Q38" i="24"/>
  <c r="O38" i="24"/>
  <c r="P38" i="24" s="1"/>
  <c r="E38" i="24"/>
  <c r="G38" i="24" s="1"/>
  <c r="B38" i="24"/>
  <c r="Z37" i="24"/>
  <c r="Y37" i="24"/>
  <c r="X37" i="24"/>
  <c r="W37" i="24"/>
  <c r="Q37" i="24"/>
  <c r="P37" i="24"/>
  <c r="O37" i="24"/>
  <c r="J37" i="24"/>
  <c r="I37" i="24"/>
  <c r="E37" i="24"/>
  <c r="G37" i="24" s="1"/>
  <c r="Z36" i="24"/>
  <c r="J36" i="24" s="1"/>
  <c r="Y36" i="24"/>
  <c r="W36" i="24" s="1"/>
  <c r="X36" i="24"/>
  <c r="V36" i="24"/>
  <c r="U36" i="24"/>
  <c r="O36" i="24"/>
  <c r="I36" i="24"/>
  <c r="G36" i="24"/>
  <c r="F36" i="24"/>
  <c r="E36" i="24"/>
  <c r="B36" i="24"/>
  <c r="Z35" i="24"/>
  <c r="Y35" i="24"/>
  <c r="V35" i="24"/>
  <c r="U35" i="24"/>
  <c r="T35" i="24"/>
  <c r="P35" i="24"/>
  <c r="O35" i="24"/>
  <c r="Q35" i="24" s="1"/>
  <c r="F35" i="24"/>
  <c r="E35" i="24"/>
  <c r="G35" i="24" s="1"/>
  <c r="Z34" i="24"/>
  <c r="Y34" i="24"/>
  <c r="B34" i="24" s="1"/>
  <c r="X34" i="24"/>
  <c r="W34" i="24"/>
  <c r="V34" i="24"/>
  <c r="T34" i="24"/>
  <c r="S34" i="24"/>
  <c r="R34" i="24"/>
  <c r="Q34" i="24"/>
  <c r="O34" i="24"/>
  <c r="P34" i="24" s="1"/>
  <c r="E34" i="24"/>
  <c r="Z33" i="24"/>
  <c r="Y33" i="24"/>
  <c r="X33" i="24"/>
  <c r="W33" i="24"/>
  <c r="V33" i="24"/>
  <c r="U33" i="24"/>
  <c r="T33" i="24"/>
  <c r="S33" i="24"/>
  <c r="R33" i="24"/>
  <c r="O33" i="24"/>
  <c r="Q33" i="24" s="1"/>
  <c r="E33" i="24"/>
  <c r="B33" i="24"/>
  <c r="Z32" i="24"/>
  <c r="Y32" i="24"/>
  <c r="V32" i="24" s="1"/>
  <c r="R32" i="24"/>
  <c r="Q32" i="24"/>
  <c r="P32" i="24"/>
  <c r="O32" i="24"/>
  <c r="J32" i="24"/>
  <c r="I32" i="24"/>
  <c r="E32" i="24"/>
  <c r="G32" i="24" s="1"/>
  <c r="Z31" i="24"/>
  <c r="J31" i="24" s="1"/>
  <c r="Y31" i="24"/>
  <c r="X31" i="24" s="1"/>
  <c r="W31" i="24"/>
  <c r="V31" i="24"/>
  <c r="U31" i="24"/>
  <c r="T31" i="24"/>
  <c r="Q31" i="24"/>
  <c r="O31" i="24"/>
  <c r="P31" i="24" s="1"/>
  <c r="I31" i="24"/>
  <c r="G31" i="24"/>
  <c r="F31" i="24"/>
  <c r="E31" i="24"/>
  <c r="Z30" i="24"/>
  <c r="Y30" i="24"/>
  <c r="X30" i="24"/>
  <c r="W30" i="24"/>
  <c r="V30" i="24"/>
  <c r="U30" i="24"/>
  <c r="T30" i="24"/>
  <c r="S30" i="24"/>
  <c r="R30" i="24"/>
  <c r="Q30" i="24"/>
  <c r="O30" i="24"/>
  <c r="P30" i="24" s="1"/>
  <c r="J30" i="24"/>
  <c r="I30" i="24"/>
  <c r="E30" i="24"/>
  <c r="F30" i="24" s="1"/>
  <c r="B30" i="24"/>
  <c r="Z29" i="24"/>
  <c r="Y29" i="24"/>
  <c r="X29" i="24"/>
  <c r="W29" i="24"/>
  <c r="V29" i="24"/>
  <c r="U29" i="24"/>
  <c r="T29" i="24"/>
  <c r="S29" i="24"/>
  <c r="R29" i="24"/>
  <c r="Q29" i="24"/>
  <c r="O29" i="24"/>
  <c r="P29" i="24" s="1"/>
  <c r="J29" i="24"/>
  <c r="I29" i="24"/>
  <c r="G29" i="24"/>
  <c r="E29" i="24"/>
  <c r="F29" i="24" s="1"/>
  <c r="B29" i="24"/>
  <c r="Z28" i="24"/>
  <c r="Y28" i="24"/>
  <c r="S28" i="24"/>
  <c r="R28" i="24"/>
  <c r="Q28" i="24"/>
  <c r="P28" i="24"/>
  <c r="O28" i="24"/>
  <c r="J28" i="24"/>
  <c r="I28" i="24"/>
  <c r="F28" i="24"/>
  <c r="E28" i="24"/>
  <c r="G28" i="24" s="1"/>
  <c r="Z27" i="24"/>
  <c r="Y27" i="24"/>
  <c r="X27" i="24"/>
  <c r="W27" i="24"/>
  <c r="R27" i="24"/>
  <c r="P27" i="24"/>
  <c r="O27" i="24"/>
  <c r="Q27" i="24" s="1"/>
  <c r="J27" i="24"/>
  <c r="I27" i="24"/>
  <c r="E27" i="24"/>
  <c r="B27" i="24"/>
  <c r="Z26" i="24"/>
  <c r="Y26" i="24"/>
  <c r="X26" i="24"/>
  <c r="O26" i="24"/>
  <c r="Q26" i="24" s="1"/>
  <c r="G26" i="24"/>
  <c r="E26" i="24"/>
  <c r="F26" i="24" s="1"/>
  <c r="B26" i="24"/>
  <c r="Z25" i="24"/>
  <c r="Y25" i="24"/>
  <c r="P25" i="24"/>
  <c r="O25" i="24"/>
  <c r="Q25" i="24" s="1"/>
  <c r="J25" i="24"/>
  <c r="I25" i="24"/>
  <c r="E25" i="24"/>
  <c r="Z24" i="24"/>
  <c r="Y24" i="24"/>
  <c r="X24" i="24"/>
  <c r="W24" i="24"/>
  <c r="V24" i="24"/>
  <c r="U24" i="24"/>
  <c r="T24" i="24"/>
  <c r="S24" i="24"/>
  <c r="R24" i="24"/>
  <c r="Q24" i="24"/>
  <c r="O24" i="24"/>
  <c r="P24" i="24" s="1"/>
  <c r="F24" i="24"/>
  <c r="E24" i="24"/>
  <c r="G24" i="24" s="1"/>
  <c r="B24" i="24"/>
  <c r="Z23" i="24"/>
  <c r="Y23" i="24"/>
  <c r="X23" i="24"/>
  <c r="W23" i="24"/>
  <c r="V23" i="24"/>
  <c r="U23" i="24"/>
  <c r="T23" i="24"/>
  <c r="S23" i="24"/>
  <c r="R23" i="24"/>
  <c r="O23" i="24"/>
  <c r="E23" i="24"/>
  <c r="B23" i="24"/>
  <c r="Z22" i="24"/>
  <c r="Y22" i="24"/>
  <c r="W22" i="24"/>
  <c r="V22" i="24"/>
  <c r="U22" i="24"/>
  <c r="O22" i="24"/>
  <c r="P22" i="24" s="1"/>
  <c r="E22" i="24"/>
  <c r="G22" i="24" s="1"/>
  <c r="Z21" i="24"/>
  <c r="Y21" i="24"/>
  <c r="T21" i="24"/>
  <c r="R21" i="24"/>
  <c r="Q21" i="24"/>
  <c r="P21" i="24"/>
  <c r="O21" i="24"/>
  <c r="G21" i="24"/>
  <c r="F21" i="24"/>
  <c r="E21" i="24"/>
  <c r="Z20" i="24"/>
  <c r="Y20" i="24"/>
  <c r="X20" i="24"/>
  <c r="W20" i="24"/>
  <c r="V20" i="24"/>
  <c r="U20" i="24"/>
  <c r="T20" i="24"/>
  <c r="S20" i="24"/>
  <c r="R20" i="24"/>
  <c r="O20" i="24"/>
  <c r="J20" i="24"/>
  <c r="I20" i="24"/>
  <c r="G20" i="24"/>
  <c r="E20" i="24"/>
  <c r="F20" i="24" s="1"/>
  <c r="B20" i="24"/>
  <c r="Z19" i="24"/>
  <c r="Y19" i="24"/>
  <c r="X19" i="24"/>
  <c r="W19" i="24"/>
  <c r="V19" i="24"/>
  <c r="U19" i="24"/>
  <c r="T19" i="24"/>
  <c r="S19" i="24"/>
  <c r="R19" i="24"/>
  <c r="Q19" i="24"/>
  <c r="O19" i="24"/>
  <c r="P19" i="24" s="1"/>
  <c r="J19" i="24"/>
  <c r="I19" i="24"/>
  <c r="E19" i="24"/>
  <c r="F19" i="24" s="1"/>
  <c r="B19" i="24"/>
  <c r="Z18" i="24"/>
  <c r="Y18" i="24"/>
  <c r="S18" i="24"/>
  <c r="Q18" i="24"/>
  <c r="P18" i="24"/>
  <c r="O18" i="24"/>
  <c r="J18" i="24"/>
  <c r="I18" i="24"/>
  <c r="E18" i="24"/>
  <c r="G18" i="24" s="1"/>
  <c r="B18" i="24"/>
  <c r="Z17" i="24"/>
  <c r="J17" i="24" s="1"/>
  <c r="Y17" i="24"/>
  <c r="X17" i="24" s="1"/>
  <c r="R17" i="24"/>
  <c r="O17" i="24"/>
  <c r="I17" i="24"/>
  <c r="E17" i="24"/>
  <c r="G17" i="24" s="1"/>
  <c r="B17" i="24"/>
  <c r="Z16" i="24"/>
  <c r="Y16" i="24"/>
  <c r="X16" i="24" s="1"/>
  <c r="V16" i="24"/>
  <c r="U16" i="24"/>
  <c r="O16" i="24"/>
  <c r="G16" i="24"/>
  <c r="E16" i="24"/>
  <c r="F16" i="24" s="1"/>
  <c r="Z15" i="24"/>
  <c r="Y15" i="24"/>
  <c r="P15" i="24"/>
  <c r="O15" i="24"/>
  <c r="Q15" i="24" s="1"/>
  <c r="J15" i="24"/>
  <c r="I15" i="24"/>
  <c r="F15" i="24"/>
  <c r="E15" i="24"/>
  <c r="G15" i="24" s="1"/>
  <c r="B15" i="24"/>
  <c r="Z14" i="24"/>
  <c r="Y14" i="24"/>
  <c r="X14" i="24"/>
  <c r="W14" i="24"/>
  <c r="V14" i="24"/>
  <c r="U14" i="24"/>
  <c r="T14" i="24"/>
  <c r="S14" i="24"/>
  <c r="R14" i="24"/>
  <c r="Q14" i="24"/>
  <c r="O14" i="24"/>
  <c r="P14" i="24" s="1"/>
  <c r="F14" i="24"/>
  <c r="E14" i="24"/>
  <c r="G14" i="24" s="1"/>
  <c r="B14" i="24"/>
  <c r="Z13" i="24"/>
  <c r="Y13" i="24"/>
  <c r="X13" i="24"/>
  <c r="W13" i="24"/>
  <c r="V13" i="24"/>
  <c r="U13" i="24"/>
  <c r="R13" i="24"/>
  <c r="P13" i="24"/>
  <c r="O13" i="24"/>
  <c r="Q13" i="24" s="1"/>
  <c r="E13" i="24"/>
  <c r="Z12" i="24"/>
  <c r="Y12" i="24"/>
  <c r="O12" i="24"/>
  <c r="E12" i="24"/>
  <c r="Z11" i="24"/>
  <c r="Y11" i="24"/>
  <c r="O11" i="24"/>
  <c r="J11" i="24"/>
  <c r="I11" i="24"/>
  <c r="F11" i="24"/>
  <c r="G11" i="24" s="1"/>
  <c r="E11" i="24"/>
  <c r="Z10" i="24"/>
  <c r="Y10" i="24"/>
  <c r="P10" i="24"/>
  <c r="O10" i="24"/>
  <c r="Q10" i="24" s="1"/>
  <c r="J10" i="24"/>
  <c r="I10" i="24"/>
  <c r="F10" i="24"/>
  <c r="G10" i="24" s="1"/>
  <c r="E10" i="24"/>
  <c r="Z9" i="24"/>
  <c r="Y9" i="24"/>
  <c r="O9" i="24"/>
  <c r="J9" i="24"/>
  <c r="I9" i="24"/>
  <c r="E9" i="24"/>
  <c r="Z8" i="24"/>
  <c r="I8" i="24" s="1"/>
  <c r="Y8" i="24"/>
  <c r="R8" i="24"/>
  <c r="Q8" i="24"/>
  <c r="O8" i="24"/>
  <c r="P8" i="24" s="1"/>
  <c r="J8" i="24"/>
  <c r="E8" i="24"/>
  <c r="Z7" i="24"/>
  <c r="Y7" i="24"/>
  <c r="Q7" i="24"/>
  <c r="P7" i="24"/>
  <c r="O7" i="24"/>
  <c r="G7" i="24"/>
  <c r="F7" i="24"/>
  <c r="E7" i="24"/>
  <c r="Z6" i="24"/>
  <c r="Y6" i="24"/>
  <c r="O6" i="24"/>
  <c r="I6" i="24"/>
  <c r="E6" i="24"/>
  <c r="Z5" i="24"/>
  <c r="Y5" i="24"/>
  <c r="P5" i="24"/>
  <c r="O5" i="24"/>
  <c r="Q5" i="24" s="1"/>
  <c r="E5" i="24"/>
  <c r="M50" i="23"/>
  <c r="C50" i="23"/>
  <c r="Z49" i="23"/>
  <c r="Y49" i="23"/>
  <c r="W49" i="23"/>
  <c r="V49" i="23"/>
  <c r="U49" i="23"/>
  <c r="T49" i="23"/>
  <c r="S49" i="23"/>
  <c r="R49" i="23"/>
  <c r="O49" i="23"/>
  <c r="J49" i="23"/>
  <c r="I49" i="23"/>
  <c r="G49" i="23"/>
  <c r="F49" i="23"/>
  <c r="E49" i="23"/>
  <c r="Z48" i="23"/>
  <c r="Y48" i="23"/>
  <c r="X48" i="23"/>
  <c r="W48" i="23"/>
  <c r="V48" i="23"/>
  <c r="U48" i="23"/>
  <c r="T48" i="23"/>
  <c r="S48" i="23"/>
  <c r="R48" i="23"/>
  <c r="Q48" i="23"/>
  <c r="P48" i="23"/>
  <c r="O48" i="23"/>
  <c r="J48" i="23"/>
  <c r="I48" i="23"/>
  <c r="G48" i="23"/>
  <c r="F48" i="23"/>
  <c r="E48" i="23"/>
  <c r="B48" i="23"/>
  <c r="Z47" i="23"/>
  <c r="Y47" i="23"/>
  <c r="X47" i="23"/>
  <c r="W47" i="23"/>
  <c r="V47" i="23"/>
  <c r="U47" i="23"/>
  <c r="T47" i="23"/>
  <c r="S47" i="23"/>
  <c r="R47" i="23"/>
  <c r="Q47" i="23"/>
  <c r="P47" i="23"/>
  <c r="O47" i="23"/>
  <c r="J47" i="23"/>
  <c r="I47" i="23"/>
  <c r="F47" i="23"/>
  <c r="E47" i="23"/>
  <c r="G47" i="23" s="1"/>
  <c r="B47" i="23"/>
  <c r="Z46" i="23"/>
  <c r="Y46" i="23"/>
  <c r="S46" i="23" s="1"/>
  <c r="P46" i="23"/>
  <c r="O46" i="23"/>
  <c r="Q46" i="23" s="1"/>
  <c r="G46" i="23"/>
  <c r="F46" i="23"/>
  <c r="E46" i="23"/>
  <c r="B46" i="23"/>
  <c r="Z45" i="23"/>
  <c r="Y45" i="23"/>
  <c r="O45" i="23"/>
  <c r="Q45" i="23" s="1"/>
  <c r="E45" i="23"/>
  <c r="Z44" i="23"/>
  <c r="Y44" i="23"/>
  <c r="X44" i="23"/>
  <c r="W44" i="23"/>
  <c r="V44" i="23"/>
  <c r="U44" i="23"/>
  <c r="O44" i="23"/>
  <c r="G44" i="23"/>
  <c r="F44" i="23"/>
  <c r="E44" i="23"/>
  <c r="B44" i="23"/>
  <c r="Z43" i="23"/>
  <c r="Y43" i="23"/>
  <c r="V43" i="23"/>
  <c r="U43" i="23"/>
  <c r="T43" i="23"/>
  <c r="P43" i="23"/>
  <c r="O43" i="23"/>
  <c r="Q43" i="23" s="1"/>
  <c r="J43" i="23"/>
  <c r="I43" i="23"/>
  <c r="E43" i="23"/>
  <c r="G43" i="23" s="1"/>
  <c r="Z42" i="23"/>
  <c r="Y42" i="23"/>
  <c r="V42" i="23"/>
  <c r="R42" i="23"/>
  <c r="Q42" i="23"/>
  <c r="O42" i="23"/>
  <c r="P42" i="23" s="1"/>
  <c r="E42" i="23"/>
  <c r="G42" i="23" s="1"/>
  <c r="Z41" i="23"/>
  <c r="Y41" i="23"/>
  <c r="X41" i="23"/>
  <c r="S41" i="23"/>
  <c r="R41" i="23"/>
  <c r="Q41" i="23"/>
  <c r="P41" i="23"/>
  <c r="O41" i="23"/>
  <c r="E41" i="23"/>
  <c r="B41" i="23"/>
  <c r="Z40" i="23"/>
  <c r="J40" i="23" s="1"/>
  <c r="Y40" i="23"/>
  <c r="O40" i="23"/>
  <c r="Q40" i="23" s="1"/>
  <c r="E40" i="23"/>
  <c r="G40" i="23" s="1"/>
  <c r="Z39" i="23"/>
  <c r="Y39" i="23"/>
  <c r="V39" i="23" s="1"/>
  <c r="R39" i="23"/>
  <c r="Q39" i="23"/>
  <c r="P39" i="23"/>
  <c r="O39" i="23"/>
  <c r="G39" i="23"/>
  <c r="F39" i="23"/>
  <c r="E39" i="23"/>
  <c r="Z38" i="23"/>
  <c r="Y38" i="23"/>
  <c r="X38" i="23"/>
  <c r="W38" i="23"/>
  <c r="V38" i="23"/>
  <c r="U38" i="23"/>
  <c r="T38" i="23"/>
  <c r="S38" i="23"/>
  <c r="R38" i="23"/>
  <c r="Q38" i="23"/>
  <c r="P38" i="23"/>
  <c r="O38" i="23"/>
  <c r="J38" i="23"/>
  <c r="I38" i="23"/>
  <c r="F38" i="23"/>
  <c r="E38" i="23"/>
  <c r="G38" i="23" s="1"/>
  <c r="B38" i="23"/>
  <c r="Z37" i="23"/>
  <c r="Y37" i="23"/>
  <c r="X37" i="23"/>
  <c r="W37" i="23"/>
  <c r="V37" i="23"/>
  <c r="U37" i="23"/>
  <c r="T37" i="23"/>
  <c r="S37" i="23"/>
  <c r="R37" i="23"/>
  <c r="Q37" i="23"/>
  <c r="O37" i="23"/>
  <c r="P37" i="23" s="1"/>
  <c r="J37" i="23"/>
  <c r="I37" i="23"/>
  <c r="G37" i="23"/>
  <c r="E37" i="23"/>
  <c r="F37" i="23" s="1"/>
  <c r="B37" i="23"/>
  <c r="Z36" i="23"/>
  <c r="Y36" i="23"/>
  <c r="V36" i="23"/>
  <c r="Q36" i="23"/>
  <c r="P36" i="23"/>
  <c r="O36" i="23"/>
  <c r="G36" i="23"/>
  <c r="E36" i="23"/>
  <c r="F36" i="23" s="1"/>
  <c r="Z35" i="23"/>
  <c r="Y35" i="23"/>
  <c r="X35" i="23"/>
  <c r="W35" i="23"/>
  <c r="T35" i="23"/>
  <c r="S35" i="23"/>
  <c r="Q35" i="23"/>
  <c r="O35" i="23"/>
  <c r="P35" i="23" s="1"/>
  <c r="G35" i="23"/>
  <c r="E35" i="23"/>
  <c r="F35" i="23" s="1"/>
  <c r="Z34" i="23"/>
  <c r="Y34" i="23"/>
  <c r="W34" i="23"/>
  <c r="O34" i="23"/>
  <c r="J34" i="23"/>
  <c r="I34" i="23"/>
  <c r="G34" i="23"/>
  <c r="E34" i="23"/>
  <c r="F34" i="23" s="1"/>
  <c r="Z33" i="23"/>
  <c r="Y33" i="23"/>
  <c r="X33" i="23"/>
  <c r="W33" i="23"/>
  <c r="V33" i="23"/>
  <c r="U33" i="23"/>
  <c r="T33" i="23"/>
  <c r="S33" i="23"/>
  <c r="R33" i="23"/>
  <c r="Q33" i="23"/>
  <c r="P33" i="23"/>
  <c r="O33" i="23"/>
  <c r="J33" i="23"/>
  <c r="I33" i="23"/>
  <c r="E33" i="23"/>
  <c r="B33" i="23"/>
  <c r="Z32" i="23"/>
  <c r="Y32" i="23"/>
  <c r="X32" i="23" s="1"/>
  <c r="U32" i="23"/>
  <c r="T32" i="23"/>
  <c r="S32" i="23"/>
  <c r="R32" i="23"/>
  <c r="O32" i="23"/>
  <c r="J32" i="23"/>
  <c r="I32" i="23"/>
  <c r="G32" i="23"/>
  <c r="F32" i="23"/>
  <c r="E32" i="23"/>
  <c r="B32" i="23"/>
  <c r="Z31" i="23"/>
  <c r="Y31" i="23"/>
  <c r="X31" i="23"/>
  <c r="O31" i="23"/>
  <c r="J31" i="23"/>
  <c r="I31" i="23"/>
  <c r="F31" i="23"/>
  <c r="E31" i="23"/>
  <c r="G31" i="23" s="1"/>
  <c r="B31" i="23"/>
  <c r="Z30" i="23"/>
  <c r="Y30" i="23"/>
  <c r="X30" i="23"/>
  <c r="W30" i="23"/>
  <c r="V30" i="23"/>
  <c r="U30" i="23"/>
  <c r="T30" i="23"/>
  <c r="P30" i="23"/>
  <c r="O30" i="23"/>
  <c r="Q30" i="23" s="1"/>
  <c r="E30" i="23"/>
  <c r="B30" i="23"/>
  <c r="Z29" i="23"/>
  <c r="I29" i="23" s="1"/>
  <c r="Y29" i="23"/>
  <c r="X29" i="23"/>
  <c r="W29" i="23"/>
  <c r="V29" i="23"/>
  <c r="U29" i="23"/>
  <c r="T29" i="23"/>
  <c r="R29" i="23"/>
  <c r="O29" i="23"/>
  <c r="J29" i="23"/>
  <c r="G29" i="23"/>
  <c r="F29" i="23"/>
  <c r="E29" i="23"/>
  <c r="Z28" i="23"/>
  <c r="J28" i="23" s="1"/>
  <c r="Y28" i="23"/>
  <c r="X28" i="23"/>
  <c r="W28" i="23"/>
  <c r="U28" i="23"/>
  <c r="T28" i="23"/>
  <c r="S28" i="23"/>
  <c r="R28" i="23"/>
  <c r="Q28" i="23"/>
  <c r="P28" i="23"/>
  <c r="O28" i="23"/>
  <c r="I28" i="23"/>
  <c r="G28" i="23"/>
  <c r="F28" i="23"/>
  <c r="E28" i="23"/>
  <c r="Z27" i="23"/>
  <c r="I27" i="23" s="1"/>
  <c r="Y27" i="23"/>
  <c r="X27" i="23"/>
  <c r="W27" i="23"/>
  <c r="V27" i="23"/>
  <c r="U27" i="23"/>
  <c r="T27" i="23"/>
  <c r="S27" i="23"/>
  <c r="R27" i="23"/>
  <c r="Q27" i="23"/>
  <c r="P27" i="23"/>
  <c r="O27" i="23"/>
  <c r="J27" i="23"/>
  <c r="E27" i="23"/>
  <c r="G27" i="23" s="1"/>
  <c r="B27" i="23"/>
  <c r="Z26" i="23"/>
  <c r="Y26" i="23"/>
  <c r="T26" i="23"/>
  <c r="S26" i="23"/>
  <c r="R26" i="23"/>
  <c r="Q26" i="23"/>
  <c r="P26" i="23"/>
  <c r="O26" i="23"/>
  <c r="G26" i="23"/>
  <c r="E26" i="23"/>
  <c r="F26" i="23" s="1"/>
  <c r="B26" i="23"/>
  <c r="Z25" i="23"/>
  <c r="Y25" i="23"/>
  <c r="X25" i="23"/>
  <c r="W25" i="23"/>
  <c r="Q25" i="23"/>
  <c r="O25" i="23"/>
  <c r="P25" i="23" s="1"/>
  <c r="E25" i="23"/>
  <c r="Z24" i="23"/>
  <c r="Y24" i="23"/>
  <c r="Q24" i="23"/>
  <c r="P24" i="23"/>
  <c r="O24" i="23"/>
  <c r="J24" i="23"/>
  <c r="I24" i="23"/>
  <c r="E24" i="23"/>
  <c r="Z23" i="23"/>
  <c r="Y23" i="23"/>
  <c r="X23" i="23"/>
  <c r="W23" i="23"/>
  <c r="V23" i="23"/>
  <c r="U23" i="23"/>
  <c r="T23" i="23"/>
  <c r="S23" i="23"/>
  <c r="R23" i="23"/>
  <c r="Q23" i="23"/>
  <c r="O23" i="23"/>
  <c r="P23" i="23" s="1"/>
  <c r="E23" i="23"/>
  <c r="B23" i="23"/>
  <c r="Z22" i="23"/>
  <c r="Y22" i="23"/>
  <c r="X22" i="23"/>
  <c r="U22" i="23"/>
  <c r="T22" i="23"/>
  <c r="S22" i="23"/>
  <c r="R22" i="23"/>
  <c r="Q22" i="23"/>
  <c r="P22" i="23"/>
  <c r="O22" i="23"/>
  <c r="E22" i="23"/>
  <c r="G22" i="23" s="1"/>
  <c r="Z21" i="23"/>
  <c r="Y21" i="23"/>
  <c r="X21" i="23"/>
  <c r="W21" i="23"/>
  <c r="V21" i="23"/>
  <c r="R21" i="23"/>
  <c r="O21" i="23"/>
  <c r="J21" i="23"/>
  <c r="I21" i="23"/>
  <c r="G21" i="23"/>
  <c r="E21" i="23"/>
  <c r="F21" i="23" s="1"/>
  <c r="B21" i="23"/>
  <c r="Z20" i="23"/>
  <c r="Y20" i="23"/>
  <c r="X20" i="23" s="1"/>
  <c r="V20" i="23"/>
  <c r="U20" i="23"/>
  <c r="T20" i="23"/>
  <c r="Q20" i="23"/>
  <c r="P20" i="23"/>
  <c r="O20" i="23"/>
  <c r="J20" i="23"/>
  <c r="I20" i="23"/>
  <c r="E20" i="23"/>
  <c r="G20" i="23" s="1"/>
  <c r="B20" i="23"/>
  <c r="Z19" i="23"/>
  <c r="Y19" i="23"/>
  <c r="X19" i="23"/>
  <c r="O19" i="23"/>
  <c r="J19" i="23"/>
  <c r="I19" i="23"/>
  <c r="G19" i="23"/>
  <c r="E19" i="23"/>
  <c r="F19" i="23" s="1"/>
  <c r="Z18" i="23"/>
  <c r="J18" i="23" s="1"/>
  <c r="Y18" i="23"/>
  <c r="R18" i="23" s="1"/>
  <c r="X18" i="23"/>
  <c r="W18" i="23"/>
  <c r="V18" i="23"/>
  <c r="U18" i="23"/>
  <c r="T18" i="23"/>
  <c r="S18" i="23"/>
  <c r="Q18" i="23"/>
  <c r="P18" i="23"/>
  <c r="O18" i="23"/>
  <c r="I18" i="23"/>
  <c r="E18" i="23"/>
  <c r="G18" i="23" s="1"/>
  <c r="B18" i="23"/>
  <c r="Z17" i="23"/>
  <c r="I17" i="23" s="1"/>
  <c r="Y17" i="23"/>
  <c r="Q17" i="23"/>
  <c r="P17" i="23"/>
  <c r="O17" i="23"/>
  <c r="F17" i="23"/>
  <c r="E17" i="23"/>
  <c r="G17" i="23" s="1"/>
  <c r="B17" i="23"/>
  <c r="Z16" i="23"/>
  <c r="Y16" i="23"/>
  <c r="X16" i="23"/>
  <c r="W16" i="23"/>
  <c r="U16" i="23"/>
  <c r="T16" i="23"/>
  <c r="S16" i="23"/>
  <c r="Q16" i="23"/>
  <c r="P16" i="23"/>
  <c r="O16" i="23"/>
  <c r="G16" i="23"/>
  <c r="E16" i="23"/>
  <c r="F16" i="23" s="1"/>
  <c r="Z15" i="23"/>
  <c r="Y15" i="23"/>
  <c r="B15" i="23" s="1"/>
  <c r="X15" i="23"/>
  <c r="W15" i="23"/>
  <c r="V15" i="23"/>
  <c r="U15" i="23"/>
  <c r="T15" i="23"/>
  <c r="S15" i="23"/>
  <c r="R15" i="23"/>
  <c r="O15" i="23"/>
  <c r="Q15" i="23" s="1"/>
  <c r="J15" i="23"/>
  <c r="I15" i="23"/>
  <c r="E15" i="23"/>
  <c r="G15" i="23" s="1"/>
  <c r="Z14" i="23"/>
  <c r="Y14" i="23"/>
  <c r="X14" i="23"/>
  <c r="W14" i="23"/>
  <c r="V14" i="23"/>
  <c r="U14" i="23"/>
  <c r="T14" i="23"/>
  <c r="S14" i="23"/>
  <c r="R14" i="23"/>
  <c r="O14" i="23"/>
  <c r="J14" i="23"/>
  <c r="I14" i="23"/>
  <c r="G14" i="23"/>
  <c r="F14" i="23"/>
  <c r="E14" i="23"/>
  <c r="B14" i="23"/>
  <c r="Z13" i="23"/>
  <c r="J13" i="23" s="1"/>
  <c r="Y13" i="23"/>
  <c r="X13" i="23"/>
  <c r="W13" i="23"/>
  <c r="V13" i="23"/>
  <c r="U13" i="23"/>
  <c r="T13" i="23"/>
  <c r="S13" i="23"/>
  <c r="R13" i="23"/>
  <c r="Q13" i="23"/>
  <c r="P13" i="23"/>
  <c r="O13" i="23"/>
  <c r="I13" i="23"/>
  <c r="G13" i="23"/>
  <c r="E13" i="23"/>
  <c r="F13" i="23" s="1"/>
  <c r="B13" i="23"/>
  <c r="Z12" i="23"/>
  <c r="Y12" i="23"/>
  <c r="X12" i="23" s="1"/>
  <c r="U12" i="23"/>
  <c r="O12" i="23"/>
  <c r="G12" i="23"/>
  <c r="F12" i="23"/>
  <c r="E12" i="23"/>
  <c r="B12" i="23"/>
  <c r="Z11" i="23"/>
  <c r="Y11" i="23"/>
  <c r="Q11" i="23"/>
  <c r="P11" i="23"/>
  <c r="O11" i="23"/>
  <c r="E11" i="23"/>
  <c r="G11" i="23" s="1"/>
  <c r="Z10" i="23"/>
  <c r="Y10" i="23"/>
  <c r="Q10" i="23"/>
  <c r="O10" i="23"/>
  <c r="P10" i="23" s="1"/>
  <c r="E10" i="23"/>
  <c r="F10" i="23" s="1"/>
  <c r="G10" i="23" s="1"/>
  <c r="Z9" i="23"/>
  <c r="Y9" i="23"/>
  <c r="O9" i="23"/>
  <c r="E9" i="23"/>
  <c r="F9" i="23" s="1"/>
  <c r="Z8" i="23"/>
  <c r="Y8" i="23"/>
  <c r="Q8" i="23"/>
  <c r="P8" i="23"/>
  <c r="O8" i="23"/>
  <c r="E8" i="23"/>
  <c r="Z7" i="23"/>
  <c r="Y7" i="23"/>
  <c r="P7" i="23"/>
  <c r="O7" i="23"/>
  <c r="Q7" i="23" s="1"/>
  <c r="E7" i="23"/>
  <c r="Z6" i="23"/>
  <c r="Y6" i="23"/>
  <c r="Q6" i="23"/>
  <c r="P6" i="23"/>
  <c r="O6" i="23"/>
  <c r="E6" i="23"/>
  <c r="F6" i="23" s="1"/>
  <c r="G6" i="23" s="1"/>
  <c r="Z5" i="23"/>
  <c r="Y5" i="23"/>
  <c r="Q5" i="23"/>
  <c r="P5" i="23"/>
  <c r="O5" i="23"/>
  <c r="E5" i="23"/>
  <c r="M50" i="22"/>
  <c r="C50" i="22"/>
  <c r="Z49" i="22"/>
  <c r="J49" i="22" s="1"/>
  <c r="Y49" i="22"/>
  <c r="X49" i="22"/>
  <c r="W49" i="22"/>
  <c r="V49" i="22"/>
  <c r="S49" i="22"/>
  <c r="R49" i="22"/>
  <c r="P49" i="22"/>
  <c r="O49" i="22"/>
  <c r="Q49" i="22" s="1"/>
  <c r="I49" i="22"/>
  <c r="E49" i="22"/>
  <c r="G49" i="22" s="1"/>
  <c r="B49" i="22"/>
  <c r="Z48" i="22"/>
  <c r="J48" i="22" s="1"/>
  <c r="Y48" i="22"/>
  <c r="X48" i="22" s="1"/>
  <c r="V48" i="22"/>
  <c r="O48" i="22"/>
  <c r="G48" i="22"/>
  <c r="F48" i="22"/>
  <c r="E48" i="22"/>
  <c r="B48" i="22"/>
  <c r="Z47" i="22"/>
  <c r="Y47" i="22"/>
  <c r="X47" i="22" s="1"/>
  <c r="V47" i="22"/>
  <c r="U47" i="22"/>
  <c r="T47" i="22"/>
  <c r="S47" i="22"/>
  <c r="O47" i="22"/>
  <c r="F47" i="22"/>
  <c r="E47" i="22"/>
  <c r="G47" i="22" s="1"/>
  <c r="Z46" i="22"/>
  <c r="J46" i="22" s="1"/>
  <c r="Y46" i="22"/>
  <c r="W46" i="22" s="1"/>
  <c r="V46" i="22"/>
  <c r="T46" i="22"/>
  <c r="S46" i="22"/>
  <c r="R46" i="22"/>
  <c r="Q46" i="22"/>
  <c r="P46" i="22"/>
  <c r="O46" i="22"/>
  <c r="I46" i="22"/>
  <c r="E46" i="22"/>
  <c r="G46" i="22" s="1"/>
  <c r="Z45" i="22"/>
  <c r="Y45" i="22"/>
  <c r="W45" i="22"/>
  <c r="V45" i="22"/>
  <c r="T45" i="22"/>
  <c r="S45" i="22"/>
  <c r="R45" i="22"/>
  <c r="O45" i="22"/>
  <c r="Q45" i="22" s="1"/>
  <c r="E45" i="22"/>
  <c r="Z44" i="22"/>
  <c r="Y44" i="22"/>
  <c r="W44" i="22" s="1"/>
  <c r="X44" i="22"/>
  <c r="V44" i="22"/>
  <c r="U44" i="22"/>
  <c r="T44" i="22"/>
  <c r="S44" i="22"/>
  <c r="R44" i="22"/>
  <c r="P44" i="22"/>
  <c r="O44" i="22"/>
  <c r="Q44" i="22" s="1"/>
  <c r="J44" i="22"/>
  <c r="I44" i="22"/>
  <c r="G44" i="22"/>
  <c r="E44" i="22"/>
  <c r="F44" i="22" s="1"/>
  <c r="B44" i="22"/>
  <c r="Z43" i="22"/>
  <c r="J43" i="22" s="1"/>
  <c r="Y43" i="22"/>
  <c r="X43" i="22"/>
  <c r="S43" i="22"/>
  <c r="R43" i="22"/>
  <c r="P43" i="22"/>
  <c r="O43" i="22"/>
  <c r="Q43" i="22" s="1"/>
  <c r="I43" i="22"/>
  <c r="G43" i="22"/>
  <c r="F43" i="22"/>
  <c r="E43" i="22"/>
  <c r="Z42" i="22"/>
  <c r="Y42" i="22"/>
  <c r="P42" i="22"/>
  <c r="O42" i="22"/>
  <c r="Q42" i="22" s="1"/>
  <c r="J42" i="22"/>
  <c r="I42" i="22"/>
  <c r="E42" i="22"/>
  <c r="Z41" i="22"/>
  <c r="I41" i="22" s="1"/>
  <c r="Y41" i="22"/>
  <c r="X41" i="22"/>
  <c r="W41" i="22"/>
  <c r="V41" i="22"/>
  <c r="U41" i="22"/>
  <c r="T41" i="22"/>
  <c r="S41" i="22"/>
  <c r="R41" i="22"/>
  <c r="Q41" i="22"/>
  <c r="P41" i="22"/>
  <c r="O41" i="22"/>
  <c r="J41" i="22"/>
  <c r="G41" i="22"/>
  <c r="F41" i="22"/>
  <c r="E41" i="22"/>
  <c r="B41" i="22"/>
  <c r="Z40" i="22"/>
  <c r="Y40" i="22"/>
  <c r="U40" i="22" s="1"/>
  <c r="X40" i="22"/>
  <c r="S40" i="22"/>
  <c r="R40" i="22"/>
  <c r="Q40" i="22"/>
  <c r="P40" i="22"/>
  <c r="O40" i="22"/>
  <c r="E40" i="22"/>
  <c r="B40" i="22"/>
  <c r="Z39" i="22"/>
  <c r="I39" i="22" s="1"/>
  <c r="Y39" i="22"/>
  <c r="X39" i="22" s="1"/>
  <c r="O39" i="22"/>
  <c r="J39" i="22"/>
  <c r="G39" i="22"/>
  <c r="F39" i="22"/>
  <c r="E39" i="22"/>
  <c r="Z38" i="22"/>
  <c r="Y38" i="22"/>
  <c r="X38" i="22"/>
  <c r="W38" i="22"/>
  <c r="V38" i="22"/>
  <c r="U38" i="22"/>
  <c r="T38" i="22"/>
  <c r="O38" i="22"/>
  <c r="J38" i="22"/>
  <c r="I38" i="22"/>
  <c r="E38" i="22"/>
  <c r="G38" i="22" s="1"/>
  <c r="B38" i="22"/>
  <c r="Z37" i="22"/>
  <c r="Y37" i="22"/>
  <c r="T37" i="22" s="1"/>
  <c r="O37" i="22"/>
  <c r="E37" i="22"/>
  <c r="F37" i="22" s="1"/>
  <c r="Z36" i="22"/>
  <c r="J36" i="22" s="1"/>
  <c r="Y36" i="22"/>
  <c r="Q36" i="22"/>
  <c r="P36" i="22"/>
  <c r="O36" i="22"/>
  <c r="I36" i="22"/>
  <c r="G36" i="22"/>
  <c r="F36" i="22"/>
  <c r="E36" i="22"/>
  <c r="Z35" i="22"/>
  <c r="Y35" i="22"/>
  <c r="X35" i="22" s="1"/>
  <c r="U35" i="22"/>
  <c r="O35" i="22"/>
  <c r="Q35" i="22" s="1"/>
  <c r="E35" i="22"/>
  <c r="G35" i="22" s="1"/>
  <c r="Z34" i="22"/>
  <c r="I34" i="22" s="1"/>
  <c r="Y34" i="22"/>
  <c r="T34" i="22" s="1"/>
  <c r="W34" i="22"/>
  <c r="V34" i="22"/>
  <c r="U34" i="22"/>
  <c r="S34" i="22"/>
  <c r="R34" i="22"/>
  <c r="Q34" i="22"/>
  <c r="P34" i="22"/>
  <c r="O34" i="22"/>
  <c r="J34" i="22"/>
  <c r="G34" i="22"/>
  <c r="E34" i="22"/>
  <c r="F34" i="22" s="1"/>
  <c r="Z33" i="22"/>
  <c r="Y33" i="22"/>
  <c r="Q33" i="22"/>
  <c r="O33" i="22"/>
  <c r="P33" i="22" s="1"/>
  <c r="G33" i="22"/>
  <c r="F33" i="22"/>
  <c r="E33" i="22"/>
  <c r="Z32" i="22"/>
  <c r="Y32" i="22"/>
  <c r="X32" i="22" s="1"/>
  <c r="W32" i="22"/>
  <c r="V32" i="22"/>
  <c r="U32" i="22"/>
  <c r="T32" i="22"/>
  <c r="S32" i="22"/>
  <c r="R32" i="22"/>
  <c r="O32" i="22"/>
  <c r="Q32" i="22" s="1"/>
  <c r="J32" i="22"/>
  <c r="I32" i="22"/>
  <c r="G32" i="22"/>
  <c r="F32" i="22"/>
  <c r="E32" i="22"/>
  <c r="B32" i="22"/>
  <c r="Z31" i="22"/>
  <c r="Y31" i="22"/>
  <c r="X31" i="22"/>
  <c r="W31" i="22"/>
  <c r="V31" i="22"/>
  <c r="U31" i="22"/>
  <c r="T31" i="22"/>
  <c r="S31" i="22"/>
  <c r="R31" i="22"/>
  <c r="Q31" i="22"/>
  <c r="O31" i="22"/>
  <c r="P31" i="22" s="1"/>
  <c r="F31" i="22"/>
  <c r="E31" i="22"/>
  <c r="G31" i="22" s="1"/>
  <c r="B31" i="22"/>
  <c r="Z30" i="22"/>
  <c r="Y30" i="22"/>
  <c r="Q30" i="22"/>
  <c r="P30" i="22"/>
  <c r="O30" i="22"/>
  <c r="G30" i="22"/>
  <c r="F30" i="22"/>
  <c r="E30" i="22"/>
  <c r="Z29" i="22"/>
  <c r="Y29" i="22"/>
  <c r="W29" i="22" s="1"/>
  <c r="X29" i="22"/>
  <c r="V29" i="22"/>
  <c r="T29" i="22"/>
  <c r="O29" i="22"/>
  <c r="J29" i="22"/>
  <c r="I29" i="22"/>
  <c r="G29" i="22"/>
  <c r="F29" i="22"/>
  <c r="E29" i="22"/>
  <c r="B29" i="22"/>
  <c r="Z28" i="22"/>
  <c r="Y28" i="22"/>
  <c r="S28" i="22" s="1"/>
  <c r="X28" i="22"/>
  <c r="W28" i="22"/>
  <c r="V28" i="22"/>
  <c r="U28" i="22"/>
  <c r="T28" i="22"/>
  <c r="Q28" i="22"/>
  <c r="O28" i="22"/>
  <c r="P28" i="22" s="1"/>
  <c r="E28" i="22"/>
  <c r="B28" i="22"/>
  <c r="Z27" i="22"/>
  <c r="I27" i="22" s="1"/>
  <c r="Y27" i="22"/>
  <c r="X27" i="22"/>
  <c r="W27" i="22"/>
  <c r="V27" i="22"/>
  <c r="U27" i="22"/>
  <c r="T27" i="22"/>
  <c r="S27" i="22"/>
  <c r="R27" i="22"/>
  <c r="O27" i="22"/>
  <c r="Q27" i="22" s="1"/>
  <c r="J27" i="22"/>
  <c r="G27" i="22"/>
  <c r="F27" i="22"/>
  <c r="E27" i="22"/>
  <c r="B27" i="22"/>
  <c r="Z26" i="22"/>
  <c r="Y26" i="22"/>
  <c r="X26" i="22"/>
  <c r="W26" i="22"/>
  <c r="U26" i="22"/>
  <c r="T26" i="22"/>
  <c r="S26" i="22"/>
  <c r="R26" i="22"/>
  <c r="Q26" i="22"/>
  <c r="P26" i="22"/>
  <c r="O26" i="22"/>
  <c r="J26" i="22"/>
  <c r="I26" i="22"/>
  <c r="G26" i="22"/>
  <c r="E26" i="22"/>
  <c r="F26" i="22" s="1"/>
  <c r="Z25" i="22"/>
  <c r="Y25" i="22"/>
  <c r="R25" i="22"/>
  <c r="Q25" i="22"/>
  <c r="P25" i="22"/>
  <c r="O25" i="22"/>
  <c r="J25" i="22"/>
  <c r="I25" i="22"/>
  <c r="E25" i="22"/>
  <c r="G25" i="22" s="1"/>
  <c r="Z24" i="22"/>
  <c r="Y24" i="22"/>
  <c r="X24" i="22" s="1"/>
  <c r="W24" i="22"/>
  <c r="V24" i="22"/>
  <c r="U24" i="22"/>
  <c r="T24" i="22"/>
  <c r="S24" i="22"/>
  <c r="R24" i="22"/>
  <c r="O24" i="22"/>
  <c r="Q24" i="22" s="1"/>
  <c r="J24" i="22"/>
  <c r="I24" i="22"/>
  <c r="F24" i="22"/>
  <c r="E24" i="22"/>
  <c r="G24" i="22" s="1"/>
  <c r="B24" i="22"/>
  <c r="Z23" i="22"/>
  <c r="Y23" i="22"/>
  <c r="X23" i="22"/>
  <c r="W23" i="22"/>
  <c r="V23" i="22"/>
  <c r="U23" i="22"/>
  <c r="T23" i="22"/>
  <c r="S23" i="22"/>
  <c r="R23" i="22"/>
  <c r="Q23" i="22"/>
  <c r="O23" i="22"/>
  <c r="P23" i="22" s="1"/>
  <c r="F23" i="22"/>
  <c r="E23" i="22"/>
  <c r="G23" i="22" s="1"/>
  <c r="B23" i="22"/>
  <c r="Z22" i="22"/>
  <c r="Y22" i="22"/>
  <c r="X22" i="22"/>
  <c r="S22" i="22"/>
  <c r="R22" i="22"/>
  <c r="O22" i="22"/>
  <c r="G22" i="22"/>
  <c r="F22" i="22"/>
  <c r="E22" i="22"/>
  <c r="Z21" i="22"/>
  <c r="Y21" i="22"/>
  <c r="X21" i="22" s="1"/>
  <c r="W21" i="22"/>
  <c r="V21" i="22"/>
  <c r="Q21" i="22"/>
  <c r="O21" i="22"/>
  <c r="P21" i="22" s="1"/>
  <c r="J21" i="22"/>
  <c r="I21" i="22"/>
  <c r="E21" i="22"/>
  <c r="B21" i="22"/>
  <c r="Z20" i="22"/>
  <c r="Y20" i="22"/>
  <c r="X20" i="22"/>
  <c r="W20" i="22"/>
  <c r="V20" i="22"/>
  <c r="O20" i="22"/>
  <c r="G20" i="22"/>
  <c r="F20" i="22"/>
  <c r="E20" i="22"/>
  <c r="B20" i="22"/>
  <c r="Z19" i="22"/>
  <c r="Y19" i="22"/>
  <c r="S19" i="22"/>
  <c r="P19" i="22"/>
  <c r="O19" i="22"/>
  <c r="Q19" i="22" s="1"/>
  <c r="G19" i="22"/>
  <c r="F19" i="22"/>
  <c r="E19" i="22"/>
  <c r="Z18" i="22"/>
  <c r="Y18" i="22"/>
  <c r="X18" i="22"/>
  <c r="W18" i="22"/>
  <c r="V18" i="22"/>
  <c r="U18" i="22"/>
  <c r="T18" i="22"/>
  <c r="Q18" i="22"/>
  <c r="P18" i="22"/>
  <c r="O18" i="22"/>
  <c r="E18" i="22"/>
  <c r="Z17" i="22"/>
  <c r="I17" i="22" s="1"/>
  <c r="Y17" i="22"/>
  <c r="W17" i="22" s="1"/>
  <c r="X17" i="22"/>
  <c r="V17" i="22"/>
  <c r="U17" i="22"/>
  <c r="T17" i="22"/>
  <c r="S17" i="22"/>
  <c r="R17" i="22"/>
  <c r="Q17" i="22"/>
  <c r="P17" i="22"/>
  <c r="O17" i="22"/>
  <c r="J17" i="22"/>
  <c r="G17" i="22"/>
  <c r="F17" i="22"/>
  <c r="E17" i="22"/>
  <c r="B17" i="22"/>
  <c r="Z16" i="22"/>
  <c r="Y16" i="22"/>
  <c r="X16" i="22"/>
  <c r="R16" i="22"/>
  <c r="Q16" i="22"/>
  <c r="P16" i="22"/>
  <c r="O16" i="22"/>
  <c r="J16" i="22"/>
  <c r="I16" i="22"/>
  <c r="G16" i="22"/>
  <c r="E16" i="22"/>
  <c r="F16" i="22" s="1"/>
  <c r="Z15" i="22"/>
  <c r="Y15" i="22"/>
  <c r="B15" i="22" s="1"/>
  <c r="X15" i="22"/>
  <c r="W15" i="22"/>
  <c r="V15" i="22"/>
  <c r="U15" i="22"/>
  <c r="T15" i="22"/>
  <c r="O15" i="22"/>
  <c r="Q15" i="22" s="1"/>
  <c r="J15" i="22"/>
  <c r="I15" i="22"/>
  <c r="F15" i="22"/>
  <c r="E15" i="22"/>
  <c r="G15" i="22" s="1"/>
  <c r="Z14" i="22"/>
  <c r="Y14" i="22"/>
  <c r="X14" i="22" s="1"/>
  <c r="W14" i="22"/>
  <c r="V14" i="22"/>
  <c r="U14" i="22"/>
  <c r="T14" i="22"/>
  <c r="S14" i="22"/>
  <c r="R14" i="22"/>
  <c r="Q14" i="22"/>
  <c r="P14" i="22"/>
  <c r="O14" i="22"/>
  <c r="J14" i="22"/>
  <c r="I14" i="22"/>
  <c r="E14" i="22"/>
  <c r="B14" i="22"/>
  <c r="Z13" i="22"/>
  <c r="I13" i="22" s="1"/>
  <c r="Y13" i="22"/>
  <c r="X13" i="22"/>
  <c r="W13" i="22"/>
  <c r="V13" i="22"/>
  <c r="U13" i="22"/>
  <c r="T13" i="22"/>
  <c r="S13" i="22"/>
  <c r="R13" i="22"/>
  <c r="Q13" i="22"/>
  <c r="P13" i="22"/>
  <c r="O13" i="22"/>
  <c r="J13" i="22"/>
  <c r="G13" i="22"/>
  <c r="F13" i="22"/>
  <c r="E13" i="22"/>
  <c r="B13" i="22"/>
  <c r="Z12" i="22"/>
  <c r="Y12" i="22"/>
  <c r="P12" i="22"/>
  <c r="O12" i="22"/>
  <c r="Q12" i="22" s="1"/>
  <c r="G12" i="22"/>
  <c r="F12" i="22"/>
  <c r="E12" i="22"/>
  <c r="B12" i="22"/>
  <c r="Z11" i="22"/>
  <c r="Y11" i="22"/>
  <c r="X11" i="22" s="1"/>
  <c r="W11" i="22"/>
  <c r="O11" i="22"/>
  <c r="J11" i="22"/>
  <c r="I11" i="22"/>
  <c r="G11" i="22"/>
  <c r="F11" i="22"/>
  <c r="E11" i="22"/>
  <c r="B11" i="22"/>
  <c r="Z10" i="22"/>
  <c r="Y10" i="22"/>
  <c r="X10" i="22"/>
  <c r="W10" i="22"/>
  <c r="V10" i="22"/>
  <c r="U10" i="22"/>
  <c r="T10" i="22"/>
  <c r="O10" i="22"/>
  <c r="E10" i="22"/>
  <c r="B10" i="22"/>
  <c r="Z9" i="22"/>
  <c r="Y9" i="22"/>
  <c r="X9" i="22"/>
  <c r="W9" i="22"/>
  <c r="V9" i="22"/>
  <c r="U9" i="22"/>
  <c r="T9" i="22"/>
  <c r="R9" i="22"/>
  <c r="O9" i="22"/>
  <c r="Q9" i="22" s="1"/>
  <c r="G9" i="22"/>
  <c r="F9" i="22"/>
  <c r="E9" i="22"/>
  <c r="Z8" i="22"/>
  <c r="Y8" i="22"/>
  <c r="Q8" i="22"/>
  <c r="P8" i="22"/>
  <c r="O8" i="22"/>
  <c r="E8" i="22"/>
  <c r="Z7" i="22"/>
  <c r="Y7" i="22"/>
  <c r="O7" i="22"/>
  <c r="F7" i="22"/>
  <c r="G7" i="22" s="1"/>
  <c r="E7" i="22"/>
  <c r="Z6" i="22"/>
  <c r="Y6" i="22"/>
  <c r="O6" i="22"/>
  <c r="Q6" i="22" s="1"/>
  <c r="G6" i="22"/>
  <c r="E6" i="22"/>
  <c r="F6" i="22" s="1"/>
  <c r="Z5" i="22"/>
  <c r="Y5" i="22"/>
  <c r="Q5" i="22"/>
  <c r="P5" i="22"/>
  <c r="O5" i="22"/>
  <c r="E5" i="22"/>
  <c r="M50" i="21"/>
  <c r="C50" i="21"/>
  <c r="Z49" i="21"/>
  <c r="Y49" i="21"/>
  <c r="O49" i="21"/>
  <c r="Q49" i="21" s="1"/>
  <c r="J49" i="21"/>
  <c r="I49" i="21"/>
  <c r="E49" i="21"/>
  <c r="G49" i="21" s="1"/>
  <c r="B49" i="21"/>
  <c r="Z48" i="21"/>
  <c r="Y48" i="21"/>
  <c r="O48" i="21"/>
  <c r="G48" i="21"/>
  <c r="F48" i="21"/>
  <c r="E48" i="21"/>
  <c r="Z47" i="21"/>
  <c r="Y47" i="21"/>
  <c r="U47" i="21" s="1"/>
  <c r="X47" i="21"/>
  <c r="W47" i="21"/>
  <c r="V47" i="21"/>
  <c r="T47" i="21"/>
  <c r="S47" i="21"/>
  <c r="R47" i="21"/>
  <c r="O47" i="21"/>
  <c r="Q47" i="21" s="1"/>
  <c r="E47" i="21"/>
  <c r="B47" i="21"/>
  <c r="Z46" i="21"/>
  <c r="Y46" i="21"/>
  <c r="W46" i="21" s="1"/>
  <c r="X46" i="21"/>
  <c r="V46" i="21"/>
  <c r="U46" i="21"/>
  <c r="T46" i="21"/>
  <c r="S46" i="21"/>
  <c r="R46" i="21"/>
  <c r="Q46" i="21"/>
  <c r="P46" i="21"/>
  <c r="O46" i="21"/>
  <c r="F46" i="21"/>
  <c r="E46" i="21"/>
  <c r="G46" i="21" s="1"/>
  <c r="B46" i="21"/>
  <c r="Z45" i="21"/>
  <c r="Y45" i="21"/>
  <c r="X45" i="21"/>
  <c r="W45" i="21"/>
  <c r="V45" i="21"/>
  <c r="O45" i="21"/>
  <c r="Q45" i="21" s="1"/>
  <c r="G45" i="21"/>
  <c r="F45" i="21"/>
  <c r="E45" i="21"/>
  <c r="Z44" i="21"/>
  <c r="J44" i="21" s="1"/>
  <c r="Y44" i="21"/>
  <c r="W44" i="21"/>
  <c r="V44" i="21"/>
  <c r="S44" i="21"/>
  <c r="Q44" i="21"/>
  <c r="P44" i="21"/>
  <c r="O44" i="21"/>
  <c r="I44" i="21"/>
  <c r="G44" i="21"/>
  <c r="E44" i="21"/>
  <c r="F44" i="21" s="1"/>
  <c r="Z43" i="21"/>
  <c r="Y43" i="21"/>
  <c r="Q43" i="21"/>
  <c r="O43" i="21"/>
  <c r="P43" i="21" s="1"/>
  <c r="J43" i="21"/>
  <c r="I43" i="21"/>
  <c r="G43" i="21"/>
  <c r="E43" i="21"/>
  <c r="F43" i="21" s="1"/>
  <c r="Z42" i="21"/>
  <c r="Y42" i="21"/>
  <c r="X42" i="21" s="1"/>
  <c r="W42" i="21"/>
  <c r="V42" i="21"/>
  <c r="U42" i="21"/>
  <c r="T42" i="21"/>
  <c r="S42" i="21"/>
  <c r="R42" i="21"/>
  <c r="Q42" i="21"/>
  <c r="O42" i="21"/>
  <c r="P42" i="21" s="1"/>
  <c r="J42" i="21"/>
  <c r="I42" i="21"/>
  <c r="G42" i="21"/>
  <c r="F42" i="21"/>
  <c r="E42" i="21"/>
  <c r="B42" i="21"/>
  <c r="Z41" i="21"/>
  <c r="Y41" i="21"/>
  <c r="X41" i="21"/>
  <c r="W41" i="21"/>
  <c r="V41" i="21"/>
  <c r="U41" i="21"/>
  <c r="T41" i="21"/>
  <c r="S41" i="21"/>
  <c r="R41" i="21"/>
  <c r="Q41" i="21"/>
  <c r="P41" i="21"/>
  <c r="O41" i="21"/>
  <c r="J41" i="21"/>
  <c r="I41" i="21"/>
  <c r="F41" i="21"/>
  <c r="E41" i="21"/>
  <c r="G41" i="21" s="1"/>
  <c r="B41" i="21"/>
  <c r="Z40" i="21"/>
  <c r="Y40" i="21"/>
  <c r="S40" i="21" s="1"/>
  <c r="X40" i="21"/>
  <c r="R40" i="21"/>
  <c r="O40" i="21"/>
  <c r="J40" i="21"/>
  <c r="I40" i="21"/>
  <c r="E40" i="21"/>
  <c r="B40" i="21"/>
  <c r="Z39" i="21"/>
  <c r="J39" i="21" s="1"/>
  <c r="Y39" i="21"/>
  <c r="X39" i="21" s="1"/>
  <c r="V39" i="21"/>
  <c r="Q39" i="21"/>
  <c r="P39" i="21"/>
  <c r="O39" i="21"/>
  <c r="F39" i="21"/>
  <c r="E39" i="21"/>
  <c r="G39" i="21" s="1"/>
  <c r="B39" i="21"/>
  <c r="Z38" i="21"/>
  <c r="I38" i="21" s="1"/>
  <c r="Y38" i="21"/>
  <c r="X38" i="21" s="1"/>
  <c r="W38" i="21"/>
  <c r="V38" i="21"/>
  <c r="U38" i="21"/>
  <c r="Q38" i="21"/>
  <c r="O38" i="21"/>
  <c r="P38" i="21" s="1"/>
  <c r="J38" i="21"/>
  <c r="G38" i="21"/>
  <c r="F38" i="21"/>
  <c r="E38" i="21"/>
  <c r="Z37" i="21"/>
  <c r="J37" i="21" s="1"/>
  <c r="Y37" i="21"/>
  <c r="X37" i="21"/>
  <c r="W37" i="21"/>
  <c r="V37" i="21"/>
  <c r="U37" i="21"/>
  <c r="T37" i="21"/>
  <c r="S37" i="21"/>
  <c r="R37" i="21"/>
  <c r="O37" i="21"/>
  <c r="I37" i="21"/>
  <c r="E37" i="21"/>
  <c r="B37" i="21"/>
  <c r="Z36" i="21"/>
  <c r="Y36" i="21"/>
  <c r="Q36" i="21"/>
  <c r="P36" i="21"/>
  <c r="O36" i="21"/>
  <c r="F36" i="21"/>
  <c r="E36" i="21"/>
  <c r="G36" i="21" s="1"/>
  <c r="B36" i="21"/>
  <c r="Z35" i="21"/>
  <c r="I35" i="21" s="1"/>
  <c r="Y35" i="21"/>
  <c r="X35" i="21"/>
  <c r="W35" i="21"/>
  <c r="O35" i="21"/>
  <c r="J35" i="21"/>
  <c r="G35" i="21"/>
  <c r="F35" i="21"/>
  <c r="E35" i="21"/>
  <c r="Z34" i="21"/>
  <c r="Y34" i="21"/>
  <c r="W34" i="21" s="1"/>
  <c r="V34" i="21"/>
  <c r="U34" i="21"/>
  <c r="T34" i="21"/>
  <c r="S34" i="21"/>
  <c r="R34" i="21"/>
  <c r="O34" i="21"/>
  <c r="Q34" i="21" s="1"/>
  <c r="G34" i="21"/>
  <c r="E34" i="21"/>
  <c r="F34" i="21" s="1"/>
  <c r="B34" i="21"/>
  <c r="Z33" i="21"/>
  <c r="Y33" i="21"/>
  <c r="X33" i="21"/>
  <c r="Q33" i="21"/>
  <c r="P33" i="21"/>
  <c r="O33" i="21"/>
  <c r="J33" i="21"/>
  <c r="I33" i="21"/>
  <c r="G33" i="21"/>
  <c r="E33" i="21"/>
  <c r="F33" i="21" s="1"/>
  <c r="Z32" i="21"/>
  <c r="Y32" i="21"/>
  <c r="W32" i="21"/>
  <c r="V32" i="21"/>
  <c r="U32" i="21"/>
  <c r="T32" i="21"/>
  <c r="S32" i="21"/>
  <c r="R32" i="21"/>
  <c r="Q32" i="21"/>
  <c r="O32" i="21"/>
  <c r="P32" i="21" s="1"/>
  <c r="J32" i="21"/>
  <c r="I32" i="21"/>
  <c r="G32" i="21"/>
  <c r="F32" i="21"/>
  <c r="E32" i="21"/>
  <c r="Z31" i="21"/>
  <c r="Y31" i="21"/>
  <c r="X31" i="21"/>
  <c r="W31" i="21"/>
  <c r="V31" i="21"/>
  <c r="U31" i="21"/>
  <c r="T31" i="21"/>
  <c r="S31" i="21"/>
  <c r="R31" i="21"/>
  <c r="Q31" i="21"/>
  <c r="P31" i="21"/>
  <c r="O31" i="21"/>
  <c r="J31" i="21"/>
  <c r="I31" i="21"/>
  <c r="G31" i="21"/>
  <c r="F31" i="21"/>
  <c r="E31" i="21"/>
  <c r="B31" i="21"/>
  <c r="Z30" i="21"/>
  <c r="Y30" i="21"/>
  <c r="V30" i="21" s="1"/>
  <c r="X30" i="21"/>
  <c r="U30" i="21"/>
  <c r="S30" i="21"/>
  <c r="R30" i="21"/>
  <c r="Q30" i="21"/>
  <c r="O30" i="21"/>
  <c r="P30" i="21" s="1"/>
  <c r="J30" i="21"/>
  <c r="I30" i="21"/>
  <c r="E30" i="21"/>
  <c r="G30" i="21" s="1"/>
  <c r="B30" i="21"/>
  <c r="Z29" i="21"/>
  <c r="Y29" i="21"/>
  <c r="X29" i="21"/>
  <c r="O29" i="21"/>
  <c r="E29" i="21"/>
  <c r="F29" i="21" s="1"/>
  <c r="B29" i="21"/>
  <c r="Z28" i="21"/>
  <c r="Y28" i="21"/>
  <c r="S28" i="21" s="1"/>
  <c r="X28" i="21"/>
  <c r="W28" i="21"/>
  <c r="V28" i="21"/>
  <c r="U28" i="21"/>
  <c r="T28" i="21"/>
  <c r="R28" i="21"/>
  <c r="Q28" i="21"/>
  <c r="O28" i="21"/>
  <c r="P28" i="21" s="1"/>
  <c r="E28" i="21"/>
  <c r="Z27" i="21"/>
  <c r="J27" i="21" s="1"/>
  <c r="Y27" i="21"/>
  <c r="B27" i="21" s="1"/>
  <c r="W27" i="21"/>
  <c r="V27" i="21"/>
  <c r="U27" i="21"/>
  <c r="T27" i="21"/>
  <c r="S27" i="21"/>
  <c r="R27" i="21"/>
  <c r="O27" i="21"/>
  <c r="Q27" i="21" s="1"/>
  <c r="I27" i="21"/>
  <c r="E27" i="21"/>
  <c r="G27" i="21" s="1"/>
  <c r="Z26" i="21"/>
  <c r="Y26" i="21"/>
  <c r="X26" i="21"/>
  <c r="W26" i="21"/>
  <c r="V26" i="21"/>
  <c r="U26" i="21"/>
  <c r="Q26" i="21"/>
  <c r="P26" i="21"/>
  <c r="O26" i="21"/>
  <c r="J26" i="21"/>
  <c r="I26" i="21"/>
  <c r="F26" i="21"/>
  <c r="E26" i="21"/>
  <c r="G26" i="21" s="1"/>
  <c r="Z25" i="21"/>
  <c r="I25" i="21" s="1"/>
  <c r="Y25" i="21"/>
  <c r="X25" i="21" s="1"/>
  <c r="V25" i="21"/>
  <c r="U25" i="21"/>
  <c r="T25" i="21"/>
  <c r="S25" i="21"/>
  <c r="R25" i="21"/>
  <c r="O25" i="21"/>
  <c r="J25" i="21"/>
  <c r="G25" i="21"/>
  <c r="F25" i="21"/>
  <c r="E25" i="21"/>
  <c r="B25" i="21"/>
  <c r="Z24" i="21"/>
  <c r="Y24" i="21"/>
  <c r="P24" i="21"/>
  <c r="O24" i="21"/>
  <c r="Q24" i="21" s="1"/>
  <c r="J24" i="21"/>
  <c r="I24" i="21"/>
  <c r="G24" i="21"/>
  <c r="E24" i="21"/>
  <c r="F24" i="21" s="1"/>
  <c r="Z23" i="21"/>
  <c r="Y23" i="21"/>
  <c r="X23" i="21" s="1"/>
  <c r="P23" i="21"/>
  <c r="O23" i="21"/>
  <c r="Q23" i="21" s="1"/>
  <c r="J23" i="21"/>
  <c r="I23" i="21"/>
  <c r="G23" i="21"/>
  <c r="F23" i="21"/>
  <c r="E23" i="21"/>
  <c r="Z22" i="21"/>
  <c r="Y22" i="21"/>
  <c r="U22" i="21" s="1"/>
  <c r="W22" i="21"/>
  <c r="V22" i="21"/>
  <c r="T22" i="21"/>
  <c r="S22" i="21"/>
  <c r="R22" i="21"/>
  <c r="O22" i="21"/>
  <c r="Q22" i="21" s="1"/>
  <c r="G22" i="21"/>
  <c r="F22" i="21"/>
  <c r="E22" i="21"/>
  <c r="Z21" i="21"/>
  <c r="Y21" i="21"/>
  <c r="X21" i="21"/>
  <c r="W21" i="21"/>
  <c r="V21" i="21"/>
  <c r="U21" i="21"/>
  <c r="T21" i="21"/>
  <c r="S21" i="21"/>
  <c r="R21" i="21"/>
  <c r="Q21" i="21"/>
  <c r="P21" i="21"/>
  <c r="O21" i="21"/>
  <c r="E21" i="21"/>
  <c r="B21" i="21"/>
  <c r="Z20" i="21"/>
  <c r="Y20" i="21"/>
  <c r="X20" i="21"/>
  <c r="P20" i="21"/>
  <c r="O20" i="21"/>
  <c r="Q20" i="21" s="1"/>
  <c r="G20" i="21"/>
  <c r="F20" i="21"/>
  <c r="E20" i="21"/>
  <c r="Z19" i="21"/>
  <c r="Y19" i="21"/>
  <c r="X19" i="21"/>
  <c r="W19" i="21"/>
  <c r="V19" i="21"/>
  <c r="T19" i="21"/>
  <c r="S19" i="21"/>
  <c r="Q19" i="21"/>
  <c r="P19" i="21"/>
  <c r="O19" i="21"/>
  <c r="J19" i="21"/>
  <c r="I19" i="21"/>
  <c r="F19" i="21"/>
  <c r="E19" i="21"/>
  <c r="G19" i="21" s="1"/>
  <c r="B19" i="21"/>
  <c r="Z18" i="21"/>
  <c r="I18" i="21" s="1"/>
  <c r="Y18" i="21"/>
  <c r="S18" i="21" s="1"/>
  <c r="W18" i="21"/>
  <c r="U18" i="21"/>
  <c r="T18" i="21"/>
  <c r="R18" i="21"/>
  <c r="Q18" i="21"/>
  <c r="O18" i="21"/>
  <c r="P18" i="21" s="1"/>
  <c r="J18" i="21"/>
  <c r="G18" i="21"/>
  <c r="F18" i="21"/>
  <c r="E18" i="21"/>
  <c r="B18" i="21"/>
  <c r="Z17" i="21"/>
  <c r="J17" i="21" s="1"/>
  <c r="Y17" i="21"/>
  <c r="X17" i="21" s="1"/>
  <c r="W17" i="21"/>
  <c r="V17" i="21"/>
  <c r="O17" i="21"/>
  <c r="I17" i="21"/>
  <c r="G17" i="21"/>
  <c r="E17" i="21"/>
  <c r="F17" i="21" s="1"/>
  <c r="B17" i="21"/>
  <c r="Z16" i="21"/>
  <c r="Y16" i="21"/>
  <c r="X16" i="21"/>
  <c r="W16" i="21"/>
  <c r="V16" i="21"/>
  <c r="U16" i="21"/>
  <c r="Q16" i="21"/>
  <c r="P16" i="21"/>
  <c r="O16" i="21"/>
  <c r="F16" i="21"/>
  <c r="E16" i="21"/>
  <c r="G16" i="21" s="1"/>
  <c r="B16" i="21"/>
  <c r="Z15" i="21"/>
  <c r="Y15" i="21"/>
  <c r="W15" i="21"/>
  <c r="O15" i="21"/>
  <c r="G15" i="21"/>
  <c r="F15" i="21"/>
  <c r="E15" i="21"/>
  <c r="Z14" i="21"/>
  <c r="Y14" i="21"/>
  <c r="B14" i="21" s="1"/>
  <c r="X14" i="21"/>
  <c r="W14" i="21"/>
  <c r="V14" i="21"/>
  <c r="U14" i="21"/>
  <c r="T14" i="21"/>
  <c r="S14" i="21"/>
  <c r="R14" i="21"/>
  <c r="Q14" i="21"/>
  <c r="O14" i="21"/>
  <c r="P14" i="21" s="1"/>
  <c r="J14" i="21"/>
  <c r="I14" i="21"/>
  <c r="G14" i="21"/>
  <c r="E14" i="21"/>
  <c r="F14" i="21" s="1"/>
  <c r="Z13" i="21"/>
  <c r="Y13" i="21"/>
  <c r="B13" i="21" s="1"/>
  <c r="X13" i="21"/>
  <c r="W13" i="21"/>
  <c r="V13" i="21"/>
  <c r="U13" i="21"/>
  <c r="T13" i="21"/>
  <c r="S13" i="21"/>
  <c r="R13" i="21"/>
  <c r="Q13" i="21"/>
  <c r="P13" i="21"/>
  <c r="O13" i="21"/>
  <c r="J13" i="21"/>
  <c r="I13" i="21"/>
  <c r="G13" i="21"/>
  <c r="F13" i="21"/>
  <c r="E13" i="21"/>
  <c r="Z12" i="21"/>
  <c r="Y12" i="21"/>
  <c r="X12" i="21" s="1"/>
  <c r="V12" i="21"/>
  <c r="T12" i="21"/>
  <c r="S12" i="21"/>
  <c r="R12" i="21"/>
  <c r="Q12" i="21"/>
  <c r="P12" i="21"/>
  <c r="O12" i="21"/>
  <c r="E12" i="21"/>
  <c r="G12" i="21" s="1"/>
  <c r="B12" i="21"/>
  <c r="Z11" i="21"/>
  <c r="Y11" i="21"/>
  <c r="X11" i="21"/>
  <c r="W11" i="21"/>
  <c r="V11" i="21"/>
  <c r="U11" i="21"/>
  <c r="T11" i="21"/>
  <c r="S11" i="21"/>
  <c r="R11" i="21"/>
  <c r="Q11" i="21"/>
  <c r="O11" i="21"/>
  <c r="P11" i="21" s="1"/>
  <c r="E11" i="21"/>
  <c r="F11" i="21" s="1"/>
  <c r="B11" i="21"/>
  <c r="Z10" i="21"/>
  <c r="Y10" i="21"/>
  <c r="Q10" i="21"/>
  <c r="P10" i="21"/>
  <c r="O10" i="21"/>
  <c r="G10" i="21"/>
  <c r="F10" i="21"/>
  <c r="E10" i="21"/>
  <c r="Z9" i="21"/>
  <c r="Y9" i="21"/>
  <c r="O9" i="21"/>
  <c r="Q9" i="21" s="1"/>
  <c r="E9" i="21"/>
  <c r="F9" i="21" s="1"/>
  <c r="G9" i="21" s="1"/>
  <c r="Z8" i="21"/>
  <c r="Y8" i="21"/>
  <c r="O8" i="21"/>
  <c r="F8" i="21"/>
  <c r="G8" i="21" s="1"/>
  <c r="E8" i="21"/>
  <c r="Z7" i="21"/>
  <c r="Y7" i="21"/>
  <c r="P7" i="21"/>
  <c r="O7" i="21"/>
  <c r="G7" i="21"/>
  <c r="F7" i="21"/>
  <c r="E7" i="21"/>
  <c r="Z6" i="21"/>
  <c r="Y6" i="21"/>
  <c r="Q6" i="21"/>
  <c r="P6" i="21"/>
  <c r="O6" i="21"/>
  <c r="E6" i="21"/>
  <c r="Z5" i="21"/>
  <c r="Y5" i="21"/>
  <c r="P5" i="21"/>
  <c r="O5" i="21"/>
  <c r="Q5" i="21" s="1"/>
  <c r="F5" i="21"/>
  <c r="E5" i="21"/>
  <c r="M50" i="20"/>
  <c r="C50" i="20"/>
  <c r="Z49" i="20"/>
  <c r="Y49" i="20"/>
  <c r="X49" i="20"/>
  <c r="W49" i="20"/>
  <c r="V49" i="20"/>
  <c r="U49" i="20"/>
  <c r="T49" i="20"/>
  <c r="S49" i="20"/>
  <c r="R49" i="20"/>
  <c r="O49" i="20"/>
  <c r="J49" i="20"/>
  <c r="I49" i="20"/>
  <c r="E49" i="20"/>
  <c r="B49" i="20"/>
  <c r="Z48" i="20"/>
  <c r="Y48" i="20"/>
  <c r="O48" i="20"/>
  <c r="Q48" i="20" s="1"/>
  <c r="J48" i="20"/>
  <c r="I48" i="20"/>
  <c r="G48" i="20"/>
  <c r="F48" i="20"/>
  <c r="E48" i="20"/>
  <c r="Z47" i="20"/>
  <c r="Y47" i="20"/>
  <c r="W47" i="20" s="1"/>
  <c r="X47" i="20"/>
  <c r="V47" i="20"/>
  <c r="T47" i="20"/>
  <c r="S47" i="20"/>
  <c r="Q47" i="20"/>
  <c r="P47" i="20"/>
  <c r="O47" i="20"/>
  <c r="J47" i="20"/>
  <c r="I47" i="20"/>
  <c r="E47" i="20"/>
  <c r="G47" i="20" s="1"/>
  <c r="B47" i="20"/>
  <c r="Z46" i="20"/>
  <c r="Y46" i="20"/>
  <c r="X46" i="20"/>
  <c r="W46" i="20"/>
  <c r="T46" i="20"/>
  <c r="O46" i="20"/>
  <c r="J46" i="20"/>
  <c r="I46" i="20"/>
  <c r="G46" i="20"/>
  <c r="F46" i="20"/>
  <c r="E46" i="20"/>
  <c r="Z45" i="20"/>
  <c r="Y45" i="20"/>
  <c r="R45" i="20" s="1"/>
  <c r="W45" i="20"/>
  <c r="V45" i="20"/>
  <c r="U45" i="20"/>
  <c r="T45" i="20"/>
  <c r="S45" i="20"/>
  <c r="O45" i="20"/>
  <c r="E45" i="20"/>
  <c r="G45" i="20" s="1"/>
  <c r="B45" i="20"/>
  <c r="Z44" i="20"/>
  <c r="Y44" i="20"/>
  <c r="Q44" i="20"/>
  <c r="P44" i="20"/>
  <c r="O44" i="20"/>
  <c r="F44" i="20"/>
  <c r="E44" i="20"/>
  <c r="G44" i="20" s="1"/>
  <c r="Z43" i="20"/>
  <c r="Y43" i="20"/>
  <c r="W43" i="20"/>
  <c r="P43" i="20"/>
  <c r="O43" i="20"/>
  <c r="Q43" i="20" s="1"/>
  <c r="G43" i="20"/>
  <c r="F43" i="20"/>
  <c r="E43" i="20"/>
  <c r="Z42" i="20"/>
  <c r="Y42" i="20"/>
  <c r="X42" i="20"/>
  <c r="W42" i="20"/>
  <c r="V42" i="20"/>
  <c r="U42" i="20"/>
  <c r="T42" i="20"/>
  <c r="S42" i="20"/>
  <c r="R42" i="20"/>
  <c r="O42" i="20"/>
  <c r="Q42" i="20" s="1"/>
  <c r="J42" i="20"/>
  <c r="I42" i="20"/>
  <c r="E42" i="20"/>
  <c r="B42" i="20"/>
  <c r="Z41" i="20"/>
  <c r="Y41" i="20"/>
  <c r="B41" i="20" s="1"/>
  <c r="W41" i="20"/>
  <c r="U41" i="20"/>
  <c r="T41" i="20"/>
  <c r="S41" i="20"/>
  <c r="R41" i="20"/>
  <c r="Q41" i="20"/>
  <c r="P41" i="20"/>
  <c r="O41" i="20"/>
  <c r="J41" i="20"/>
  <c r="I41" i="20"/>
  <c r="E41" i="20"/>
  <c r="G41" i="20" s="1"/>
  <c r="Z40" i="20"/>
  <c r="J40" i="20" s="1"/>
  <c r="Y40" i="20"/>
  <c r="W40" i="20" s="1"/>
  <c r="Q40" i="20"/>
  <c r="P40" i="20"/>
  <c r="O40" i="20"/>
  <c r="I40" i="20"/>
  <c r="E40" i="20"/>
  <c r="G40" i="20" s="1"/>
  <c r="B40" i="20"/>
  <c r="Z39" i="20"/>
  <c r="J39" i="20" s="1"/>
  <c r="Y39" i="20"/>
  <c r="X39" i="20"/>
  <c r="W39" i="20"/>
  <c r="V39" i="20"/>
  <c r="U39" i="20"/>
  <c r="T39" i="20"/>
  <c r="S39" i="20"/>
  <c r="R39" i="20"/>
  <c r="Q39" i="20"/>
  <c r="O39" i="20"/>
  <c r="P39" i="20" s="1"/>
  <c r="E39" i="20"/>
  <c r="B39" i="20"/>
  <c r="Z38" i="20"/>
  <c r="J38" i="20" s="1"/>
  <c r="Y38" i="20"/>
  <c r="U38" i="20"/>
  <c r="Q38" i="20"/>
  <c r="P38" i="20"/>
  <c r="O38" i="20"/>
  <c r="I38" i="20"/>
  <c r="F38" i="20"/>
  <c r="E38" i="20"/>
  <c r="G38" i="20" s="1"/>
  <c r="Z37" i="20"/>
  <c r="Y37" i="20"/>
  <c r="X37" i="20" s="1"/>
  <c r="V37" i="20"/>
  <c r="T37" i="20"/>
  <c r="S37" i="20"/>
  <c r="Q37" i="20"/>
  <c r="P37" i="20"/>
  <c r="O37" i="20"/>
  <c r="J37" i="20"/>
  <c r="I37" i="20"/>
  <c r="G37" i="20"/>
  <c r="F37" i="20"/>
  <c r="E37" i="20"/>
  <c r="B37" i="20"/>
  <c r="Z36" i="20"/>
  <c r="Y36" i="20"/>
  <c r="X36" i="20"/>
  <c r="W36" i="20"/>
  <c r="Q36" i="20"/>
  <c r="O36" i="20"/>
  <c r="P36" i="20" s="1"/>
  <c r="J36" i="20"/>
  <c r="I36" i="20"/>
  <c r="E36" i="20"/>
  <c r="B36" i="20"/>
  <c r="Z35" i="20"/>
  <c r="Y35" i="20"/>
  <c r="X35" i="20" s="1"/>
  <c r="W35" i="20"/>
  <c r="U35" i="20"/>
  <c r="T35" i="20"/>
  <c r="S35" i="20"/>
  <c r="R35" i="20"/>
  <c r="P35" i="20"/>
  <c r="O35" i="20"/>
  <c r="Q35" i="20" s="1"/>
  <c r="E35" i="20"/>
  <c r="B35" i="20"/>
  <c r="Z34" i="20"/>
  <c r="Y34" i="20"/>
  <c r="Q34" i="20"/>
  <c r="P34" i="20"/>
  <c r="O34" i="20"/>
  <c r="J34" i="20"/>
  <c r="I34" i="20"/>
  <c r="E34" i="20"/>
  <c r="B34" i="20"/>
  <c r="Z33" i="20"/>
  <c r="I33" i="20" s="1"/>
  <c r="Y33" i="20"/>
  <c r="R33" i="20" s="1"/>
  <c r="V33" i="20"/>
  <c r="U33" i="20"/>
  <c r="T33" i="20"/>
  <c r="S33" i="20"/>
  <c r="Q33" i="20"/>
  <c r="P33" i="20"/>
  <c r="O33" i="20"/>
  <c r="J33" i="20"/>
  <c r="E33" i="20"/>
  <c r="G33" i="20" s="1"/>
  <c r="B33" i="20"/>
  <c r="Z32" i="20"/>
  <c r="J32" i="20" s="1"/>
  <c r="Y32" i="20"/>
  <c r="X32" i="20"/>
  <c r="R32" i="20"/>
  <c r="Q32" i="20"/>
  <c r="P32" i="20"/>
  <c r="O32" i="20"/>
  <c r="I32" i="20"/>
  <c r="E32" i="20"/>
  <c r="Z31" i="20"/>
  <c r="Y31" i="20"/>
  <c r="X31" i="20"/>
  <c r="W31" i="20"/>
  <c r="Q31" i="20"/>
  <c r="P31" i="20"/>
  <c r="O31" i="20"/>
  <c r="E31" i="20"/>
  <c r="Z30" i="20"/>
  <c r="Y30" i="20"/>
  <c r="X30" i="20"/>
  <c r="V30" i="20"/>
  <c r="U30" i="20"/>
  <c r="T30" i="20"/>
  <c r="S30" i="20"/>
  <c r="R30" i="20"/>
  <c r="Q30" i="20"/>
  <c r="P30" i="20"/>
  <c r="O30" i="20"/>
  <c r="J30" i="20"/>
  <c r="I30" i="20"/>
  <c r="G30" i="20"/>
  <c r="F30" i="20"/>
  <c r="E30" i="20"/>
  <c r="Z29" i="20"/>
  <c r="Y29" i="20"/>
  <c r="X29" i="20"/>
  <c r="W29" i="20"/>
  <c r="V29" i="20"/>
  <c r="U29" i="20"/>
  <c r="T29" i="20"/>
  <c r="S29" i="20"/>
  <c r="R29" i="20"/>
  <c r="O29" i="20"/>
  <c r="P29" i="20" s="1"/>
  <c r="J29" i="20"/>
  <c r="I29" i="20"/>
  <c r="E29" i="20"/>
  <c r="G29" i="20" s="1"/>
  <c r="B29" i="20"/>
  <c r="Z28" i="20"/>
  <c r="Y28" i="20"/>
  <c r="W28" i="20" s="1"/>
  <c r="V28" i="20"/>
  <c r="T28" i="20"/>
  <c r="S28" i="20"/>
  <c r="R28" i="20"/>
  <c r="Q28" i="20"/>
  <c r="P28" i="20"/>
  <c r="O28" i="20"/>
  <c r="J28" i="20"/>
  <c r="I28" i="20"/>
  <c r="E28" i="20"/>
  <c r="B28" i="20"/>
  <c r="Z27" i="20"/>
  <c r="Y27" i="20"/>
  <c r="X27" i="20"/>
  <c r="W27" i="20"/>
  <c r="Q27" i="20"/>
  <c r="P27" i="20"/>
  <c r="O27" i="20"/>
  <c r="G27" i="20"/>
  <c r="E27" i="20"/>
  <c r="F27" i="20" s="1"/>
  <c r="Z26" i="20"/>
  <c r="Y26" i="20"/>
  <c r="W26" i="20" s="1"/>
  <c r="X26" i="20"/>
  <c r="V26" i="20"/>
  <c r="U26" i="20"/>
  <c r="T26" i="20"/>
  <c r="Q26" i="20"/>
  <c r="P26" i="20"/>
  <c r="O26" i="20"/>
  <c r="E26" i="20"/>
  <c r="Z25" i="20"/>
  <c r="J25" i="20" s="1"/>
  <c r="Y25" i="20"/>
  <c r="X25" i="20"/>
  <c r="V25" i="20"/>
  <c r="U25" i="20"/>
  <c r="T25" i="20"/>
  <c r="S25" i="20"/>
  <c r="R25" i="20"/>
  <c r="P25" i="20"/>
  <c r="O25" i="20"/>
  <c r="Q25" i="20" s="1"/>
  <c r="I25" i="20"/>
  <c r="F25" i="20"/>
  <c r="E25" i="20"/>
  <c r="G25" i="20" s="1"/>
  <c r="Z24" i="20"/>
  <c r="I24" i="20" s="1"/>
  <c r="Y24" i="20"/>
  <c r="X24" i="20" s="1"/>
  <c r="W24" i="20"/>
  <c r="V24" i="20"/>
  <c r="U24" i="20"/>
  <c r="T24" i="20"/>
  <c r="S24" i="20"/>
  <c r="R24" i="20"/>
  <c r="Q24" i="20"/>
  <c r="P24" i="20"/>
  <c r="O24" i="20"/>
  <c r="J24" i="20"/>
  <c r="G24" i="20"/>
  <c r="F24" i="20"/>
  <c r="E24" i="20"/>
  <c r="B24" i="20"/>
  <c r="Z23" i="20"/>
  <c r="Y23" i="20"/>
  <c r="R23" i="20" s="1"/>
  <c r="T23" i="20"/>
  <c r="Q23" i="20"/>
  <c r="P23" i="20"/>
  <c r="O23" i="20"/>
  <c r="G23" i="20"/>
  <c r="F23" i="20"/>
  <c r="E23" i="20"/>
  <c r="Z22" i="20"/>
  <c r="Y22" i="20"/>
  <c r="X22" i="20"/>
  <c r="W22" i="20"/>
  <c r="V22" i="20"/>
  <c r="U22" i="20"/>
  <c r="T22" i="20"/>
  <c r="S22" i="20"/>
  <c r="R22" i="20"/>
  <c r="P22" i="20"/>
  <c r="O22" i="20"/>
  <c r="Q22" i="20" s="1"/>
  <c r="J22" i="20"/>
  <c r="I22" i="20"/>
  <c r="G22" i="20"/>
  <c r="E22" i="20"/>
  <c r="F22" i="20" s="1"/>
  <c r="B22" i="20"/>
  <c r="Z21" i="20"/>
  <c r="Y21" i="20"/>
  <c r="B21" i="20" s="1"/>
  <c r="W21" i="20"/>
  <c r="U21" i="20"/>
  <c r="T21" i="20"/>
  <c r="S21" i="20"/>
  <c r="R21" i="20"/>
  <c r="Q21" i="20"/>
  <c r="P21" i="20"/>
  <c r="O21" i="20"/>
  <c r="F21" i="20"/>
  <c r="E21" i="20"/>
  <c r="G21" i="20" s="1"/>
  <c r="Z20" i="20"/>
  <c r="Y20" i="20"/>
  <c r="P20" i="20"/>
  <c r="O20" i="20"/>
  <c r="Q20" i="20" s="1"/>
  <c r="J20" i="20"/>
  <c r="I20" i="20"/>
  <c r="G20" i="20"/>
  <c r="E20" i="20"/>
  <c r="F20" i="20" s="1"/>
  <c r="Z19" i="20"/>
  <c r="Y19" i="20"/>
  <c r="S19" i="20" s="1"/>
  <c r="W19" i="20"/>
  <c r="V19" i="20"/>
  <c r="U19" i="20"/>
  <c r="T19" i="20"/>
  <c r="R19" i="20"/>
  <c r="O19" i="20"/>
  <c r="J19" i="20"/>
  <c r="I19" i="20"/>
  <c r="G19" i="20"/>
  <c r="F19" i="20"/>
  <c r="E19" i="20"/>
  <c r="B19" i="20"/>
  <c r="Z18" i="20"/>
  <c r="Y18" i="20"/>
  <c r="X18" i="20"/>
  <c r="S18" i="20"/>
  <c r="Q18" i="20"/>
  <c r="P18" i="20"/>
  <c r="O18" i="20"/>
  <c r="E18" i="20"/>
  <c r="G18" i="20" s="1"/>
  <c r="Z17" i="20"/>
  <c r="I17" i="20" s="1"/>
  <c r="Y17" i="20"/>
  <c r="X17" i="20"/>
  <c r="W17" i="20"/>
  <c r="V17" i="20"/>
  <c r="Q17" i="20"/>
  <c r="P17" i="20"/>
  <c r="O17" i="20"/>
  <c r="J17" i="20"/>
  <c r="E17" i="20"/>
  <c r="B17" i="20"/>
  <c r="Z16" i="20"/>
  <c r="I16" i="20" s="1"/>
  <c r="Y16" i="20"/>
  <c r="R16" i="20" s="1"/>
  <c r="W16" i="20"/>
  <c r="V16" i="20"/>
  <c r="U16" i="20"/>
  <c r="T16" i="20"/>
  <c r="S16" i="20"/>
  <c r="Q16" i="20"/>
  <c r="P16" i="20"/>
  <c r="O16" i="20"/>
  <c r="J16" i="20"/>
  <c r="E16" i="20"/>
  <c r="B16" i="20"/>
  <c r="Z15" i="20"/>
  <c r="Y15" i="20"/>
  <c r="B15" i="20" s="1"/>
  <c r="X15" i="20"/>
  <c r="W15" i="20"/>
  <c r="V15" i="20"/>
  <c r="U15" i="20"/>
  <c r="T15" i="20"/>
  <c r="S15" i="20"/>
  <c r="R15" i="20"/>
  <c r="O15" i="20"/>
  <c r="G15" i="20"/>
  <c r="E15" i="20"/>
  <c r="F15" i="20" s="1"/>
  <c r="Z14" i="20"/>
  <c r="I14" i="20" s="1"/>
  <c r="Y14" i="20"/>
  <c r="B14" i="20" s="1"/>
  <c r="X14" i="20"/>
  <c r="W14" i="20"/>
  <c r="V14" i="20"/>
  <c r="T14" i="20"/>
  <c r="S14" i="20"/>
  <c r="R14" i="20"/>
  <c r="Q14" i="20"/>
  <c r="O14" i="20"/>
  <c r="P14" i="20" s="1"/>
  <c r="J14" i="20"/>
  <c r="G14" i="20"/>
  <c r="F14" i="20"/>
  <c r="E14" i="20"/>
  <c r="Z13" i="20"/>
  <c r="Y13" i="20"/>
  <c r="X13" i="20"/>
  <c r="W13" i="20"/>
  <c r="V13" i="20"/>
  <c r="U13" i="20"/>
  <c r="T13" i="20"/>
  <c r="S13" i="20"/>
  <c r="R13" i="20"/>
  <c r="O13" i="20"/>
  <c r="J13" i="20"/>
  <c r="I13" i="20"/>
  <c r="G13" i="20"/>
  <c r="F13" i="20"/>
  <c r="E13" i="20"/>
  <c r="B13" i="20"/>
  <c r="Z12" i="20"/>
  <c r="Y12" i="20"/>
  <c r="W12" i="20" s="1"/>
  <c r="X12" i="20"/>
  <c r="V12" i="20"/>
  <c r="U12" i="20"/>
  <c r="T12" i="20"/>
  <c r="S12" i="20"/>
  <c r="R12" i="20"/>
  <c r="Q12" i="20"/>
  <c r="P12" i="20"/>
  <c r="O12" i="20"/>
  <c r="J12" i="20"/>
  <c r="I12" i="20"/>
  <c r="G12" i="20"/>
  <c r="E12" i="20"/>
  <c r="F12" i="20" s="1"/>
  <c r="B12" i="20"/>
  <c r="Z11" i="20"/>
  <c r="Y11" i="20"/>
  <c r="X11" i="20"/>
  <c r="V11" i="20"/>
  <c r="P11" i="20"/>
  <c r="O11" i="20"/>
  <c r="Q11" i="20" s="1"/>
  <c r="J11" i="20"/>
  <c r="I11" i="20"/>
  <c r="G11" i="20"/>
  <c r="E11" i="20"/>
  <c r="F11" i="20" s="1"/>
  <c r="B11" i="20"/>
  <c r="Z10" i="20"/>
  <c r="Y10" i="20"/>
  <c r="T10" i="20"/>
  <c r="V10" i="20" s="1"/>
  <c r="Q10" i="20"/>
  <c r="O10" i="20"/>
  <c r="P10" i="20" s="1"/>
  <c r="G10" i="20"/>
  <c r="E10" i="20"/>
  <c r="F10" i="20" s="1"/>
  <c r="Z9" i="20"/>
  <c r="Y9" i="20"/>
  <c r="O9" i="20"/>
  <c r="Q9" i="20" s="1"/>
  <c r="F9" i="20"/>
  <c r="G9" i="20" s="1"/>
  <c r="E9" i="20"/>
  <c r="Z8" i="20"/>
  <c r="Y8" i="20"/>
  <c r="Q8" i="20"/>
  <c r="P8" i="20"/>
  <c r="O8" i="20"/>
  <c r="F8" i="20"/>
  <c r="G8" i="20" s="1"/>
  <c r="E8" i="20"/>
  <c r="Z7" i="20"/>
  <c r="Y7" i="20"/>
  <c r="Q7" i="20"/>
  <c r="P7" i="20"/>
  <c r="O7" i="20"/>
  <c r="E7" i="20"/>
  <c r="Z6" i="20"/>
  <c r="Y6" i="20"/>
  <c r="O6" i="20"/>
  <c r="E6" i="20"/>
  <c r="F6" i="20" s="1"/>
  <c r="Z5" i="20"/>
  <c r="Y5" i="20"/>
  <c r="O5" i="20"/>
  <c r="E5" i="20"/>
  <c r="M50" i="19"/>
  <c r="C50" i="19"/>
  <c r="Z49" i="19"/>
  <c r="Y49" i="19"/>
  <c r="V49" i="19" s="1"/>
  <c r="W49" i="19"/>
  <c r="T49" i="19"/>
  <c r="S49" i="19"/>
  <c r="R49" i="19"/>
  <c r="Q49" i="19"/>
  <c r="O49" i="19"/>
  <c r="P49" i="19" s="1"/>
  <c r="J49" i="19"/>
  <c r="I49" i="19"/>
  <c r="G49" i="19"/>
  <c r="F49" i="19"/>
  <c r="E49" i="19"/>
  <c r="Z48" i="19"/>
  <c r="Y48" i="19"/>
  <c r="S48" i="19" s="1"/>
  <c r="X48" i="19"/>
  <c r="W48" i="19"/>
  <c r="V48" i="19"/>
  <c r="T48" i="19"/>
  <c r="R48" i="19"/>
  <c r="O48" i="19"/>
  <c r="Q48" i="19" s="1"/>
  <c r="J48" i="19"/>
  <c r="I48" i="19"/>
  <c r="E48" i="19"/>
  <c r="Z47" i="19"/>
  <c r="Y47" i="19"/>
  <c r="X47" i="19" s="1"/>
  <c r="W47" i="19"/>
  <c r="V47" i="19"/>
  <c r="U47" i="19"/>
  <c r="T47" i="19"/>
  <c r="S47" i="19"/>
  <c r="R47" i="19"/>
  <c r="P47" i="19"/>
  <c r="O47" i="19"/>
  <c r="Q47" i="19" s="1"/>
  <c r="J47" i="19"/>
  <c r="I47" i="19"/>
  <c r="E47" i="19"/>
  <c r="G47" i="19" s="1"/>
  <c r="B47" i="19"/>
  <c r="Z46" i="19"/>
  <c r="J46" i="19" s="1"/>
  <c r="Y46" i="19"/>
  <c r="R46" i="19"/>
  <c r="Q46" i="19"/>
  <c r="P46" i="19"/>
  <c r="O46" i="19"/>
  <c r="I46" i="19"/>
  <c r="E46" i="19"/>
  <c r="G46" i="19" s="1"/>
  <c r="Z45" i="19"/>
  <c r="Y45" i="19"/>
  <c r="X45" i="19"/>
  <c r="W45" i="19"/>
  <c r="R45" i="19"/>
  <c r="O45" i="19"/>
  <c r="F45" i="19"/>
  <c r="E45" i="19"/>
  <c r="G45" i="19" s="1"/>
  <c r="B45" i="19"/>
  <c r="Z44" i="19"/>
  <c r="Y44" i="19"/>
  <c r="X44" i="19"/>
  <c r="W44" i="19"/>
  <c r="V44" i="19"/>
  <c r="U44" i="19"/>
  <c r="O44" i="19"/>
  <c r="G44" i="19"/>
  <c r="E44" i="19"/>
  <c r="F44" i="19" s="1"/>
  <c r="Z43" i="19"/>
  <c r="Y43" i="19"/>
  <c r="B43" i="19" s="1"/>
  <c r="W43" i="19"/>
  <c r="V43" i="19"/>
  <c r="U43" i="19"/>
  <c r="T43" i="19"/>
  <c r="S43" i="19"/>
  <c r="R43" i="19"/>
  <c r="Q43" i="19"/>
  <c r="O43" i="19"/>
  <c r="P43" i="19" s="1"/>
  <c r="G43" i="19"/>
  <c r="E43" i="19"/>
  <c r="F43" i="19" s="1"/>
  <c r="Z42" i="19"/>
  <c r="I42" i="19" s="1"/>
  <c r="Y42" i="19"/>
  <c r="W42" i="19"/>
  <c r="O42" i="19"/>
  <c r="Q42" i="19" s="1"/>
  <c r="J42" i="19"/>
  <c r="G42" i="19"/>
  <c r="F42" i="19"/>
  <c r="E42" i="19"/>
  <c r="Z41" i="19"/>
  <c r="Y41" i="19"/>
  <c r="X41" i="19"/>
  <c r="W41" i="19"/>
  <c r="V41" i="19"/>
  <c r="U41" i="19"/>
  <c r="T41" i="19"/>
  <c r="S41" i="19"/>
  <c r="R41" i="19"/>
  <c r="Q41" i="19"/>
  <c r="O41" i="19"/>
  <c r="P41" i="19" s="1"/>
  <c r="J41" i="19"/>
  <c r="I41" i="19"/>
  <c r="G41" i="19"/>
  <c r="E41" i="19"/>
  <c r="F41" i="19" s="1"/>
  <c r="B41" i="19"/>
  <c r="Z40" i="19"/>
  <c r="Y40" i="19"/>
  <c r="V40" i="19"/>
  <c r="U40" i="19"/>
  <c r="T40" i="19"/>
  <c r="R40" i="19"/>
  <c r="O40" i="19"/>
  <c r="Q40" i="19" s="1"/>
  <c r="J40" i="19"/>
  <c r="I40" i="19"/>
  <c r="G40" i="19"/>
  <c r="F40" i="19"/>
  <c r="E40" i="19"/>
  <c r="Z39" i="19"/>
  <c r="Y39" i="19"/>
  <c r="U39" i="19" s="1"/>
  <c r="V39" i="19"/>
  <c r="T39" i="19"/>
  <c r="S39" i="19"/>
  <c r="R39" i="19"/>
  <c r="O39" i="19"/>
  <c r="J39" i="19"/>
  <c r="I39" i="19"/>
  <c r="E39" i="19"/>
  <c r="G39" i="19" s="1"/>
  <c r="B39" i="19"/>
  <c r="Z38" i="19"/>
  <c r="Y38" i="19"/>
  <c r="X38" i="19"/>
  <c r="R38" i="19"/>
  <c r="O38" i="19"/>
  <c r="Q38" i="19" s="1"/>
  <c r="E38" i="19"/>
  <c r="B38" i="19"/>
  <c r="Z37" i="19"/>
  <c r="J37" i="19" s="1"/>
  <c r="Y37" i="19"/>
  <c r="X37" i="19"/>
  <c r="W37" i="19"/>
  <c r="V37" i="19"/>
  <c r="U37" i="19"/>
  <c r="O37" i="19"/>
  <c r="I37" i="19"/>
  <c r="G37" i="19"/>
  <c r="F37" i="19"/>
  <c r="E37" i="19"/>
  <c r="B37" i="19"/>
  <c r="Z36" i="19"/>
  <c r="Y36" i="19"/>
  <c r="X36" i="19"/>
  <c r="W36" i="19"/>
  <c r="V36" i="19"/>
  <c r="U36" i="19"/>
  <c r="T36" i="19"/>
  <c r="S36" i="19"/>
  <c r="R36" i="19"/>
  <c r="Q36" i="19"/>
  <c r="P36" i="19"/>
  <c r="O36" i="19"/>
  <c r="F36" i="19"/>
  <c r="E36" i="19"/>
  <c r="G36" i="19" s="1"/>
  <c r="B36" i="19"/>
  <c r="Z35" i="19"/>
  <c r="I35" i="19" s="1"/>
  <c r="Y35" i="19"/>
  <c r="X35" i="19" s="1"/>
  <c r="W35" i="19"/>
  <c r="V35" i="19"/>
  <c r="Q35" i="19"/>
  <c r="P35" i="19"/>
  <c r="O35" i="19"/>
  <c r="E35" i="19"/>
  <c r="Z34" i="19"/>
  <c r="I34" i="19" s="1"/>
  <c r="Y34" i="19"/>
  <c r="X34" i="19" s="1"/>
  <c r="V34" i="19"/>
  <c r="O34" i="19"/>
  <c r="J34" i="19"/>
  <c r="E34" i="19"/>
  <c r="F34" i="19" s="1"/>
  <c r="Z33" i="19"/>
  <c r="Y33" i="19"/>
  <c r="W33" i="19"/>
  <c r="V33" i="19"/>
  <c r="U33" i="19"/>
  <c r="S33" i="19"/>
  <c r="R33" i="19"/>
  <c r="O33" i="19"/>
  <c r="Q33" i="19" s="1"/>
  <c r="J33" i="19"/>
  <c r="I33" i="19"/>
  <c r="E33" i="19"/>
  <c r="G33" i="19" s="1"/>
  <c r="Z32" i="19"/>
  <c r="Y32" i="19"/>
  <c r="X32" i="19" s="1"/>
  <c r="V32" i="19"/>
  <c r="U32" i="19"/>
  <c r="T32" i="19"/>
  <c r="S32" i="19"/>
  <c r="R32" i="19"/>
  <c r="O32" i="19"/>
  <c r="J32" i="19"/>
  <c r="I32" i="19"/>
  <c r="F32" i="19"/>
  <c r="E32" i="19"/>
  <c r="G32" i="19" s="1"/>
  <c r="B32" i="19"/>
  <c r="Z31" i="19"/>
  <c r="Y31" i="19"/>
  <c r="X31" i="19"/>
  <c r="W31" i="19"/>
  <c r="V31" i="19"/>
  <c r="U31" i="19"/>
  <c r="T31" i="19"/>
  <c r="S31" i="19"/>
  <c r="R31" i="19"/>
  <c r="Q31" i="19"/>
  <c r="P31" i="19"/>
  <c r="O31" i="19"/>
  <c r="G31" i="19"/>
  <c r="F31" i="19"/>
  <c r="E31" i="19"/>
  <c r="B31" i="19"/>
  <c r="Z30" i="19"/>
  <c r="Y30" i="19"/>
  <c r="X30" i="19" s="1"/>
  <c r="V30" i="19"/>
  <c r="O30" i="19"/>
  <c r="E30" i="19"/>
  <c r="G30" i="19" s="1"/>
  <c r="Z29" i="19"/>
  <c r="I29" i="19" s="1"/>
  <c r="Y29" i="19"/>
  <c r="X29" i="19" s="1"/>
  <c r="W29" i="19"/>
  <c r="V29" i="19"/>
  <c r="T29" i="19"/>
  <c r="S29" i="19"/>
  <c r="Q29" i="19"/>
  <c r="P29" i="19"/>
  <c r="O29" i="19"/>
  <c r="J29" i="19"/>
  <c r="E29" i="19"/>
  <c r="G29" i="19" s="1"/>
  <c r="Z28" i="19"/>
  <c r="Y28" i="19"/>
  <c r="X28" i="19"/>
  <c r="Q28" i="19"/>
  <c r="P28" i="19"/>
  <c r="O28" i="19"/>
  <c r="F28" i="19"/>
  <c r="E28" i="19"/>
  <c r="G28" i="19" s="1"/>
  <c r="Z27" i="19"/>
  <c r="I27" i="19" s="1"/>
  <c r="Y27" i="19"/>
  <c r="W27" i="19" s="1"/>
  <c r="V27" i="19"/>
  <c r="U27" i="19"/>
  <c r="T27" i="19"/>
  <c r="S27" i="19"/>
  <c r="R27" i="19"/>
  <c r="P27" i="19"/>
  <c r="O27" i="19"/>
  <c r="Q27" i="19" s="1"/>
  <c r="J27" i="19"/>
  <c r="G27" i="19"/>
  <c r="F27" i="19"/>
  <c r="E27" i="19"/>
  <c r="Z26" i="19"/>
  <c r="Y26" i="19"/>
  <c r="B26" i="19" s="1"/>
  <c r="X26" i="19"/>
  <c r="W26" i="19"/>
  <c r="V26" i="19"/>
  <c r="T26" i="19"/>
  <c r="S26" i="19"/>
  <c r="R26" i="19"/>
  <c r="Q26" i="19"/>
  <c r="P26" i="19"/>
  <c r="O26" i="19"/>
  <c r="J26" i="19"/>
  <c r="I26" i="19"/>
  <c r="G26" i="19"/>
  <c r="F26" i="19"/>
  <c r="E26" i="19"/>
  <c r="Z25" i="19"/>
  <c r="I25" i="19" s="1"/>
  <c r="Y25" i="19"/>
  <c r="X25" i="19"/>
  <c r="W25" i="19"/>
  <c r="V25" i="19"/>
  <c r="U25" i="19"/>
  <c r="T25" i="19"/>
  <c r="S25" i="19"/>
  <c r="R25" i="19"/>
  <c r="Q25" i="19"/>
  <c r="O25" i="19"/>
  <c r="P25" i="19" s="1"/>
  <c r="J25" i="19"/>
  <c r="E25" i="19"/>
  <c r="G25" i="19" s="1"/>
  <c r="B25" i="19"/>
  <c r="Z24" i="19"/>
  <c r="Y24" i="19"/>
  <c r="W24" i="19" s="1"/>
  <c r="X24" i="19"/>
  <c r="U24" i="19"/>
  <c r="T24" i="19"/>
  <c r="S24" i="19"/>
  <c r="R24" i="19"/>
  <c r="O24" i="19"/>
  <c r="E24" i="19"/>
  <c r="B24" i="19"/>
  <c r="Z23" i="19"/>
  <c r="I23" i="19" s="1"/>
  <c r="Y23" i="19"/>
  <c r="W23" i="19" s="1"/>
  <c r="X23" i="19"/>
  <c r="R23" i="19"/>
  <c r="O23" i="19"/>
  <c r="J23" i="19"/>
  <c r="G23" i="19"/>
  <c r="E23" i="19"/>
  <c r="F23" i="19" s="1"/>
  <c r="Z22" i="19"/>
  <c r="J22" i="19" s="1"/>
  <c r="Y22" i="19"/>
  <c r="X22" i="19"/>
  <c r="W22" i="19"/>
  <c r="V22" i="19"/>
  <c r="U22" i="19"/>
  <c r="T22" i="19"/>
  <c r="O22" i="19"/>
  <c r="I22" i="19"/>
  <c r="G22" i="19"/>
  <c r="F22" i="19"/>
  <c r="E22" i="19"/>
  <c r="B22" i="19"/>
  <c r="Z21" i="19"/>
  <c r="J21" i="19" s="1"/>
  <c r="Y21" i="19"/>
  <c r="X21" i="19"/>
  <c r="W21" i="19"/>
  <c r="V21" i="19"/>
  <c r="U21" i="19"/>
  <c r="T21" i="19"/>
  <c r="S21" i="19"/>
  <c r="R21" i="19"/>
  <c r="P21" i="19"/>
  <c r="O21" i="19"/>
  <c r="Q21" i="19" s="1"/>
  <c r="F21" i="19"/>
  <c r="E21" i="19"/>
  <c r="G21" i="19" s="1"/>
  <c r="B21" i="19"/>
  <c r="Z20" i="19"/>
  <c r="J20" i="19" s="1"/>
  <c r="Y20" i="19"/>
  <c r="X20" i="19"/>
  <c r="V20" i="19"/>
  <c r="U20" i="19"/>
  <c r="T20" i="19"/>
  <c r="S20" i="19"/>
  <c r="R20" i="19"/>
  <c r="Q20" i="19"/>
  <c r="P20" i="19"/>
  <c r="O20" i="19"/>
  <c r="E20" i="19"/>
  <c r="Z19" i="19"/>
  <c r="Y19" i="19"/>
  <c r="X19" i="19"/>
  <c r="V19" i="19"/>
  <c r="U19" i="19"/>
  <c r="T19" i="19"/>
  <c r="S19" i="19"/>
  <c r="R19" i="19"/>
  <c r="O19" i="19"/>
  <c r="P19" i="19" s="1"/>
  <c r="J19" i="19"/>
  <c r="I19" i="19"/>
  <c r="F19" i="19"/>
  <c r="E19" i="19"/>
  <c r="G19" i="19" s="1"/>
  <c r="Z18" i="19"/>
  <c r="Y18" i="19"/>
  <c r="B18" i="19" s="1"/>
  <c r="X18" i="19"/>
  <c r="W18" i="19"/>
  <c r="V18" i="19"/>
  <c r="T18" i="19"/>
  <c r="S18" i="19"/>
  <c r="R18" i="19"/>
  <c r="Q18" i="19"/>
  <c r="P18" i="19"/>
  <c r="O18" i="19"/>
  <c r="G18" i="19"/>
  <c r="F18" i="19"/>
  <c r="E18" i="19"/>
  <c r="Z17" i="19"/>
  <c r="Y17" i="19"/>
  <c r="X17" i="19"/>
  <c r="W17" i="19"/>
  <c r="V17" i="19"/>
  <c r="U17" i="19"/>
  <c r="T17" i="19"/>
  <c r="S17" i="19"/>
  <c r="R17" i="19"/>
  <c r="O17" i="19"/>
  <c r="Q17" i="19" s="1"/>
  <c r="J17" i="19"/>
  <c r="I17" i="19"/>
  <c r="G17" i="19"/>
  <c r="E17" i="19"/>
  <c r="F17" i="19" s="1"/>
  <c r="B17" i="19"/>
  <c r="Z16" i="19"/>
  <c r="Y16" i="19"/>
  <c r="X16" i="19" s="1"/>
  <c r="V16" i="19"/>
  <c r="U16" i="19"/>
  <c r="T16" i="19"/>
  <c r="S16" i="19"/>
  <c r="R16" i="19"/>
  <c r="P16" i="19"/>
  <c r="O16" i="19"/>
  <c r="Q16" i="19" s="1"/>
  <c r="J16" i="19"/>
  <c r="I16" i="19"/>
  <c r="E16" i="19"/>
  <c r="G16" i="19" s="1"/>
  <c r="B16" i="19"/>
  <c r="Z15" i="19"/>
  <c r="Y15" i="19"/>
  <c r="R15" i="19"/>
  <c r="Q15" i="19"/>
  <c r="P15" i="19"/>
  <c r="O15" i="19"/>
  <c r="E15" i="19"/>
  <c r="Z14" i="19"/>
  <c r="Y14" i="19"/>
  <c r="X14" i="19"/>
  <c r="W14" i="19"/>
  <c r="R14" i="19"/>
  <c r="O14" i="19"/>
  <c r="E14" i="19"/>
  <c r="F14" i="19" s="1"/>
  <c r="B14" i="19"/>
  <c r="Z13" i="19"/>
  <c r="Y13" i="19"/>
  <c r="X13" i="19"/>
  <c r="W13" i="19"/>
  <c r="P13" i="19"/>
  <c r="O13" i="19"/>
  <c r="Q13" i="19" s="1"/>
  <c r="E13" i="19"/>
  <c r="F13" i="19" s="1"/>
  <c r="Z12" i="19"/>
  <c r="I12" i="19" s="1"/>
  <c r="Y12" i="19"/>
  <c r="W12" i="19" s="1"/>
  <c r="X12" i="19"/>
  <c r="U12" i="19"/>
  <c r="T12" i="19"/>
  <c r="S12" i="19"/>
  <c r="Q12" i="19"/>
  <c r="P12" i="19"/>
  <c r="O12" i="19"/>
  <c r="J12" i="19"/>
  <c r="F12" i="19"/>
  <c r="E12" i="19"/>
  <c r="G12" i="19" s="1"/>
  <c r="Z11" i="19"/>
  <c r="Y11" i="19"/>
  <c r="X11" i="19"/>
  <c r="W11" i="19"/>
  <c r="V11" i="19"/>
  <c r="U11" i="19"/>
  <c r="T11" i="19"/>
  <c r="S11" i="19"/>
  <c r="R11" i="19"/>
  <c r="Q11" i="19"/>
  <c r="O11" i="19"/>
  <c r="P11" i="19" s="1"/>
  <c r="G11" i="19"/>
  <c r="E11" i="19"/>
  <c r="F11" i="19" s="1"/>
  <c r="B11" i="19"/>
  <c r="Z10" i="19"/>
  <c r="Y10" i="19"/>
  <c r="W10" i="19"/>
  <c r="O10" i="19"/>
  <c r="Q10" i="19" s="1"/>
  <c r="E10" i="19"/>
  <c r="Z9" i="19"/>
  <c r="Y9" i="19"/>
  <c r="O9" i="19"/>
  <c r="Q9" i="19" s="1"/>
  <c r="F9" i="19"/>
  <c r="E9" i="19"/>
  <c r="G9" i="19" s="1"/>
  <c r="Z8" i="19"/>
  <c r="Y8" i="19"/>
  <c r="O8" i="19"/>
  <c r="F8" i="19"/>
  <c r="G8" i="19" s="1"/>
  <c r="E8" i="19"/>
  <c r="Z7" i="19"/>
  <c r="Y7" i="19"/>
  <c r="O7" i="19"/>
  <c r="E7" i="19"/>
  <c r="Z6" i="19"/>
  <c r="Y6" i="19"/>
  <c r="P6" i="19"/>
  <c r="O6" i="19"/>
  <c r="Q6" i="19" s="1"/>
  <c r="E6" i="19"/>
  <c r="Z5" i="19"/>
  <c r="Y5" i="19"/>
  <c r="Q5" i="19"/>
  <c r="P5" i="19"/>
  <c r="O5" i="19"/>
  <c r="G5" i="19"/>
  <c r="F5" i="19"/>
  <c r="E5" i="19"/>
  <c r="M50" i="18"/>
  <c r="C50" i="18"/>
  <c r="Z49" i="18"/>
  <c r="Y49" i="18"/>
  <c r="B49" i="18" s="1"/>
  <c r="W49" i="18"/>
  <c r="V49" i="18"/>
  <c r="U49" i="18"/>
  <c r="T49" i="18"/>
  <c r="S49" i="18"/>
  <c r="R49" i="18"/>
  <c r="Q49" i="18"/>
  <c r="O49" i="18"/>
  <c r="P49" i="18" s="1"/>
  <c r="E49" i="18"/>
  <c r="F49" i="18" s="1"/>
  <c r="Z48" i="18"/>
  <c r="Y48" i="18"/>
  <c r="X48" i="18"/>
  <c r="W48" i="18"/>
  <c r="V48" i="18"/>
  <c r="U48" i="18"/>
  <c r="T48" i="18"/>
  <c r="S48" i="18"/>
  <c r="R48" i="18"/>
  <c r="O48" i="18"/>
  <c r="Q48" i="18" s="1"/>
  <c r="E48" i="18"/>
  <c r="B48" i="18"/>
  <c r="Z47" i="18"/>
  <c r="I47" i="18" s="1"/>
  <c r="Y47" i="18"/>
  <c r="R47" i="18" s="1"/>
  <c r="Q47" i="18"/>
  <c r="P47" i="18"/>
  <c r="O47" i="18"/>
  <c r="J47" i="18"/>
  <c r="F47" i="18"/>
  <c r="E47" i="18"/>
  <c r="G47" i="18" s="1"/>
  <c r="Z46" i="18"/>
  <c r="J46" i="18" s="1"/>
  <c r="Y46" i="18"/>
  <c r="B46" i="18" s="1"/>
  <c r="X46" i="18"/>
  <c r="W46" i="18"/>
  <c r="V46" i="18"/>
  <c r="T46" i="18"/>
  <c r="S46" i="18"/>
  <c r="R46" i="18"/>
  <c r="Q46" i="18"/>
  <c r="P46" i="18"/>
  <c r="O46" i="18"/>
  <c r="I46" i="18"/>
  <c r="G46" i="18"/>
  <c r="F46" i="18"/>
  <c r="E46" i="18"/>
  <c r="Z45" i="18"/>
  <c r="Y45" i="18"/>
  <c r="X45" i="18"/>
  <c r="W45" i="18"/>
  <c r="V45" i="18"/>
  <c r="U45" i="18"/>
  <c r="T45" i="18"/>
  <c r="S45" i="18"/>
  <c r="R45" i="18"/>
  <c r="Q45" i="18"/>
  <c r="P45" i="18"/>
  <c r="O45" i="18"/>
  <c r="J45" i="18"/>
  <c r="I45" i="18"/>
  <c r="E45" i="18"/>
  <c r="B45" i="18"/>
  <c r="Z44" i="18"/>
  <c r="Y44" i="18"/>
  <c r="X44" i="18" s="1"/>
  <c r="V44" i="18"/>
  <c r="U44" i="18"/>
  <c r="T44" i="18"/>
  <c r="S44" i="18"/>
  <c r="R44" i="18"/>
  <c r="O44" i="18"/>
  <c r="Q44" i="18" s="1"/>
  <c r="J44" i="18"/>
  <c r="I44" i="18"/>
  <c r="G44" i="18"/>
  <c r="F44" i="18"/>
  <c r="E44" i="18"/>
  <c r="B44" i="18"/>
  <c r="Z43" i="18"/>
  <c r="Y43" i="18"/>
  <c r="T43" i="18"/>
  <c r="R43" i="18"/>
  <c r="Q43" i="18"/>
  <c r="P43" i="18"/>
  <c r="O43" i="18"/>
  <c r="J43" i="18"/>
  <c r="I43" i="18"/>
  <c r="G43" i="18"/>
  <c r="F43" i="18"/>
  <c r="E43" i="18"/>
  <c r="B43" i="18"/>
  <c r="Z42" i="18"/>
  <c r="Y42" i="18"/>
  <c r="X42" i="18"/>
  <c r="W42" i="18"/>
  <c r="R42" i="18"/>
  <c r="O42" i="18"/>
  <c r="Q42" i="18" s="1"/>
  <c r="E42" i="18"/>
  <c r="B42" i="18"/>
  <c r="Z41" i="18"/>
  <c r="Y41" i="18"/>
  <c r="X41" i="18"/>
  <c r="W41" i="18"/>
  <c r="V41" i="18"/>
  <c r="U41" i="18"/>
  <c r="P41" i="18"/>
  <c r="O41" i="18"/>
  <c r="Q41" i="18" s="1"/>
  <c r="J41" i="18"/>
  <c r="I41" i="18"/>
  <c r="G41" i="18"/>
  <c r="E41" i="18"/>
  <c r="F41" i="18" s="1"/>
  <c r="B41" i="18"/>
  <c r="Z40" i="18"/>
  <c r="I40" i="18" s="1"/>
  <c r="Y40" i="18"/>
  <c r="W40" i="18" s="1"/>
  <c r="X40" i="18"/>
  <c r="V40" i="18"/>
  <c r="U40" i="18"/>
  <c r="T40" i="18"/>
  <c r="S40" i="18"/>
  <c r="Q40" i="18"/>
  <c r="P40" i="18"/>
  <c r="O40" i="18"/>
  <c r="J40" i="18"/>
  <c r="G40" i="18"/>
  <c r="F40" i="18"/>
  <c r="E40" i="18"/>
  <c r="Z39" i="18"/>
  <c r="Y39" i="18"/>
  <c r="X39" i="18"/>
  <c r="Q39" i="18"/>
  <c r="O39" i="18"/>
  <c r="P39" i="18" s="1"/>
  <c r="G39" i="18"/>
  <c r="E39" i="18"/>
  <c r="F39" i="18" s="1"/>
  <c r="Z38" i="18"/>
  <c r="Y38" i="18"/>
  <c r="X38" i="18"/>
  <c r="W38" i="18"/>
  <c r="V38" i="18"/>
  <c r="U38" i="18"/>
  <c r="T38" i="18"/>
  <c r="S38" i="18"/>
  <c r="R38" i="18"/>
  <c r="Q38" i="18"/>
  <c r="P38" i="18"/>
  <c r="O38" i="18"/>
  <c r="E38" i="18"/>
  <c r="B38" i="18"/>
  <c r="Z37" i="18"/>
  <c r="Y37" i="18"/>
  <c r="X37" i="18"/>
  <c r="V37" i="18"/>
  <c r="U37" i="18"/>
  <c r="T37" i="18"/>
  <c r="S37" i="18"/>
  <c r="R37" i="18"/>
  <c r="O37" i="18"/>
  <c r="Q37" i="18" s="1"/>
  <c r="J37" i="18"/>
  <c r="I37" i="18"/>
  <c r="F37" i="18"/>
  <c r="E37" i="18"/>
  <c r="G37" i="18" s="1"/>
  <c r="Z36" i="18"/>
  <c r="Y36" i="18"/>
  <c r="Q36" i="18"/>
  <c r="P36" i="18"/>
  <c r="O36" i="18"/>
  <c r="G36" i="18"/>
  <c r="F36" i="18"/>
  <c r="E36" i="18"/>
  <c r="Z35" i="18"/>
  <c r="Y35" i="18"/>
  <c r="X35" i="18"/>
  <c r="W35" i="18"/>
  <c r="V35" i="18"/>
  <c r="U35" i="18"/>
  <c r="T35" i="18"/>
  <c r="S35" i="18"/>
  <c r="R35" i="18"/>
  <c r="O35" i="18"/>
  <c r="J35" i="18"/>
  <c r="I35" i="18"/>
  <c r="F35" i="18"/>
  <c r="E35" i="18"/>
  <c r="G35" i="18" s="1"/>
  <c r="B35" i="18"/>
  <c r="Z34" i="18"/>
  <c r="Y34" i="18"/>
  <c r="X34" i="18" s="1"/>
  <c r="V34" i="18"/>
  <c r="U34" i="18"/>
  <c r="T34" i="18"/>
  <c r="S34" i="18"/>
  <c r="R34" i="18"/>
  <c r="P34" i="18"/>
  <c r="O34" i="18"/>
  <c r="Q34" i="18" s="1"/>
  <c r="J34" i="18"/>
  <c r="I34" i="18"/>
  <c r="E34" i="18"/>
  <c r="B34" i="18"/>
  <c r="Z33" i="18"/>
  <c r="Y33" i="18"/>
  <c r="T33" i="18"/>
  <c r="S33" i="18"/>
  <c r="R33" i="18"/>
  <c r="Q33" i="18"/>
  <c r="P33" i="18"/>
  <c r="O33" i="18"/>
  <c r="G33" i="18"/>
  <c r="E33" i="18"/>
  <c r="F33" i="18" s="1"/>
  <c r="Z32" i="18"/>
  <c r="I32" i="18" s="1"/>
  <c r="Y32" i="18"/>
  <c r="X32" i="18" s="1"/>
  <c r="W32" i="18"/>
  <c r="R32" i="18"/>
  <c r="Q32" i="18"/>
  <c r="P32" i="18"/>
  <c r="O32" i="18"/>
  <c r="J32" i="18"/>
  <c r="G32" i="18"/>
  <c r="F32" i="18"/>
  <c r="E32" i="18"/>
  <c r="B32" i="18"/>
  <c r="Z31" i="18"/>
  <c r="Y31" i="18"/>
  <c r="X31" i="18" s="1"/>
  <c r="W31" i="18"/>
  <c r="V31" i="18"/>
  <c r="U31" i="18"/>
  <c r="O31" i="18"/>
  <c r="Q31" i="18" s="1"/>
  <c r="E31" i="18"/>
  <c r="B31" i="18"/>
  <c r="Z30" i="18"/>
  <c r="I30" i="18" s="1"/>
  <c r="Y30" i="18"/>
  <c r="X30" i="18"/>
  <c r="W30" i="18"/>
  <c r="V30" i="18"/>
  <c r="U30" i="18"/>
  <c r="T30" i="18"/>
  <c r="S30" i="18"/>
  <c r="Q30" i="18"/>
  <c r="P30" i="18"/>
  <c r="O30" i="18"/>
  <c r="J30" i="18"/>
  <c r="E30" i="18"/>
  <c r="G30" i="18" s="1"/>
  <c r="Z29" i="18"/>
  <c r="Y29" i="18"/>
  <c r="X29" i="18"/>
  <c r="W29" i="18"/>
  <c r="V29" i="18"/>
  <c r="U29" i="18"/>
  <c r="T29" i="18"/>
  <c r="S29" i="18"/>
  <c r="R29" i="18"/>
  <c r="Q29" i="18"/>
  <c r="O29" i="18"/>
  <c r="P29" i="18" s="1"/>
  <c r="E29" i="18"/>
  <c r="B29" i="18"/>
  <c r="Z28" i="18"/>
  <c r="Y28" i="18"/>
  <c r="X28" i="18"/>
  <c r="W28" i="18"/>
  <c r="V28" i="18"/>
  <c r="U28" i="18"/>
  <c r="T28" i="18"/>
  <c r="S28" i="18"/>
  <c r="R28" i="18"/>
  <c r="Q28" i="18"/>
  <c r="O28" i="18"/>
  <c r="P28" i="18" s="1"/>
  <c r="E28" i="18"/>
  <c r="B28" i="18"/>
  <c r="Z27" i="18"/>
  <c r="Y27" i="18"/>
  <c r="X27" i="18" s="1"/>
  <c r="V27" i="18"/>
  <c r="T27" i="18"/>
  <c r="S27" i="18"/>
  <c r="R27" i="18"/>
  <c r="O27" i="18"/>
  <c r="Q27" i="18" s="1"/>
  <c r="F27" i="18"/>
  <c r="E27" i="18"/>
  <c r="G27" i="18" s="1"/>
  <c r="Z26" i="18"/>
  <c r="Y26" i="18"/>
  <c r="X26" i="18"/>
  <c r="W26" i="18"/>
  <c r="V26" i="18"/>
  <c r="T26" i="18"/>
  <c r="S26" i="18"/>
  <c r="R26" i="18"/>
  <c r="O26" i="18"/>
  <c r="J26" i="18"/>
  <c r="I26" i="18"/>
  <c r="G26" i="18"/>
  <c r="F26" i="18"/>
  <c r="E26" i="18"/>
  <c r="Z25" i="18"/>
  <c r="Y25" i="18"/>
  <c r="X25" i="18"/>
  <c r="W25" i="18"/>
  <c r="V25" i="18"/>
  <c r="U25" i="18"/>
  <c r="T25" i="18"/>
  <c r="S25" i="18"/>
  <c r="R25" i="18"/>
  <c r="Q25" i="18"/>
  <c r="O25" i="18"/>
  <c r="P25" i="18" s="1"/>
  <c r="J25" i="18"/>
  <c r="I25" i="18"/>
  <c r="E25" i="18"/>
  <c r="G25" i="18" s="1"/>
  <c r="B25" i="18"/>
  <c r="Z24" i="18"/>
  <c r="Y24" i="18"/>
  <c r="X24" i="18" s="1"/>
  <c r="V24" i="18"/>
  <c r="U24" i="18"/>
  <c r="T24" i="18"/>
  <c r="S24" i="18"/>
  <c r="R24" i="18"/>
  <c r="O24" i="18"/>
  <c r="J24" i="18"/>
  <c r="I24" i="18"/>
  <c r="F24" i="18"/>
  <c r="E24" i="18"/>
  <c r="G24" i="18" s="1"/>
  <c r="B24" i="18"/>
  <c r="Z23" i="18"/>
  <c r="J23" i="18" s="1"/>
  <c r="Y23" i="18"/>
  <c r="T23" i="18" s="1"/>
  <c r="S23" i="18"/>
  <c r="Q23" i="18"/>
  <c r="P23" i="18"/>
  <c r="O23" i="18"/>
  <c r="I23" i="18"/>
  <c r="G23" i="18"/>
  <c r="F23" i="18"/>
  <c r="E23" i="18"/>
  <c r="Z22" i="18"/>
  <c r="I22" i="18" s="1"/>
  <c r="Y22" i="18"/>
  <c r="X22" i="18"/>
  <c r="W22" i="18"/>
  <c r="R22" i="18"/>
  <c r="O22" i="18"/>
  <c r="J22" i="18"/>
  <c r="G22" i="18"/>
  <c r="E22" i="18"/>
  <c r="F22" i="18" s="1"/>
  <c r="Z21" i="18"/>
  <c r="Y21" i="18"/>
  <c r="X21" i="18"/>
  <c r="W21" i="18"/>
  <c r="V21" i="18"/>
  <c r="U21" i="18"/>
  <c r="P21" i="18"/>
  <c r="O21" i="18"/>
  <c r="Q21" i="18" s="1"/>
  <c r="J21" i="18"/>
  <c r="I21" i="18"/>
  <c r="E21" i="18"/>
  <c r="F21" i="18" s="1"/>
  <c r="B21" i="18"/>
  <c r="Z20" i="18"/>
  <c r="I20" i="18" s="1"/>
  <c r="Y20" i="18"/>
  <c r="W20" i="18"/>
  <c r="Q20" i="18"/>
  <c r="P20" i="18"/>
  <c r="O20" i="18"/>
  <c r="J20" i="18"/>
  <c r="G20" i="18"/>
  <c r="F20" i="18"/>
  <c r="E20" i="18"/>
  <c r="Z19" i="18"/>
  <c r="Y19" i="18"/>
  <c r="X19" i="18" s="1"/>
  <c r="W19" i="18"/>
  <c r="Q19" i="18"/>
  <c r="O19" i="18"/>
  <c r="P19" i="18" s="1"/>
  <c r="E19" i="18"/>
  <c r="Z18" i="18"/>
  <c r="Y18" i="18"/>
  <c r="X18" i="18"/>
  <c r="W18" i="18"/>
  <c r="V18" i="18"/>
  <c r="U18" i="18"/>
  <c r="T18" i="18"/>
  <c r="S18" i="18"/>
  <c r="R18" i="18"/>
  <c r="Q18" i="18"/>
  <c r="P18" i="18"/>
  <c r="O18" i="18"/>
  <c r="E18" i="18"/>
  <c r="B18" i="18"/>
  <c r="Z17" i="18"/>
  <c r="Y17" i="18"/>
  <c r="X17" i="18" s="1"/>
  <c r="V17" i="18"/>
  <c r="U17" i="18"/>
  <c r="T17" i="18"/>
  <c r="S17" i="18"/>
  <c r="R17" i="18"/>
  <c r="O17" i="18"/>
  <c r="J17" i="18"/>
  <c r="I17" i="18"/>
  <c r="F17" i="18"/>
  <c r="E17" i="18"/>
  <c r="G17" i="18" s="1"/>
  <c r="Z16" i="18"/>
  <c r="Y16" i="18"/>
  <c r="X16" i="18"/>
  <c r="W16" i="18"/>
  <c r="P16" i="18"/>
  <c r="O16" i="18"/>
  <c r="Q16" i="18" s="1"/>
  <c r="G16" i="18"/>
  <c r="F16" i="18"/>
  <c r="E16" i="18"/>
  <c r="Z15" i="18"/>
  <c r="Y15" i="18"/>
  <c r="X15" i="18"/>
  <c r="W15" i="18"/>
  <c r="V15" i="18"/>
  <c r="U15" i="18"/>
  <c r="T15" i="18"/>
  <c r="S15" i="18"/>
  <c r="R15" i="18"/>
  <c r="Q15" i="18"/>
  <c r="P15" i="18"/>
  <c r="O15" i="18"/>
  <c r="J15" i="18"/>
  <c r="I15" i="18"/>
  <c r="G15" i="18"/>
  <c r="F15" i="18"/>
  <c r="E15" i="18"/>
  <c r="B15" i="18"/>
  <c r="Z14" i="18"/>
  <c r="Y14" i="18"/>
  <c r="X14" i="18" s="1"/>
  <c r="V14" i="18"/>
  <c r="U14" i="18"/>
  <c r="T14" i="18"/>
  <c r="S14" i="18"/>
  <c r="R14" i="18"/>
  <c r="O14" i="18"/>
  <c r="J14" i="18"/>
  <c r="I14" i="18"/>
  <c r="G14" i="18"/>
  <c r="F14" i="18"/>
  <c r="E14" i="18"/>
  <c r="B14" i="18"/>
  <c r="Z13" i="18"/>
  <c r="I13" i="18" s="1"/>
  <c r="Y13" i="18"/>
  <c r="T13" i="18" s="1"/>
  <c r="Q13" i="18"/>
  <c r="P13" i="18"/>
  <c r="O13" i="18"/>
  <c r="E13" i="18"/>
  <c r="F13" i="18" s="1"/>
  <c r="B13" i="18"/>
  <c r="Z12" i="18"/>
  <c r="Y12" i="18"/>
  <c r="P12" i="18"/>
  <c r="O12" i="18"/>
  <c r="Q12" i="18" s="1"/>
  <c r="J12" i="18"/>
  <c r="E12" i="18"/>
  <c r="Z11" i="18"/>
  <c r="Y11" i="18"/>
  <c r="P11" i="18"/>
  <c r="O11" i="18"/>
  <c r="Q11" i="18" s="1"/>
  <c r="G11" i="18"/>
  <c r="E11" i="18"/>
  <c r="F11" i="18" s="1"/>
  <c r="Z10" i="18"/>
  <c r="Y10" i="18"/>
  <c r="Q10" i="18"/>
  <c r="P10" i="18"/>
  <c r="O10" i="18"/>
  <c r="F10" i="18"/>
  <c r="G10" i="18" s="1"/>
  <c r="E10" i="18"/>
  <c r="Z9" i="18"/>
  <c r="Y9" i="18"/>
  <c r="Q9" i="18"/>
  <c r="O9" i="18"/>
  <c r="P9" i="18" s="1"/>
  <c r="E9" i="18"/>
  <c r="Z8" i="18"/>
  <c r="Y8" i="18"/>
  <c r="O8" i="18"/>
  <c r="Q8" i="18" s="1"/>
  <c r="E8" i="18"/>
  <c r="Z7" i="18"/>
  <c r="Y7" i="18"/>
  <c r="Q7" i="18"/>
  <c r="P7" i="18"/>
  <c r="O7" i="18"/>
  <c r="F7" i="18"/>
  <c r="E7" i="18"/>
  <c r="G7" i="18" s="1"/>
  <c r="Z6" i="18"/>
  <c r="Y6" i="18"/>
  <c r="Q6" i="18"/>
  <c r="P6" i="18"/>
  <c r="O6" i="18"/>
  <c r="G6" i="18"/>
  <c r="F6" i="18"/>
  <c r="E6" i="18"/>
  <c r="Z5" i="18"/>
  <c r="Y5" i="18"/>
  <c r="Q5" i="18"/>
  <c r="P5" i="18"/>
  <c r="O5" i="18"/>
  <c r="E5" i="18"/>
  <c r="M50" i="17"/>
  <c r="E50" i="17"/>
  <c r="W50" i="17" s="1"/>
  <c r="C50" i="17"/>
  <c r="Z49" i="17"/>
  <c r="Y49" i="17"/>
  <c r="X49" i="17"/>
  <c r="W49" i="17"/>
  <c r="V49" i="17"/>
  <c r="P49" i="17"/>
  <c r="O49" i="17"/>
  <c r="Q49" i="17" s="1"/>
  <c r="J49" i="17"/>
  <c r="I49" i="17"/>
  <c r="G49" i="17"/>
  <c r="E49" i="17"/>
  <c r="F49" i="17" s="1"/>
  <c r="Z48" i="17"/>
  <c r="Y48" i="17"/>
  <c r="X48" i="17" s="1"/>
  <c r="W48" i="17"/>
  <c r="V48" i="17"/>
  <c r="U48" i="17"/>
  <c r="T48" i="17"/>
  <c r="S48" i="17"/>
  <c r="Q48" i="17"/>
  <c r="P48" i="17"/>
  <c r="O48" i="17"/>
  <c r="J48" i="17"/>
  <c r="I48" i="17"/>
  <c r="G48" i="17"/>
  <c r="F48" i="17"/>
  <c r="E48" i="17"/>
  <c r="Z47" i="17"/>
  <c r="Y47" i="17"/>
  <c r="X47" i="17"/>
  <c r="R47" i="17"/>
  <c r="Q47" i="17"/>
  <c r="O47" i="17"/>
  <c r="P47" i="17" s="1"/>
  <c r="F47" i="17"/>
  <c r="E47" i="17"/>
  <c r="G47" i="17" s="1"/>
  <c r="B47" i="17"/>
  <c r="Z46" i="17"/>
  <c r="Y46" i="17"/>
  <c r="X46" i="17"/>
  <c r="W46" i="17"/>
  <c r="U46" i="17"/>
  <c r="T46" i="17"/>
  <c r="S46" i="17"/>
  <c r="Q46" i="17"/>
  <c r="P46" i="17"/>
  <c r="O46" i="17"/>
  <c r="E46" i="17"/>
  <c r="Z45" i="17"/>
  <c r="Y45" i="17"/>
  <c r="U45" i="17"/>
  <c r="O45" i="17"/>
  <c r="J45" i="17"/>
  <c r="I45" i="17"/>
  <c r="F45" i="17"/>
  <c r="E45" i="17"/>
  <c r="G45" i="17" s="1"/>
  <c r="Z44" i="17"/>
  <c r="Y44" i="17"/>
  <c r="B44" i="17" s="1"/>
  <c r="X44" i="17"/>
  <c r="W44" i="17"/>
  <c r="V44" i="17"/>
  <c r="U44" i="17"/>
  <c r="T44" i="17"/>
  <c r="S44" i="17"/>
  <c r="R44" i="17"/>
  <c r="Q44" i="17"/>
  <c r="P44" i="17"/>
  <c r="O44" i="17"/>
  <c r="J44" i="17"/>
  <c r="I44" i="17"/>
  <c r="G44" i="17"/>
  <c r="F44" i="17"/>
  <c r="E44" i="17"/>
  <c r="Z43" i="17"/>
  <c r="Y43" i="17"/>
  <c r="X43" i="17"/>
  <c r="W43" i="17"/>
  <c r="V43" i="17"/>
  <c r="U43" i="17"/>
  <c r="T43" i="17"/>
  <c r="S43" i="17"/>
  <c r="R43" i="17"/>
  <c r="P43" i="17"/>
  <c r="O43" i="17"/>
  <c r="Q43" i="17" s="1"/>
  <c r="J43" i="17"/>
  <c r="I43" i="17"/>
  <c r="G43" i="17"/>
  <c r="E43" i="17"/>
  <c r="F43" i="17" s="1"/>
  <c r="B43" i="17"/>
  <c r="Z42" i="17"/>
  <c r="Y42" i="17"/>
  <c r="X42" i="17" s="1"/>
  <c r="V42" i="17"/>
  <c r="U42" i="17"/>
  <c r="T42" i="17"/>
  <c r="S42" i="17"/>
  <c r="R42" i="17"/>
  <c r="P42" i="17"/>
  <c r="O42" i="17"/>
  <c r="Q42" i="17" s="1"/>
  <c r="J42" i="17"/>
  <c r="I42" i="17"/>
  <c r="F42" i="17"/>
  <c r="E42" i="17"/>
  <c r="G42" i="17" s="1"/>
  <c r="B42" i="17"/>
  <c r="Z41" i="17"/>
  <c r="Y41" i="17"/>
  <c r="Q41" i="17"/>
  <c r="P41" i="17"/>
  <c r="O41" i="17"/>
  <c r="E41" i="17"/>
  <c r="B41" i="17"/>
  <c r="Z40" i="17"/>
  <c r="J40" i="17" s="1"/>
  <c r="Y40" i="17"/>
  <c r="X40" i="17"/>
  <c r="W40" i="17"/>
  <c r="R40" i="17"/>
  <c r="O40" i="17"/>
  <c r="G40" i="17"/>
  <c r="F40" i="17"/>
  <c r="E40" i="17"/>
  <c r="Z39" i="17"/>
  <c r="Y39" i="17"/>
  <c r="X39" i="17" s="1"/>
  <c r="W39" i="17"/>
  <c r="V39" i="17"/>
  <c r="U39" i="17"/>
  <c r="P39" i="17"/>
  <c r="O39" i="17"/>
  <c r="Q39" i="17" s="1"/>
  <c r="J39" i="17"/>
  <c r="I39" i="17"/>
  <c r="G39" i="17"/>
  <c r="F39" i="17"/>
  <c r="E39" i="17"/>
  <c r="B39" i="17"/>
  <c r="Z38" i="17"/>
  <c r="Y38" i="17"/>
  <c r="W38" i="17"/>
  <c r="V38" i="17"/>
  <c r="Q38" i="17"/>
  <c r="P38" i="17"/>
  <c r="O38" i="17"/>
  <c r="J38" i="17"/>
  <c r="I38" i="17"/>
  <c r="F38" i="17"/>
  <c r="E38" i="17"/>
  <c r="G38" i="17" s="1"/>
  <c r="B38" i="17"/>
  <c r="Z37" i="17"/>
  <c r="Y37" i="17"/>
  <c r="X37" i="17" s="1"/>
  <c r="W37" i="17"/>
  <c r="Q37" i="17"/>
  <c r="O37" i="17"/>
  <c r="P37" i="17" s="1"/>
  <c r="E37" i="17"/>
  <c r="B37" i="17"/>
  <c r="Z36" i="17"/>
  <c r="Y36" i="17"/>
  <c r="B36" i="17" s="1"/>
  <c r="X36" i="17"/>
  <c r="W36" i="17"/>
  <c r="V36" i="17"/>
  <c r="U36" i="17"/>
  <c r="T36" i="17"/>
  <c r="S36" i="17"/>
  <c r="R36" i="17"/>
  <c r="Q36" i="17"/>
  <c r="O36" i="17"/>
  <c r="P36" i="17" s="1"/>
  <c r="E36" i="17"/>
  <c r="Z35" i="17"/>
  <c r="Y35" i="17"/>
  <c r="B35" i="17" s="1"/>
  <c r="W35" i="17"/>
  <c r="V35" i="17"/>
  <c r="U35" i="17"/>
  <c r="T35" i="17"/>
  <c r="S35" i="17"/>
  <c r="R35" i="17"/>
  <c r="O35" i="17"/>
  <c r="J35" i="17"/>
  <c r="I35" i="17"/>
  <c r="F35" i="17"/>
  <c r="E35" i="17"/>
  <c r="G35" i="17" s="1"/>
  <c r="Z34" i="17"/>
  <c r="J34" i="17" s="1"/>
  <c r="Y34" i="17"/>
  <c r="X34" i="17"/>
  <c r="R34" i="17"/>
  <c r="Q34" i="17"/>
  <c r="P34" i="17"/>
  <c r="O34" i="17"/>
  <c r="I34" i="17"/>
  <c r="G34" i="17"/>
  <c r="F34" i="17"/>
  <c r="E34" i="17"/>
  <c r="Z33" i="17"/>
  <c r="Y33" i="17"/>
  <c r="X33" i="17"/>
  <c r="W33" i="17"/>
  <c r="V33" i="17"/>
  <c r="U33" i="17"/>
  <c r="T33" i="17"/>
  <c r="S33" i="17"/>
  <c r="R33" i="17"/>
  <c r="O33" i="17"/>
  <c r="J33" i="17"/>
  <c r="I33" i="17"/>
  <c r="F33" i="17"/>
  <c r="E33" i="17"/>
  <c r="G33" i="17" s="1"/>
  <c r="B33" i="17"/>
  <c r="Z32" i="17"/>
  <c r="Y32" i="17"/>
  <c r="X32" i="17" s="1"/>
  <c r="V32" i="17"/>
  <c r="U32" i="17"/>
  <c r="T32" i="17"/>
  <c r="S32" i="17"/>
  <c r="R32" i="17"/>
  <c r="Q32" i="17"/>
  <c r="O32" i="17"/>
  <c r="P32" i="17" s="1"/>
  <c r="J32" i="17"/>
  <c r="I32" i="17"/>
  <c r="F32" i="17"/>
  <c r="E32" i="17"/>
  <c r="G32" i="17" s="1"/>
  <c r="B32" i="17"/>
  <c r="Z31" i="17"/>
  <c r="Y31" i="17"/>
  <c r="T31" i="17"/>
  <c r="O31" i="17"/>
  <c r="J31" i="17"/>
  <c r="I31" i="17"/>
  <c r="G31" i="17"/>
  <c r="F31" i="17"/>
  <c r="E31" i="17"/>
  <c r="Z30" i="17"/>
  <c r="Y30" i="17"/>
  <c r="X30" i="17"/>
  <c r="W30" i="17"/>
  <c r="R30" i="17"/>
  <c r="O30" i="17"/>
  <c r="J30" i="17"/>
  <c r="I30" i="17"/>
  <c r="G30" i="17"/>
  <c r="F30" i="17"/>
  <c r="E30" i="17"/>
  <c r="B30" i="17"/>
  <c r="Z29" i="17"/>
  <c r="J29" i="17" s="1"/>
  <c r="Y29" i="17"/>
  <c r="W29" i="17"/>
  <c r="P29" i="17"/>
  <c r="O29" i="17"/>
  <c r="Q29" i="17" s="1"/>
  <c r="I29" i="17"/>
  <c r="G29" i="17"/>
  <c r="F29" i="17"/>
  <c r="E29" i="17"/>
  <c r="B29" i="17"/>
  <c r="Z28" i="17"/>
  <c r="Y28" i="17"/>
  <c r="X28" i="17"/>
  <c r="W28" i="17"/>
  <c r="V28" i="17"/>
  <c r="U28" i="17"/>
  <c r="Q28" i="17"/>
  <c r="P28" i="17"/>
  <c r="O28" i="17"/>
  <c r="E28" i="17"/>
  <c r="B28" i="17"/>
  <c r="Z27" i="17"/>
  <c r="Y27" i="17"/>
  <c r="B27" i="17" s="1"/>
  <c r="X27" i="17"/>
  <c r="W27" i="17"/>
  <c r="V27" i="17"/>
  <c r="U27" i="17"/>
  <c r="T27" i="17"/>
  <c r="S27" i="17"/>
  <c r="R27" i="17"/>
  <c r="Q27" i="17"/>
  <c r="O27" i="17"/>
  <c r="P27" i="17" s="1"/>
  <c r="G27" i="17"/>
  <c r="F27" i="17"/>
  <c r="E27" i="17"/>
  <c r="Z26" i="17"/>
  <c r="Y26" i="17"/>
  <c r="X26" i="17"/>
  <c r="W26" i="17"/>
  <c r="V26" i="17"/>
  <c r="U26" i="17"/>
  <c r="T26" i="17"/>
  <c r="S26" i="17"/>
  <c r="R26" i="17"/>
  <c r="O26" i="17"/>
  <c r="Q26" i="17" s="1"/>
  <c r="E26" i="17"/>
  <c r="B26" i="17"/>
  <c r="Z25" i="17"/>
  <c r="Y25" i="17"/>
  <c r="W25" i="17"/>
  <c r="Q25" i="17"/>
  <c r="P25" i="17"/>
  <c r="O25" i="17"/>
  <c r="F25" i="17"/>
  <c r="E25" i="17"/>
  <c r="G25" i="17" s="1"/>
  <c r="Z24" i="17"/>
  <c r="J24" i="17" s="1"/>
  <c r="Y24" i="17"/>
  <c r="X24" i="17"/>
  <c r="W24" i="17"/>
  <c r="U24" i="17"/>
  <c r="T24" i="17"/>
  <c r="S24" i="17"/>
  <c r="Q24" i="17"/>
  <c r="P24" i="17"/>
  <c r="O24" i="17"/>
  <c r="I24" i="17"/>
  <c r="G24" i="17"/>
  <c r="F24" i="17"/>
  <c r="E24" i="17"/>
  <c r="Z23" i="17"/>
  <c r="Y23" i="17"/>
  <c r="X23" i="17"/>
  <c r="W23" i="17"/>
  <c r="V23" i="17"/>
  <c r="U23" i="17"/>
  <c r="T23" i="17"/>
  <c r="S23" i="17"/>
  <c r="R23" i="17"/>
  <c r="Q23" i="17"/>
  <c r="P23" i="17"/>
  <c r="O23" i="17"/>
  <c r="J23" i="17"/>
  <c r="I23" i="17"/>
  <c r="E23" i="17"/>
  <c r="B23" i="17"/>
  <c r="Z22" i="17"/>
  <c r="Y22" i="17"/>
  <c r="X22" i="17" s="1"/>
  <c r="V22" i="17"/>
  <c r="U22" i="17"/>
  <c r="T22" i="17"/>
  <c r="S22" i="17"/>
  <c r="R22" i="17"/>
  <c r="P22" i="17"/>
  <c r="O22" i="17"/>
  <c r="Q22" i="17" s="1"/>
  <c r="J22" i="17"/>
  <c r="I22" i="17"/>
  <c r="G22" i="17"/>
  <c r="E22" i="17"/>
  <c r="F22" i="17" s="1"/>
  <c r="B22" i="17"/>
  <c r="Z21" i="17"/>
  <c r="Y21" i="17"/>
  <c r="T21" i="17"/>
  <c r="S21" i="17"/>
  <c r="R21" i="17"/>
  <c r="O21" i="17"/>
  <c r="J21" i="17"/>
  <c r="I21" i="17"/>
  <c r="G21" i="17"/>
  <c r="E21" i="17"/>
  <c r="F21" i="17" s="1"/>
  <c r="B21" i="17"/>
  <c r="Z20" i="17"/>
  <c r="Y20" i="17"/>
  <c r="X20" i="17"/>
  <c r="O20" i="17"/>
  <c r="Q20" i="17" s="1"/>
  <c r="E20" i="17"/>
  <c r="B20" i="17"/>
  <c r="Z19" i="17"/>
  <c r="Y19" i="17"/>
  <c r="X19" i="17" s="1"/>
  <c r="V19" i="17"/>
  <c r="U19" i="17"/>
  <c r="P19" i="17"/>
  <c r="O19" i="17"/>
  <c r="Q19" i="17" s="1"/>
  <c r="G19" i="17"/>
  <c r="F19" i="17"/>
  <c r="E19" i="17"/>
  <c r="Z18" i="17"/>
  <c r="Y18" i="17"/>
  <c r="X18" i="17" s="1"/>
  <c r="Q18" i="17"/>
  <c r="P18" i="17"/>
  <c r="O18" i="17"/>
  <c r="J18" i="17"/>
  <c r="I18" i="17"/>
  <c r="G18" i="17"/>
  <c r="F18" i="17"/>
  <c r="E18" i="17"/>
  <c r="Z17" i="17"/>
  <c r="Y17" i="17"/>
  <c r="X17" i="17"/>
  <c r="W17" i="17"/>
  <c r="V17" i="17"/>
  <c r="U17" i="17"/>
  <c r="T17" i="17"/>
  <c r="S17" i="17"/>
  <c r="R17" i="17"/>
  <c r="Q17" i="17"/>
  <c r="O17" i="17"/>
  <c r="P17" i="17" s="1"/>
  <c r="E17" i="17"/>
  <c r="B17" i="17"/>
  <c r="Z16" i="17"/>
  <c r="Y16" i="17"/>
  <c r="X16" i="17" s="1"/>
  <c r="Q16" i="17"/>
  <c r="P16" i="17"/>
  <c r="O16" i="17"/>
  <c r="E16" i="17"/>
  <c r="Z15" i="17"/>
  <c r="Y15" i="17"/>
  <c r="B15" i="17" s="1"/>
  <c r="X15" i="17"/>
  <c r="W15" i="17"/>
  <c r="V15" i="17"/>
  <c r="U15" i="17"/>
  <c r="T15" i="17"/>
  <c r="S15" i="17"/>
  <c r="R15" i="17"/>
  <c r="O15" i="17"/>
  <c r="Q15" i="17" s="1"/>
  <c r="F15" i="17"/>
  <c r="E15" i="17"/>
  <c r="G15" i="17" s="1"/>
  <c r="Z14" i="17"/>
  <c r="Y14" i="17"/>
  <c r="B14" i="17" s="1"/>
  <c r="X14" i="17"/>
  <c r="W14" i="17"/>
  <c r="V14" i="17"/>
  <c r="U14" i="17"/>
  <c r="T14" i="17"/>
  <c r="S14" i="17"/>
  <c r="R14" i="17"/>
  <c r="O14" i="17"/>
  <c r="G14" i="17"/>
  <c r="F14" i="17"/>
  <c r="E14" i="17"/>
  <c r="Z13" i="17"/>
  <c r="Y13" i="17"/>
  <c r="X13" i="17"/>
  <c r="W13" i="17"/>
  <c r="V13" i="17"/>
  <c r="U13" i="17"/>
  <c r="T13" i="17"/>
  <c r="S13" i="17"/>
  <c r="R13" i="17"/>
  <c r="O13" i="17"/>
  <c r="Q13" i="17" s="1"/>
  <c r="J13" i="17"/>
  <c r="I13" i="17"/>
  <c r="G13" i="17"/>
  <c r="F13" i="17"/>
  <c r="E13" i="17"/>
  <c r="B13" i="17"/>
  <c r="Z12" i="17"/>
  <c r="Y12" i="17"/>
  <c r="X12" i="17" s="1"/>
  <c r="V12" i="17"/>
  <c r="U12" i="17"/>
  <c r="T12" i="17"/>
  <c r="S12" i="17"/>
  <c r="R12" i="17"/>
  <c r="Q12" i="17"/>
  <c r="O12" i="17"/>
  <c r="P12" i="17" s="1"/>
  <c r="J12" i="17"/>
  <c r="I12" i="17"/>
  <c r="E12" i="17"/>
  <c r="B12" i="17"/>
  <c r="Z11" i="17"/>
  <c r="J11" i="17" s="1"/>
  <c r="Y11" i="17"/>
  <c r="O11" i="17"/>
  <c r="E11" i="17"/>
  <c r="Z10" i="17"/>
  <c r="Y10" i="17"/>
  <c r="Q10" i="17"/>
  <c r="P10" i="17"/>
  <c r="O10" i="17"/>
  <c r="E10" i="17"/>
  <c r="G10" i="17" s="1"/>
  <c r="Z9" i="17"/>
  <c r="Y9" i="17"/>
  <c r="W9" i="17"/>
  <c r="V9" i="17"/>
  <c r="U9" i="17"/>
  <c r="O9" i="17"/>
  <c r="J9" i="17"/>
  <c r="I9" i="17"/>
  <c r="E9" i="17"/>
  <c r="G9" i="17" s="1"/>
  <c r="B9" i="17"/>
  <c r="Z8" i="17"/>
  <c r="Y8" i="17"/>
  <c r="R8" i="17" s="1"/>
  <c r="X8" i="17"/>
  <c r="V8" i="17"/>
  <c r="U8" i="17"/>
  <c r="T8" i="17"/>
  <c r="S8" i="17"/>
  <c r="Q8" i="17"/>
  <c r="P8" i="17"/>
  <c r="O8" i="17"/>
  <c r="J8" i="17"/>
  <c r="I8" i="17"/>
  <c r="E8" i="17"/>
  <c r="G8" i="17" s="1"/>
  <c r="B8" i="17"/>
  <c r="Z7" i="17"/>
  <c r="Y7" i="17"/>
  <c r="X7" i="17"/>
  <c r="R7" i="17"/>
  <c r="Q7" i="17"/>
  <c r="O7" i="17"/>
  <c r="P7" i="17" s="1"/>
  <c r="F7" i="17"/>
  <c r="E7" i="17"/>
  <c r="G7" i="17" s="1"/>
  <c r="Z6" i="17"/>
  <c r="Y6" i="17"/>
  <c r="R6" i="17" s="1"/>
  <c r="X6" i="17"/>
  <c r="W6" i="17"/>
  <c r="V6" i="17"/>
  <c r="U6" i="17"/>
  <c r="T6" i="17"/>
  <c r="S6" i="17"/>
  <c r="Q6" i="17"/>
  <c r="P6" i="17"/>
  <c r="O6" i="17"/>
  <c r="E6" i="17"/>
  <c r="B6" i="17"/>
  <c r="Z5" i="17"/>
  <c r="J5" i="17" s="1"/>
  <c r="Y5" i="17"/>
  <c r="W5" i="17"/>
  <c r="V5" i="17"/>
  <c r="P5" i="17"/>
  <c r="O5" i="17"/>
  <c r="F5" i="17"/>
  <c r="E5" i="17"/>
  <c r="G5" i="17" s="1"/>
  <c r="M50" i="16"/>
  <c r="E50" i="16"/>
  <c r="C50" i="16"/>
  <c r="Z49" i="16"/>
  <c r="J49" i="16" s="1"/>
  <c r="Y49" i="16"/>
  <c r="T49" i="16"/>
  <c r="S49" i="16"/>
  <c r="Q49" i="16"/>
  <c r="P49" i="16"/>
  <c r="O49" i="16"/>
  <c r="I49" i="16"/>
  <c r="G49" i="16"/>
  <c r="F49" i="16"/>
  <c r="E49" i="16"/>
  <c r="B49" i="16"/>
  <c r="Z48" i="16"/>
  <c r="Y48" i="16"/>
  <c r="X48" i="16"/>
  <c r="W48" i="16"/>
  <c r="U48" i="16"/>
  <c r="R48" i="16"/>
  <c r="Q48" i="16"/>
  <c r="P48" i="16"/>
  <c r="O48" i="16"/>
  <c r="G48" i="16"/>
  <c r="F48" i="16"/>
  <c r="E48" i="16"/>
  <c r="Z47" i="16"/>
  <c r="Y47" i="16"/>
  <c r="X47" i="16"/>
  <c r="V47" i="16"/>
  <c r="S47" i="16"/>
  <c r="O47" i="16"/>
  <c r="J47" i="16"/>
  <c r="I47" i="16"/>
  <c r="E47" i="16"/>
  <c r="B47" i="16"/>
  <c r="Z46" i="16"/>
  <c r="Y46" i="16"/>
  <c r="R46" i="16" s="1"/>
  <c r="X46" i="16"/>
  <c r="V46" i="16"/>
  <c r="U46" i="16"/>
  <c r="T46" i="16"/>
  <c r="S46" i="16"/>
  <c r="Q46" i="16"/>
  <c r="O46" i="16"/>
  <c r="P46" i="16" s="1"/>
  <c r="J46" i="16"/>
  <c r="I46" i="16"/>
  <c r="E46" i="16"/>
  <c r="F46" i="16" s="1"/>
  <c r="B46" i="16"/>
  <c r="Z45" i="16"/>
  <c r="Y45" i="16"/>
  <c r="X45" i="16"/>
  <c r="W45" i="16"/>
  <c r="O45" i="16"/>
  <c r="P45" i="16" s="1"/>
  <c r="G45" i="16"/>
  <c r="E45" i="16"/>
  <c r="F45" i="16" s="1"/>
  <c r="Z44" i="16"/>
  <c r="Y44" i="16"/>
  <c r="W44" i="16"/>
  <c r="V44" i="16"/>
  <c r="O44" i="16"/>
  <c r="Q44" i="16" s="1"/>
  <c r="E44" i="16"/>
  <c r="Z43" i="16"/>
  <c r="Y43" i="16"/>
  <c r="B43" i="16" s="1"/>
  <c r="X43" i="16"/>
  <c r="W43" i="16"/>
  <c r="V43" i="16"/>
  <c r="U43" i="16"/>
  <c r="T43" i="16"/>
  <c r="S43" i="16"/>
  <c r="R43" i="16"/>
  <c r="O43" i="16"/>
  <c r="G43" i="16"/>
  <c r="F43" i="16"/>
  <c r="E43" i="16"/>
  <c r="Z42" i="16"/>
  <c r="Y42" i="16"/>
  <c r="X42" i="16" s="1"/>
  <c r="V42" i="16"/>
  <c r="U42" i="16"/>
  <c r="T42" i="16"/>
  <c r="S42" i="16"/>
  <c r="R42" i="16"/>
  <c r="Q42" i="16"/>
  <c r="P42" i="16"/>
  <c r="O42" i="16"/>
  <c r="G42" i="16"/>
  <c r="E42" i="16"/>
  <c r="F42" i="16" s="1"/>
  <c r="Z41" i="16"/>
  <c r="Y41" i="16"/>
  <c r="B41" i="16" s="1"/>
  <c r="X41" i="16"/>
  <c r="W41" i="16"/>
  <c r="V41" i="16"/>
  <c r="U41" i="16"/>
  <c r="T41" i="16"/>
  <c r="S41" i="16"/>
  <c r="R41" i="16"/>
  <c r="P41" i="16"/>
  <c r="O41" i="16"/>
  <c r="Q41" i="16" s="1"/>
  <c r="J41" i="16"/>
  <c r="I41" i="16"/>
  <c r="G41" i="16"/>
  <c r="E41" i="16"/>
  <c r="F41" i="16" s="1"/>
  <c r="Z40" i="16"/>
  <c r="Y40" i="16"/>
  <c r="X40" i="16" s="1"/>
  <c r="W40" i="16"/>
  <c r="V40" i="16"/>
  <c r="U40" i="16"/>
  <c r="T40" i="16"/>
  <c r="S40" i="16"/>
  <c r="R40" i="16"/>
  <c r="Q40" i="16"/>
  <c r="P40" i="16"/>
  <c r="O40" i="16"/>
  <c r="J40" i="16"/>
  <c r="I40" i="16"/>
  <c r="F40" i="16"/>
  <c r="E40" i="16"/>
  <c r="G40" i="16" s="1"/>
  <c r="B40" i="16"/>
  <c r="Z39" i="16"/>
  <c r="Y39" i="16"/>
  <c r="X39" i="16"/>
  <c r="W39" i="16"/>
  <c r="V39" i="16"/>
  <c r="U39" i="16"/>
  <c r="T39" i="16"/>
  <c r="S39" i="16"/>
  <c r="R39" i="16"/>
  <c r="O39" i="16"/>
  <c r="J39" i="16"/>
  <c r="I39" i="16"/>
  <c r="G39" i="16"/>
  <c r="E39" i="16"/>
  <c r="F39" i="16" s="1"/>
  <c r="B39" i="16"/>
  <c r="Z38" i="16"/>
  <c r="I38" i="16" s="1"/>
  <c r="Y38" i="16"/>
  <c r="Q38" i="16"/>
  <c r="P38" i="16"/>
  <c r="O38" i="16"/>
  <c r="J38" i="16"/>
  <c r="E38" i="16"/>
  <c r="Z37" i="16"/>
  <c r="Y37" i="16"/>
  <c r="W37" i="16"/>
  <c r="O37" i="16"/>
  <c r="Q37" i="16" s="1"/>
  <c r="G37" i="16"/>
  <c r="F37" i="16"/>
  <c r="E37" i="16"/>
  <c r="Z36" i="16"/>
  <c r="Y36" i="16"/>
  <c r="X36" i="16"/>
  <c r="W36" i="16"/>
  <c r="V36" i="16"/>
  <c r="U36" i="16"/>
  <c r="T36" i="16"/>
  <c r="O36" i="16"/>
  <c r="Q36" i="16" s="1"/>
  <c r="J36" i="16"/>
  <c r="I36" i="16"/>
  <c r="G36" i="16"/>
  <c r="E36" i="16"/>
  <c r="F36" i="16" s="1"/>
  <c r="B36" i="16"/>
  <c r="Z35" i="16"/>
  <c r="Y35" i="16"/>
  <c r="X35" i="16"/>
  <c r="O35" i="16"/>
  <c r="Q35" i="16" s="1"/>
  <c r="E35" i="16"/>
  <c r="Z34" i="16"/>
  <c r="Y34" i="16"/>
  <c r="B34" i="16" s="1"/>
  <c r="X34" i="16"/>
  <c r="W34" i="16"/>
  <c r="V34" i="16"/>
  <c r="U34" i="16"/>
  <c r="T34" i="16"/>
  <c r="S34" i="16"/>
  <c r="R34" i="16"/>
  <c r="Q34" i="16"/>
  <c r="P34" i="16"/>
  <c r="O34" i="16"/>
  <c r="E34" i="16"/>
  <c r="Z33" i="16"/>
  <c r="I33" i="16" s="1"/>
  <c r="Y33" i="16"/>
  <c r="B33" i="16" s="1"/>
  <c r="X33" i="16"/>
  <c r="W33" i="16"/>
  <c r="V33" i="16"/>
  <c r="U33" i="16"/>
  <c r="T33" i="16"/>
  <c r="S33" i="16"/>
  <c r="R33" i="16"/>
  <c r="Q33" i="16"/>
  <c r="P33" i="16"/>
  <c r="O33" i="16"/>
  <c r="J33" i="16"/>
  <c r="G33" i="16"/>
  <c r="F33" i="16"/>
  <c r="E33" i="16"/>
  <c r="Z32" i="16"/>
  <c r="Y32" i="16"/>
  <c r="S32" i="16"/>
  <c r="Q32" i="16"/>
  <c r="O32" i="16"/>
  <c r="P32" i="16" s="1"/>
  <c r="G32" i="16"/>
  <c r="E32" i="16"/>
  <c r="F32" i="16" s="1"/>
  <c r="Z31" i="16"/>
  <c r="Y31" i="16"/>
  <c r="B31" i="16" s="1"/>
  <c r="X31" i="16"/>
  <c r="W31" i="16"/>
  <c r="V31" i="16"/>
  <c r="U31" i="16"/>
  <c r="T31" i="16"/>
  <c r="S31" i="16"/>
  <c r="R31" i="16"/>
  <c r="O31" i="16"/>
  <c r="J31" i="16"/>
  <c r="I31" i="16"/>
  <c r="G31" i="16"/>
  <c r="F31" i="16"/>
  <c r="E31" i="16"/>
  <c r="Z30" i="16"/>
  <c r="Y30" i="16"/>
  <c r="X30" i="16" s="1"/>
  <c r="W30" i="16"/>
  <c r="V30" i="16"/>
  <c r="U30" i="16"/>
  <c r="T30" i="16"/>
  <c r="S30" i="16"/>
  <c r="R30" i="16"/>
  <c r="Q30" i="16"/>
  <c r="P30" i="16"/>
  <c r="O30" i="16"/>
  <c r="J30" i="16"/>
  <c r="I30" i="16"/>
  <c r="F30" i="16"/>
  <c r="E30" i="16"/>
  <c r="G30" i="16" s="1"/>
  <c r="B30" i="16"/>
  <c r="Z29" i="16"/>
  <c r="J29" i="16" s="1"/>
  <c r="Y29" i="16"/>
  <c r="X29" i="16"/>
  <c r="W29" i="16"/>
  <c r="V29" i="16"/>
  <c r="U29" i="16"/>
  <c r="T29" i="16"/>
  <c r="S29" i="16"/>
  <c r="R29" i="16"/>
  <c r="O29" i="16"/>
  <c r="I29" i="16"/>
  <c r="G29" i="16"/>
  <c r="E29" i="16"/>
  <c r="F29" i="16" s="1"/>
  <c r="B29" i="16"/>
  <c r="Z28" i="16"/>
  <c r="Y28" i="16"/>
  <c r="X28" i="16"/>
  <c r="R28" i="16"/>
  <c r="Q28" i="16"/>
  <c r="P28" i="16"/>
  <c r="O28" i="16"/>
  <c r="J28" i="16"/>
  <c r="I28" i="16"/>
  <c r="G28" i="16"/>
  <c r="E28" i="16"/>
  <c r="F28" i="16" s="1"/>
  <c r="B28" i="16"/>
  <c r="Z27" i="16"/>
  <c r="I27" i="16" s="1"/>
  <c r="Y27" i="16"/>
  <c r="O27" i="16"/>
  <c r="Q27" i="16" s="1"/>
  <c r="J27" i="16"/>
  <c r="F27" i="16"/>
  <c r="E27" i="16"/>
  <c r="G27" i="16" s="1"/>
  <c r="Z26" i="16"/>
  <c r="Y26" i="16"/>
  <c r="X26" i="16" s="1"/>
  <c r="W26" i="16"/>
  <c r="V26" i="16"/>
  <c r="U26" i="16"/>
  <c r="T26" i="16"/>
  <c r="O26" i="16"/>
  <c r="Q26" i="16" s="1"/>
  <c r="J26" i="16"/>
  <c r="I26" i="16"/>
  <c r="G26" i="16"/>
  <c r="E26" i="16"/>
  <c r="F26" i="16" s="1"/>
  <c r="Z25" i="16"/>
  <c r="Y25" i="16"/>
  <c r="B25" i="16" s="1"/>
  <c r="X25" i="16"/>
  <c r="W25" i="16"/>
  <c r="V25" i="16"/>
  <c r="U25" i="16"/>
  <c r="T25" i="16"/>
  <c r="S25" i="16"/>
  <c r="R25" i="16"/>
  <c r="O25" i="16"/>
  <c r="Q25" i="16" s="1"/>
  <c r="E25" i="16"/>
  <c r="G25" i="16" s="1"/>
  <c r="Z24" i="16"/>
  <c r="Y24" i="16"/>
  <c r="X24" i="16" s="1"/>
  <c r="Q24" i="16"/>
  <c r="P24" i="16"/>
  <c r="O24" i="16"/>
  <c r="E24" i="16"/>
  <c r="Z23" i="16"/>
  <c r="I23" i="16" s="1"/>
  <c r="Y23" i="16"/>
  <c r="B23" i="16" s="1"/>
  <c r="X23" i="16"/>
  <c r="W23" i="16"/>
  <c r="V23" i="16"/>
  <c r="U23" i="16"/>
  <c r="T23" i="16"/>
  <c r="S23" i="16"/>
  <c r="R23" i="16"/>
  <c r="Q23" i="16"/>
  <c r="P23" i="16"/>
  <c r="O23" i="16"/>
  <c r="G23" i="16"/>
  <c r="F23" i="16"/>
  <c r="E23" i="16"/>
  <c r="Z22" i="16"/>
  <c r="Y22" i="16"/>
  <c r="X22" i="16" s="1"/>
  <c r="V22" i="16"/>
  <c r="S22" i="16"/>
  <c r="R22" i="16"/>
  <c r="O22" i="16"/>
  <c r="Q22" i="16" s="1"/>
  <c r="J22" i="16"/>
  <c r="I22" i="16"/>
  <c r="G22" i="16"/>
  <c r="E22" i="16"/>
  <c r="F22" i="16" s="1"/>
  <c r="Z21" i="16"/>
  <c r="Y21" i="16"/>
  <c r="B21" i="16" s="1"/>
  <c r="X21" i="16"/>
  <c r="W21" i="16"/>
  <c r="V21" i="16"/>
  <c r="U21" i="16"/>
  <c r="T21" i="16"/>
  <c r="S21" i="16"/>
  <c r="R21" i="16"/>
  <c r="P21" i="16"/>
  <c r="O21" i="16"/>
  <c r="Q21" i="16" s="1"/>
  <c r="J21" i="16"/>
  <c r="I21" i="16"/>
  <c r="E21" i="16"/>
  <c r="G21" i="16" s="1"/>
  <c r="Z20" i="16"/>
  <c r="Y20" i="16"/>
  <c r="X20" i="16" s="1"/>
  <c r="W20" i="16"/>
  <c r="V20" i="16"/>
  <c r="U20" i="16"/>
  <c r="T20" i="16"/>
  <c r="S20" i="16"/>
  <c r="R20" i="16"/>
  <c r="P20" i="16"/>
  <c r="O20" i="16"/>
  <c r="Q20" i="16" s="1"/>
  <c r="J20" i="16"/>
  <c r="I20" i="16"/>
  <c r="F20" i="16"/>
  <c r="E20" i="16"/>
  <c r="G20" i="16" s="1"/>
  <c r="B20" i="16"/>
  <c r="Z19" i="16"/>
  <c r="J19" i="16" s="1"/>
  <c r="Y19" i="16"/>
  <c r="X19" i="16"/>
  <c r="W19" i="16"/>
  <c r="V19" i="16"/>
  <c r="U19" i="16"/>
  <c r="T19" i="16"/>
  <c r="S19" i="16"/>
  <c r="R19" i="16"/>
  <c r="O19" i="16"/>
  <c r="I19" i="16"/>
  <c r="G19" i="16"/>
  <c r="F19" i="16"/>
  <c r="E19" i="16"/>
  <c r="B19" i="16"/>
  <c r="Z18" i="16"/>
  <c r="Y18" i="16"/>
  <c r="X18" i="16"/>
  <c r="R18" i="16"/>
  <c r="Q18" i="16"/>
  <c r="P18" i="16"/>
  <c r="O18" i="16"/>
  <c r="J18" i="16"/>
  <c r="I18" i="16"/>
  <c r="G18" i="16"/>
  <c r="E18" i="16"/>
  <c r="F18" i="16" s="1"/>
  <c r="Z17" i="16"/>
  <c r="I17" i="16" s="1"/>
  <c r="Y17" i="16"/>
  <c r="X17" i="16"/>
  <c r="W17" i="16"/>
  <c r="V17" i="16"/>
  <c r="O17" i="16"/>
  <c r="E17" i="16"/>
  <c r="G17" i="16" s="1"/>
  <c r="B17" i="16"/>
  <c r="Z16" i="16"/>
  <c r="Y16" i="16"/>
  <c r="X16" i="16"/>
  <c r="W16" i="16"/>
  <c r="O16" i="16"/>
  <c r="Q16" i="16" s="1"/>
  <c r="E16" i="16"/>
  <c r="B16" i="16"/>
  <c r="Z15" i="16"/>
  <c r="Y15" i="16"/>
  <c r="X15" i="16"/>
  <c r="W15" i="16"/>
  <c r="V15" i="16"/>
  <c r="U15" i="16"/>
  <c r="T15" i="16"/>
  <c r="O15" i="16"/>
  <c r="Q15" i="16" s="1"/>
  <c r="G15" i="16"/>
  <c r="F15" i="16"/>
  <c r="E15" i="16"/>
  <c r="Z14" i="16"/>
  <c r="Y14" i="16"/>
  <c r="X14" i="16"/>
  <c r="W14" i="16"/>
  <c r="V14" i="16"/>
  <c r="U14" i="16"/>
  <c r="T14" i="16"/>
  <c r="S14" i="16"/>
  <c r="R14" i="16"/>
  <c r="Q14" i="16"/>
  <c r="P14" i="16"/>
  <c r="O14" i="16"/>
  <c r="E14" i="16"/>
  <c r="B14" i="16"/>
  <c r="Z13" i="16"/>
  <c r="I13" i="16" s="1"/>
  <c r="Y13" i="16"/>
  <c r="B13" i="16" s="1"/>
  <c r="X13" i="16"/>
  <c r="W13" i="16"/>
  <c r="V13" i="16"/>
  <c r="U13" i="16"/>
  <c r="T13" i="16"/>
  <c r="S13" i="16"/>
  <c r="R13" i="16"/>
  <c r="O13" i="16"/>
  <c r="Q13" i="16" s="1"/>
  <c r="J13" i="16"/>
  <c r="G13" i="16"/>
  <c r="F13" i="16"/>
  <c r="E13" i="16"/>
  <c r="Z12" i="16"/>
  <c r="Y12" i="16"/>
  <c r="V12" i="16"/>
  <c r="U12" i="16"/>
  <c r="Q12" i="16"/>
  <c r="O12" i="16"/>
  <c r="P12" i="16" s="1"/>
  <c r="G12" i="16"/>
  <c r="E12" i="16"/>
  <c r="F12" i="16" s="1"/>
  <c r="Z11" i="16"/>
  <c r="Y11" i="16"/>
  <c r="B11" i="16" s="1"/>
  <c r="X11" i="16"/>
  <c r="W11" i="16"/>
  <c r="V11" i="16"/>
  <c r="U11" i="16"/>
  <c r="T11" i="16"/>
  <c r="S11" i="16"/>
  <c r="R11" i="16"/>
  <c r="Q11" i="16"/>
  <c r="P11" i="16"/>
  <c r="O11" i="16"/>
  <c r="J11" i="16"/>
  <c r="I11" i="16"/>
  <c r="E11" i="16"/>
  <c r="G11" i="16" s="1"/>
  <c r="Z10" i="16"/>
  <c r="Y10" i="16"/>
  <c r="X10" i="16" s="1"/>
  <c r="W10" i="16"/>
  <c r="V10" i="16"/>
  <c r="U10" i="16"/>
  <c r="T10" i="16"/>
  <c r="S10" i="16"/>
  <c r="R10" i="16"/>
  <c r="P10" i="16"/>
  <c r="O10" i="16"/>
  <c r="Q10" i="16" s="1"/>
  <c r="J10" i="16"/>
  <c r="I10" i="16"/>
  <c r="G10" i="16"/>
  <c r="F10" i="16"/>
  <c r="E10" i="16"/>
  <c r="B10" i="16"/>
  <c r="Z9" i="16"/>
  <c r="Y9" i="16"/>
  <c r="X9" i="16"/>
  <c r="W9" i="16"/>
  <c r="V9" i="16"/>
  <c r="U9" i="16"/>
  <c r="T9" i="16"/>
  <c r="S9" i="16"/>
  <c r="R9" i="16"/>
  <c r="O9" i="16"/>
  <c r="Q9" i="16" s="1"/>
  <c r="J9" i="16"/>
  <c r="I9" i="16"/>
  <c r="E9" i="16"/>
  <c r="G9" i="16" s="1"/>
  <c r="B9" i="16"/>
  <c r="Z8" i="16"/>
  <c r="Y8" i="16"/>
  <c r="Q8" i="16"/>
  <c r="P8" i="16"/>
  <c r="O8" i="16"/>
  <c r="F8" i="16"/>
  <c r="G8" i="16" s="1"/>
  <c r="E8" i="16"/>
  <c r="Z7" i="16"/>
  <c r="I7" i="16" s="1"/>
  <c r="Y7" i="16"/>
  <c r="O7" i="16"/>
  <c r="J7" i="16"/>
  <c r="G7" i="16"/>
  <c r="F7" i="16"/>
  <c r="E7" i="16"/>
  <c r="Z6" i="16"/>
  <c r="Y6" i="16"/>
  <c r="O6" i="16"/>
  <c r="Q6" i="16" s="1"/>
  <c r="J6" i="16"/>
  <c r="I6" i="16"/>
  <c r="G6" i="16"/>
  <c r="E6" i="16"/>
  <c r="F6" i="16" s="1"/>
  <c r="Z5" i="16"/>
  <c r="Y5" i="16"/>
  <c r="O5" i="16"/>
  <c r="Q5" i="16" s="1"/>
  <c r="E5" i="16"/>
  <c r="F5" i="16" s="1"/>
  <c r="M50" i="15"/>
  <c r="C50" i="15"/>
  <c r="Z49" i="15"/>
  <c r="Y49" i="15"/>
  <c r="B49" i="15" s="1"/>
  <c r="X49" i="15"/>
  <c r="W49" i="15"/>
  <c r="V49" i="15"/>
  <c r="U49" i="15"/>
  <c r="T49" i="15"/>
  <c r="S49" i="15"/>
  <c r="R49" i="15"/>
  <c r="Q49" i="15"/>
  <c r="P49" i="15"/>
  <c r="O49" i="15"/>
  <c r="J49" i="15"/>
  <c r="I49" i="15"/>
  <c r="F49" i="15"/>
  <c r="E49" i="15"/>
  <c r="G49" i="15" s="1"/>
  <c r="Z48" i="15"/>
  <c r="Y48" i="15"/>
  <c r="X48" i="15" s="1"/>
  <c r="W48" i="15"/>
  <c r="V48" i="15"/>
  <c r="U48" i="15"/>
  <c r="T48" i="15"/>
  <c r="S48" i="15"/>
  <c r="R48" i="15"/>
  <c r="O48" i="15"/>
  <c r="J48" i="15"/>
  <c r="I48" i="15"/>
  <c r="G48" i="15"/>
  <c r="E48" i="15"/>
  <c r="F48" i="15" s="1"/>
  <c r="B48" i="15"/>
  <c r="Z47" i="15"/>
  <c r="Y47" i="15"/>
  <c r="X47" i="15"/>
  <c r="W47" i="15"/>
  <c r="V47" i="15"/>
  <c r="U47" i="15"/>
  <c r="T47" i="15"/>
  <c r="S47" i="15"/>
  <c r="R47" i="15"/>
  <c r="P47" i="15"/>
  <c r="O47" i="15"/>
  <c r="Q47" i="15" s="1"/>
  <c r="J47" i="15"/>
  <c r="I47" i="15"/>
  <c r="E47" i="15"/>
  <c r="B47" i="15"/>
  <c r="Z46" i="15"/>
  <c r="Y46" i="15"/>
  <c r="X46" i="15"/>
  <c r="R46" i="15"/>
  <c r="Q46" i="15"/>
  <c r="P46" i="15"/>
  <c r="O46" i="15"/>
  <c r="E46" i="15"/>
  <c r="G46" i="15" s="1"/>
  <c r="B46" i="15"/>
  <c r="Z45" i="15"/>
  <c r="I45" i="15" s="1"/>
  <c r="Y45" i="15"/>
  <c r="X45" i="15"/>
  <c r="W45" i="15"/>
  <c r="P45" i="15"/>
  <c r="O45" i="15"/>
  <c r="Q45" i="15" s="1"/>
  <c r="J45" i="15"/>
  <c r="F45" i="15"/>
  <c r="E45" i="15"/>
  <c r="G45" i="15" s="1"/>
  <c r="B45" i="15"/>
  <c r="Z44" i="15"/>
  <c r="J44" i="15" s="1"/>
  <c r="Y44" i="15"/>
  <c r="X44" i="15"/>
  <c r="O44" i="15"/>
  <c r="Q44" i="15" s="1"/>
  <c r="I44" i="15"/>
  <c r="E44" i="15"/>
  <c r="Z43" i="15"/>
  <c r="Y43" i="15"/>
  <c r="B43" i="15" s="1"/>
  <c r="W43" i="15"/>
  <c r="V43" i="15"/>
  <c r="U43" i="15"/>
  <c r="T43" i="15"/>
  <c r="S43" i="15"/>
  <c r="R43" i="15"/>
  <c r="O43" i="15"/>
  <c r="Q43" i="15" s="1"/>
  <c r="G43" i="15"/>
  <c r="E43" i="15"/>
  <c r="F43" i="15" s="1"/>
  <c r="Z42" i="15"/>
  <c r="Y42" i="15"/>
  <c r="W42" i="15"/>
  <c r="V42" i="15"/>
  <c r="U42" i="15"/>
  <c r="S42" i="15"/>
  <c r="R42" i="15"/>
  <c r="Q42" i="15"/>
  <c r="P42" i="15"/>
  <c r="O42" i="15"/>
  <c r="E42" i="15"/>
  <c r="B42" i="15"/>
  <c r="Z41" i="15"/>
  <c r="Y41" i="15"/>
  <c r="B41" i="15" s="1"/>
  <c r="X41" i="15"/>
  <c r="W41" i="15"/>
  <c r="V41" i="15"/>
  <c r="U41" i="15"/>
  <c r="T41" i="15"/>
  <c r="S41" i="15"/>
  <c r="R41" i="15"/>
  <c r="O41" i="15"/>
  <c r="Q41" i="15" s="1"/>
  <c r="G41" i="15"/>
  <c r="F41" i="15"/>
  <c r="E41" i="15"/>
  <c r="Z40" i="15"/>
  <c r="Y40" i="15"/>
  <c r="X40" i="15" s="1"/>
  <c r="U40" i="15"/>
  <c r="T40" i="15"/>
  <c r="S40" i="15"/>
  <c r="O40" i="15"/>
  <c r="Q40" i="15" s="1"/>
  <c r="G40" i="15"/>
  <c r="E40" i="15"/>
  <c r="F40" i="15" s="1"/>
  <c r="Z39" i="15"/>
  <c r="Y39" i="15"/>
  <c r="B39" i="15" s="1"/>
  <c r="X39" i="15"/>
  <c r="W39" i="15"/>
  <c r="V39" i="15"/>
  <c r="U39" i="15"/>
  <c r="T39" i="15"/>
  <c r="S39" i="15"/>
  <c r="R39" i="15"/>
  <c r="Q39" i="15"/>
  <c r="P39" i="15"/>
  <c r="O39" i="15"/>
  <c r="J39" i="15"/>
  <c r="I39" i="15"/>
  <c r="E39" i="15"/>
  <c r="Z38" i="15"/>
  <c r="Y38" i="15"/>
  <c r="X38" i="15" s="1"/>
  <c r="W38" i="15"/>
  <c r="V38" i="15"/>
  <c r="U38" i="15"/>
  <c r="T38" i="15"/>
  <c r="S38" i="15"/>
  <c r="R38" i="15"/>
  <c r="O38" i="15"/>
  <c r="Q38" i="15" s="1"/>
  <c r="J38" i="15"/>
  <c r="I38" i="15"/>
  <c r="G38" i="15"/>
  <c r="F38" i="15"/>
  <c r="E38" i="15"/>
  <c r="B38" i="15"/>
  <c r="Z37" i="15"/>
  <c r="Y37" i="15"/>
  <c r="X37" i="15"/>
  <c r="W37" i="15"/>
  <c r="V37" i="15"/>
  <c r="U37" i="15"/>
  <c r="T37" i="15"/>
  <c r="S37" i="15"/>
  <c r="R37" i="15"/>
  <c r="O37" i="15"/>
  <c r="Q37" i="15" s="1"/>
  <c r="J37" i="15"/>
  <c r="I37" i="15"/>
  <c r="E37" i="15"/>
  <c r="B37" i="15"/>
  <c r="Z36" i="15"/>
  <c r="Y36" i="15"/>
  <c r="X36" i="15" s="1"/>
  <c r="Q36" i="15"/>
  <c r="P36" i="15"/>
  <c r="O36" i="15"/>
  <c r="J36" i="15"/>
  <c r="I36" i="15"/>
  <c r="G36" i="15"/>
  <c r="E36" i="15"/>
  <c r="F36" i="15" s="1"/>
  <c r="B36" i="15"/>
  <c r="Z35" i="15"/>
  <c r="Y35" i="15"/>
  <c r="O35" i="15"/>
  <c r="Q35" i="15" s="1"/>
  <c r="G35" i="15"/>
  <c r="E35" i="15"/>
  <c r="F35" i="15" s="1"/>
  <c r="Z34" i="15"/>
  <c r="Y34" i="15"/>
  <c r="X34" i="15"/>
  <c r="W34" i="15"/>
  <c r="V34" i="15"/>
  <c r="U34" i="15"/>
  <c r="T34" i="15"/>
  <c r="O34" i="15"/>
  <c r="Q34" i="15" s="1"/>
  <c r="J34" i="15"/>
  <c r="I34" i="15"/>
  <c r="G34" i="15"/>
  <c r="E34" i="15"/>
  <c r="F34" i="15" s="1"/>
  <c r="B34" i="15"/>
  <c r="Z33" i="15"/>
  <c r="Y33" i="15"/>
  <c r="X33" i="15"/>
  <c r="S33" i="15"/>
  <c r="O33" i="15"/>
  <c r="Q33" i="15" s="1"/>
  <c r="G33" i="15"/>
  <c r="F33" i="15"/>
  <c r="E33" i="15"/>
  <c r="Z32" i="15"/>
  <c r="Y32" i="15"/>
  <c r="B32" i="15" s="1"/>
  <c r="W32" i="15"/>
  <c r="V32" i="15"/>
  <c r="U32" i="15"/>
  <c r="T32" i="15"/>
  <c r="S32" i="15"/>
  <c r="R32" i="15"/>
  <c r="Q32" i="15"/>
  <c r="P32" i="15"/>
  <c r="O32" i="15"/>
  <c r="E32" i="15"/>
  <c r="Z31" i="15"/>
  <c r="I31" i="15" s="1"/>
  <c r="Y31" i="15"/>
  <c r="B31" i="15" s="1"/>
  <c r="X31" i="15"/>
  <c r="W31" i="15"/>
  <c r="V31" i="15"/>
  <c r="U31" i="15"/>
  <c r="T31" i="15"/>
  <c r="S31" i="15"/>
  <c r="R31" i="15"/>
  <c r="O31" i="15"/>
  <c r="J31" i="15"/>
  <c r="G31" i="15"/>
  <c r="F31" i="15"/>
  <c r="E31" i="15"/>
  <c r="Z30" i="15"/>
  <c r="Y30" i="15"/>
  <c r="X30" i="15"/>
  <c r="V30" i="15"/>
  <c r="U30" i="15"/>
  <c r="T30" i="15"/>
  <c r="S30" i="15"/>
  <c r="R30" i="15"/>
  <c r="Q30" i="15"/>
  <c r="O30" i="15"/>
  <c r="P30" i="15" s="1"/>
  <c r="J30" i="15"/>
  <c r="I30" i="15"/>
  <c r="G30" i="15"/>
  <c r="E30" i="15"/>
  <c r="F30" i="15" s="1"/>
  <c r="Z29" i="15"/>
  <c r="Y29" i="15"/>
  <c r="B29" i="15" s="1"/>
  <c r="X29" i="15"/>
  <c r="W29" i="15"/>
  <c r="V29" i="15"/>
  <c r="U29" i="15"/>
  <c r="T29" i="15"/>
  <c r="S29" i="15"/>
  <c r="R29" i="15"/>
  <c r="Q29" i="15"/>
  <c r="O29" i="15"/>
  <c r="P29" i="15" s="1"/>
  <c r="J29" i="15"/>
  <c r="I29" i="15"/>
  <c r="E29" i="15"/>
  <c r="Z28" i="15"/>
  <c r="Y28" i="15"/>
  <c r="X28" i="15" s="1"/>
  <c r="W28" i="15"/>
  <c r="V28" i="15"/>
  <c r="U28" i="15"/>
  <c r="T28" i="15"/>
  <c r="S28" i="15"/>
  <c r="R28" i="15"/>
  <c r="Q28" i="15"/>
  <c r="O28" i="15"/>
  <c r="P28" i="15" s="1"/>
  <c r="J28" i="15"/>
  <c r="I28" i="15"/>
  <c r="F28" i="15"/>
  <c r="E28" i="15"/>
  <c r="G28" i="15" s="1"/>
  <c r="B28" i="15"/>
  <c r="Z27" i="15"/>
  <c r="I27" i="15" s="1"/>
  <c r="Y27" i="15"/>
  <c r="V27" i="15" s="1"/>
  <c r="X27" i="15"/>
  <c r="W27" i="15"/>
  <c r="U27" i="15"/>
  <c r="T27" i="15"/>
  <c r="S27" i="15"/>
  <c r="R27" i="15"/>
  <c r="P27" i="15"/>
  <c r="O27" i="15"/>
  <c r="Q27" i="15" s="1"/>
  <c r="J27" i="15"/>
  <c r="E27" i="15"/>
  <c r="G27" i="15" s="1"/>
  <c r="B27" i="15"/>
  <c r="Z26" i="15"/>
  <c r="Y26" i="15"/>
  <c r="R26" i="15"/>
  <c r="Q26" i="15"/>
  <c r="P26" i="15"/>
  <c r="O26" i="15"/>
  <c r="J26" i="15"/>
  <c r="I26" i="15"/>
  <c r="E26" i="15"/>
  <c r="Z25" i="15"/>
  <c r="Y25" i="15"/>
  <c r="O25" i="15"/>
  <c r="E25" i="15"/>
  <c r="Z24" i="15"/>
  <c r="Y24" i="15"/>
  <c r="X24" i="15"/>
  <c r="W24" i="15"/>
  <c r="V24" i="15"/>
  <c r="U24" i="15"/>
  <c r="T24" i="15"/>
  <c r="O24" i="15"/>
  <c r="Q24" i="15" s="1"/>
  <c r="G24" i="15"/>
  <c r="E24" i="15"/>
  <c r="F24" i="15" s="1"/>
  <c r="Z23" i="15"/>
  <c r="Y23" i="15"/>
  <c r="W23" i="15"/>
  <c r="V23" i="15"/>
  <c r="U23" i="15"/>
  <c r="S23" i="15"/>
  <c r="R23" i="15"/>
  <c r="O23" i="15"/>
  <c r="Q23" i="15" s="1"/>
  <c r="F23" i="15"/>
  <c r="E23" i="15"/>
  <c r="G23" i="15" s="1"/>
  <c r="Z22" i="15"/>
  <c r="Y22" i="15"/>
  <c r="X22" i="15"/>
  <c r="W22" i="15"/>
  <c r="R22" i="15"/>
  <c r="Q22" i="15"/>
  <c r="P22" i="15"/>
  <c r="O22" i="15"/>
  <c r="E22" i="15"/>
  <c r="Z21" i="15"/>
  <c r="Y21" i="15"/>
  <c r="B21" i="15" s="1"/>
  <c r="X21" i="15"/>
  <c r="W21" i="15"/>
  <c r="V21" i="15"/>
  <c r="U21" i="15"/>
  <c r="T21" i="15"/>
  <c r="S21" i="15"/>
  <c r="R21" i="15"/>
  <c r="Q21" i="15"/>
  <c r="P21" i="15"/>
  <c r="O21" i="15"/>
  <c r="G21" i="15"/>
  <c r="F21" i="15"/>
  <c r="E21" i="15"/>
  <c r="Z20" i="15"/>
  <c r="Y20" i="15"/>
  <c r="X20" i="15"/>
  <c r="U20" i="15"/>
  <c r="T20" i="15"/>
  <c r="S20" i="15"/>
  <c r="R20" i="15"/>
  <c r="Q20" i="15"/>
  <c r="P20" i="15"/>
  <c r="O20" i="15"/>
  <c r="G20" i="15"/>
  <c r="E20" i="15"/>
  <c r="F20" i="15" s="1"/>
  <c r="Z19" i="15"/>
  <c r="Y19" i="15"/>
  <c r="B19" i="15" s="1"/>
  <c r="X19" i="15"/>
  <c r="W19" i="15"/>
  <c r="V19" i="15"/>
  <c r="U19" i="15"/>
  <c r="T19" i="15"/>
  <c r="S19" i="15"/>
  <c r="R19" i="15"/>
  <c r="O19" i="15"/>
  <c r="J19" i="15"/>
  <c r="I19" i="15"/>
  <c r="G19" i="15"/>
  <c r="F19" i="15"/>
  <c r="E19" i="15"/>
  <c r="Z18" i="15"/>
  <c r="Y18" i="15"/>
  <c r="X18" i="15" s="1"/>
  <c r="W18" i="15"/>
  <c r="V18" i="15"/>
  <c r="U18" i="15"/>
  <c r="T18" i="15"/>
  <c r="S18" i="15"/>
  <c r="R18" i="15"/>
  <c r="Q18" i="15"/>
  <c r="P18" i="15"/>
  <c r="O18" i="15"/>
  <c r="J18" i="15"/>
  <c r="I18" i="15"/>
  <c r="F18" i="15"/>
  <c r="E18" i="15"/>
  <c r="G18" i="15" s="1"/>
  <c r="B18" i="15"/>
  <c r="Z17" i="15"/>
  <c r="J17" i="15" s="1"/>
  <c r="Y17" i="15"/>
  <c r="V17" i="15" s="1"/>
  <c r="X17" i="15"/>
  <c r="W17" i="15"/>
  <c r="U17" i="15"/>
  <c r="T17" i="15"/>
  <c r="S17" i="15"/>
  <c r="R17" i="15"/>
  <c r="O17" i="15"/>
  <c r="I17" i="15"/>
  <c r="G17" i="15"/>
  <c r="F17" i="15"/>
  <c r="E17" i="15"/>
  <c r="B17" i="15"/>
  <c r="Z16" i="15"/>
  <c r="Y16" i="15"/>
  <c r="X16" i="15" s="1"/>
  <c r="R16" i="15"/>
  <c r="Q16" i="15"/>
  <c r="P16" i="15"/>
  <c r="O16" i="15"/>
  <c r="J16" i="15"/>
  <c r="I16" i="15"/>
  <c r="G16" i="15"/>
  <c r="E16" i="15"/>
  <c r="F16" i="15" s="1"/>
  <c r="Z15" i="15"/>
  <c r="Y15" i="15"/>
  <c r="X15" i="15"/>
  <c r="W15" i="15"/>
  <c r="V15" i="15"/>
  <c r="O15" i="15"/>
  <c r="G15" i="15"/>
  <c r="E15" i="15"/>
  <c r="F15" i="15" s="1"/>
  <c r="B15" i="15"/>
  <c r="Z14" i="15"/>
  <c r="I14" i="15" s="1"/>
  <c r="Y14" i="15"/>
  <c r="O14" i="15"/>
  <c r="Q14" i="15" s="1"/>
  <c r="J14" i="15"/>
  <c r="E14" i="15"/>
  <c r="F14" i="15" s="1"/>
  <c r="Z13" i="15"/>
  <c r="Y13" i="15"/>
  <c r="O13" i="15"/>
  <c r="Q13" i="15" s="1"/>
  <c r="G13" i="15"/>
  <c r="F13" i="15"/>
  <c r="E13" i="15"/>
  <c r="Z12" i="15"/>
  <c r="Y12" i="15"/>
  <c r="R12" i="15"/>
  <c r="U12" i="15" s="1"/>
  <c r="Q12" i="15"/>
  <c r="P12" i="15"/>
  <c r="O12" i="15"/>
  <c r="E12" i="15"/>
  <c r="Z11" i="15"/>
  <c r="Y11" i="15"/>
  <c r="P11" i="15"/>
  <c r="O11" i="15"/>
  <c r="Q11" i="15" s="1"/>
  <c r="F11" i="15"/>
  <c r="G11" i="15" s="1"/>
  <c r="E11" i="15"/>
  <c r="Z10" i="15"/>
  <c r="Y10" i="15"/>
  <c r="Q10" i="15"/>
  <c r="P10" i="15"/>
  <c r="O10" i="15"/>
  <c r="G10" i="15"/>
  <c r="E10" i="15"/>
  <c r="F10" i="15" s="1"/>
  <c r="Z9" i="15"/>
  <c r="Y9" i="15"/>
  <c r="T9" i="15"/>
  <c r="V9" i="15" s="1"/>
  <c r="W9" i="15" s="1"/>
  <c r="R9" i="15"/>
  <c r="U9" i="15" s="1"/>
  <c r="Q9" i="15"/>
  <c r="P9" i="15"/>
  <c r="O9" i="15"/>
  <c r="J9" i="15"/>
  <c r="I9" i="15"/>
  <c r="G9" i="15"/>
  <c r="F9" i="15"/>
  <c r="E9" i="15"/>
  <c r="Z8" i="15"/>
  <c r="Y8" i="15"/>
  <c r="O8" i="15"/>
  <c r="P8" i="15" s="1"/>
  <c r="J8" i="15"/>
  <c r="I8" i="15"/>
  <c r="E8" i="15"/>
  <c r="Z7" i="15"/>
  <c r="Y7" i="15"/>
  <c r="T7" i="15"/>
  <c r="O7" i="15"/>
  <c r="Q7" i="15" s="1"/>
  <c r="E7" i="15"/>
  <c r="Z6" i="15"/>
  <c r="Y6" i="15"/>
  <c r="Q6" i="15"/>
  <c r="P6" i="15"/>
  <c r="O6" i="15"/>
  <c r="I6" i="15"/>
  <c r="G6" i="15"/>
  <c r="F6" i="15"/>
  <c r="E6" i="15"/>
  <c r="Z5" i="15"/>
  <c r="Y5" i="15"/>
  <c r="P5" i="15"/>
  <c r="O5" i="15"/>
  <c r="Q5" i="15" s="1"/>
  <c r="J5" i="15"/>
  <c r="F5" i="15"/>
  <c r="E5" i="15"/>
  <c r="M50" i="14"/>
  <c r="C50" i="14"/>
  <c r="Z49" i="14"/>
  <c r="I49" i="14" s="1"/>
  <c r="Y49" i="14"/>
  <c r="B49" i="14" s="1"/>
  <c r="X49" i="14"/>
  <c r="W49" i="14"/>
  <c r="V49" i="14"/>
  <c r="U49" i="14"/>
  <c r="T49" i="14"/>
  <c r="S49" i="14"/>
  <c r="R49" i="14"/>
  <c r="Q49" i="14"/>
  <c r="P49" i="14"/>
  <c r="O49" i="14"/>
  <c r="J49" i="14"/>
  <c r="G49" i="14"/>
  <c r="F49" i="14"/>
  <c r="E49" i="14"/>
  <c r="Z48" i="14"/>
  <c r="Y48" i="14"/>
  <c r="X48" i="14"/>
  <c r="V48" i="14"/>
  <c r="U48" i="14"/>
  <c r="T48" i="14"/>
  <c r="S48" i="14"/>
  <c r="R48" i="14"/>
  <c r="P48" i="14"/>
  <c r="O48" i="14"/>
  <c r="Q48" i="14" s="1"/>
  <c r="J48" i="14"/>
  <c r="I48" i="14"/>
  <c r="G48" i="14"/>
  <c r="E48" i="14"/>
  <c r="F48" i="14" s="1"/>
  <c r="Z47" i="14"/>
  <c r="Y47" i="14"/>
  <c r="B47" i="14" s="1"/>
  <c r="X47" i="14"/>
  <c r="W47" i="14"/>
  <c r="V47" i="14"/>
  <c r="U47" i="14"/>
  <c r="T47" i="14"/>
  <c r="S47" i="14"/>
  <c r="R47" i="14"/>
  <c r="O47" i="14"/>
  <c r="J47" i="14"/>
  <c r="I47" i="14"/>
  <c r="F47" i="14"/>
  <c r="E47" i="14"/>
  <c r="G47" i="14" s="1"/>
  <c r="Z46" i="14"/>
  <c r="Y46" i="14"/>
  <c r="X46" i="14" s="1"/>
  <c r="W46" i="14"/>
  <c r="V46" i="14"/>
  <c r="U46" i="14"/>
  <c r="T46" i="14"/>
  <c r="S46" i="14"/>
  <c r="R46" i="14"/>
  <c r="O46" i="14"/>
  <c r="Q46" i="14" s="1"/>
  <c r="J46" i="14"/>
  <c r="I46" i="14"/>
  <c r="F46" i="14"/>
  <c r="E46" i="14"/>
  <c r="G46" i="14" s="1"/>
  <c r="B46" i="14"/>
  <c r="Z45" i="14"/>
  <c r="Y45" i="14"/>
  <c r="V45" i="14" s="1"/>
  <c r="X45" i="14"/>
  <c r="W45" i="14"/>
  <c r="U45" i="14"/>
  <c r="T45" i="14"/>
  <c r="S45" i="14"/>
  <c r="R45" i="14"/>
  <c r="O45" i="14"/>
  <c r="Q45" i="14" s="1"/>
  <c r="E45" i="14"/>
  <c r="B45" i="14"/>
  <c r="Z44" i="14"/>
  <c r="Y44" i="14"/>
  <c r="X44" i="14"/>
  <c r="Q44" i="14"/>
  <c r="P44" i="14"/>
  <c r="O44" i="14"/>
  <c r="G44" i="14"/>
  <c r="F44" i="14"/>
  <c r="E44" i="14"/>
  <c r="B44" i="14"/>
  <c r="Z43" i="14"/>
  <c r="I43" i="14" s="1"/>
  <c r="Y43" i="14"/>
  <c r="X43" i="14" s="1"/>
  <c r="V43" i="14"/>
  <c r="P43" i="14"/>
  <c r="O43" i="14"/>
  <c r="Q43" i="14" s="1"/>
  <c r="J43" i="14"/>
  <c r="G43" i="14"/>
  <c r="F43" i="14"/>
  <c r="E43" i="14"/>
  <c r="B43" i="14"/>
  <c r="Z42" i="14"/>
  <c r="I42" i="14" s="1"/>
  <c r="Y42" i="14"/>
  <c r="X42" i="14" s="1"/>
  <c r="W42" i="14"/>
  <c r="U42" i="14"/>
  <c r="T42" i="14"/>
  <c r="O42" i="14"/>
  <c r="Q42" i="14" s="1"/>
  <c r="J42" i="14"/>
  <c r="E42" i="14"/>
  <c r="G42" i="14" s="1"/>
  <c r="B42" i="14"/>
  <c r="Z41" i="14"/>
  <c r="Y41" i="14"/>
  <c r="V41" i="14" s="1"/>
  <c r="U41" i="14"/>
  <c r="S41" i="14"/>
  <c r="R41" i="14"/>
  <c r="O41" i="14"/>
  <c r="Q41" i="14" s="1"/>
  <c r="G41" i="14"/>
  <c r="F41" i="14"/>
  <c r="E41" i="14"/>
  <c r="Z40" i="14"/>
  <c r="Y40" i="14"/>
  <c r="X40" i="14" s="1"/>
  <c r="V40" i="14"/>
  <c r="U40" i="14"/>
  <c r="T40" i="14"/>
  <c r="S40" i="14"/>
  <c r="R40" i="14"/>
  <c r="Q40" i="14"/>
  <c r="P40" i="14"/>
  <c r="O40" i="14"/>
  <c r="E40" i="14"/>
  <c r="B40" i="14"/>
  <c r="Z39" i="14"/>
  <c r="Y39" i="14"/>
  <c r="O39" i="14"/>
  <c r="G39" i="14"/>
  <c r="F39" i="14"/>
  <c r="E39" i="14"/>
  <c r="Z38" i="14"/>
  <c r="J38" i="14" s="1"/>
  <c r="Y38" i="14"/>
  <c r="B38" i="14" s="1"/>
  <c r="X38" i="14"/>
  <c r="W38" i="14"/>
  <c r="V38" i="14"/>
  <c r="U38" i="14"/>
  <c r="T38" i="14"/>
  <c r="S38" i="14"/>
  <c r="R38" i="14"/>
  <c r="Q38" i="14"/>
  <c r="P38" i="14"/>
  <c r="O38" i="14"/>
  <c r="G38" i="14"/>
  <c r="E38" i="14"/>
  <c r="F38" i="14" s="1"/>
  <c r="Z37" i="14"/>
  <c r="Y37" i="14"/>
  <c r="B37" i="14" s="1"/>
  <c r="X37" i="14"/>
  <c r="W37" i="14"/>
  <c r="V37" i="14"/>
  <c r="U37" i="14"/>
  <c r="T37" i="14"/>
  <c r="S37" i="14"/>
  <c r="R37" i="14"/>
  <c r="P37" i="14"/>
  <c r="O37" i="14"/>
  <c r="Q37" i="14" s="1"/>
  <c r="J37" i="14"/>
  <c r="I37" i="14"/>
  <c r="G37" i="14"/>
  <c r="F37" i="14"/>
  <c r="E37" i="14"/>
  <c r="Z36" i="14"/>
  <c r="Y36" i="14"/>
  <c r="X36" i="14" s="1"/>
  <c r="W36" i="14"/>
  <c r="V36" i="14"/>
  <c r="U36" i="14"/>
  <c r="T36" i="14"/>
  <c r="S36" i="14"/>
  <c r="R36" i="14"/>
  <c r="Q36" i="14"/>
  <c r="P36" i="14"/>
  <c r="O36" i="14"/>
  <c r="J36" i="14"/>
  <c r="I36" i="14"/>
  <c r="G36" i="14"/>
  <c r="E36" i="14"/>
  <c r="F36" i="14" s="1"/>
  <c r="B36" i="14"/>
  <c r="Z35" i="14"/>
  <c r="Y35" i="14"/>
  <c r="V35" i="14" s="1"/>
  <c r="X35" i="14"/>
  <c r="W35" i="14"/>
  <c r="U35" i="14"/>
  <c r="T35" i="14"/>
  <c r="S35" i="14"/>
  <c r="R35" i="14"/>
  <c r="Q35" i="14"/>
  <c r="P35" i="14"/>
  <c r="O35" i="14"/>
  <c r="E35" i="14"/>
  <c r="B35" i="14"/>
  <c r="Z34" i="14"/>
  <c r="J34" i="14" s="1"/>
  <c r="Y34" i="14"/>
  <c r="X34" i="14"/>
  <c r="R34" i="14"/>
  <c r="Q34" i="14"/>
  <c r="O34" i="14"/>
  <c r="P34" i="14" s="1"/>
  <c r="I34" i="14"/>
  <c r="E34" i="14"/>
  <c r="G34" i="14" s="1"/>
  <c r="Z33" i="14"/>
  <c r="Y33" i="14"/>
  <c r="W33" i="14"/>
  <c r="V33" i="14"/>
  <c r="P33" i="14"/>
  <c r="O33" i="14"/>
  <c r="Q33" i="14" s="1"/>
  <c r="J33" i="14"/>
  <c r="I33" i="14"/>
  <c r="G33" i="14"/>
  <c r="F33" i="14"/>
  <c r="E33" i="14"/>
  <c r="Z32" i="14"/>
  <c r="Y32" i="14"/>
  <c r="X32" i="14"/>
  <c r="W32" i="14"/>
  <c r="V32" i="14"/>
  <c r="U32" i="14"/>
  <c r="T32" i="14"/>
  <c r="O32" i="14"/>
  <c r="Q32" i="14" s="1"/>
  <c r="J32" i="14"/>
  <c r="I32" i="14"/>
  <c r="E32" i="14"/>
  <c r="B32" i="14"/>
  <c r="Z31" i="14"/>
  <c r="Y31" i="14"/>
  <c r="X31" i="14"/>
  <c r="O31" i="14"/>
  <c r="Q31" i="14" s="1"/>
  <c r="G31" i="14"/>
  <c r="E31" i="14"/>
  <c r="F31" i="14" s="1"/>
  <c r="Z30" i="14"/>
  <c r="Y30" i="14"/>
  <c r="T30" i="14"/>
  <c r="R30" i="14"/>
  <c r="Q30" i="14"/>
  <c r="P30" i="14"/>
  <c r="O30" i="14"/>
  <c r="E30" i="14"/>
  <c r="Z29" i="14"/>
  <c r="Y29" i="14"/>
  <c r="B29" i="14" s="1"/>
  <c r="X29" i="14"/>
  <c r="W29" i="14"/>
  <c r="V29" i="14"/>
  <c r="U29" i="14"/>
  <c r="T29" i="14"/>
  <c r="S29" i="14"/>
  <c r="R29" i="14"/>
  <c r="O29" i="14"/>
  <c r="Q29" i="14" s="1"/>
  <c r="G29" i="14"/>
  <c r="F29" i="14"/>
  <c r="E29" i="14"/>
  <c r="Z28" i="14"/>
  <c r="Y28" i="14"/>
  <c r="B28" i="14" s="1"/>
  <c r="X28" i="14"/>
  <c r="W28" i="14"/>
  <c r="V28" i="14"/>
  <c r="U28" i="14"/>
  <c r="T28" i="14"/>
  <c r="S28" i="14"/>
  <c r="R28" i="14"/>
  <c r="O28" i="14"/>
  <c r="J28" i="14"/>
  <c r="I28" i="14"/>
  <c r="G28" i="14"/>
  <c r="E28" i="14"/>
  <c r="F28" i="14" s="1"/>
  <c r="Z27" i="14"/>
  <c r="Y27" i="14"/>
  <c r="B27" i="14" s="1"/>
  <c r="X27" i="14"/>
  <c r="W27" i="14"/>
  <c r="V27" i="14"/>
  <c r="U27" i="14"/>
  <c r="T27" i="14"/>
  <c r="S27" i="14"/>
  <c r="R27" i="14"/>
  <c r="P27" i="14"/>
  <c r="O27" i="14"/>
  <c r="Q27" i="14" s="1"/>
  <c r="J27" i="14"/>
  <c r="I27" i="14"/>
  <c r="E27" i="14"/>
  <c r="Z26" i="14"/>
  <c r="Y26" i="14"/>
  <c r="X26" i="14" s="1"/>
  <c r="V26" i="14"/>
  <c r="U26" i="14"/>
  <c r="T26" i="14"/>
  <c r="S26" i="14"/>
  <c r="R26" i="14"/>
  <c r="Q26" i="14"/>
  <c r="O26" i="14"/>
  <c r="P26" i="14" s="1"/>
  <c r="J26" i="14"/>
  <c r="I26" i="14"/>
  <c r="E26" i="14"/>
  <c r="B26" i="14"/>
  <c r="Z25" i="14"/>
  <c r="J25" i="14" s="1"/>
  <c r="Y25" i="14"/>
  <c r="V25" i="14" s="1"/>
  <c r="X25" i="14"/>
  <c r="W25" i="14"/>
  <c r="U25" i="14"/>
  <c r="T25" i="14"/>
  <c r="S25" i="14"/>
  <c r="R25" i="14"/>
  <c r="O25" i="14"/>
  <c r="Q25" i="14" s="1"/>
  <c r="E25" i="14"/>
  <c r="B25" i="14"/>
  <c r="Z24" i="14"/>
  <c r="Y24" i="14"/>
  <c r="Q24" i="14"/>
  <c r="O24" i="14"/>
  <c r="P24" i="14" s="1"/>
  <c r="J24" i="14"/>
  <c r="I24" i="14"/>
  <c r="G24" i="14"/>
  <c r="F24" i="14"/>
  <c r="E24" i="14"/>
  <c r="Z23" i="14"/>
  <c r="Y23" i="14"/>
  <c r="X23" i="14" s="1"/>
  <c r="V23" i="14"/>
  <c r="P23" i="14"/>
  <c r="O23" i="14"/>
  <c r="Q23" i="14" s="1"/>
  <c r="G23" i="14"/>
  <c r="E23" i="14"/>
  <c r="F23" i="14" s="1"/>
  <c r="B23" i="14"/>
  <c r="Z22" i="14"/>
  <c r="Y22" i="14"/>
  <c r="W22" i="14"/>
  <c r="O22" i="14"/>
  <c r="Q22" i="14" s="1"/>
  <c r="E22" i="14"/>
  <c r="Z21" i="14"/>
  <c r="Y21" i="14"/>
  <c r="X21" i="14" s="1"/>
  <c r="O21" i="14"/>
  <c r="Q21" i="14" s="1"/>
  <c r="E21" i="14"/>
  <c r="B21" i="14"/>
  <c r="Z20" i="14"/>
  <c r="Y20" i="14"/>
  <c r="X20" i="14"/>
  <c r="W20" i="14"/>
  <c r="V20" i="14"/>
  <c r="U20" i="14"/>
  <c r="T20" i="14"/>
  <c r="S20" i="14"/>
  <c r="R20" i="14"/>
  <c r="Q20" i="14"/>
  <c r="P20" i="14"/>
  <c r="O20" i="14"/>
  <c r="E20" i="14"/>
  <c r="B20" i="14"/>
  <c r="Z19" i="14"/>
  <c r="I19" i="14" s="1"/>
  <c r="Y19" i="14"/>
  <c r="W19" i="14"/>
  <c r="V19" i="14"/>
  <c r="U19" i="14"/>
  <c r="P19" i="14"/>
  <c r="O19" i="14"/>
  <c r="Q19" i="14" s="1"/>
  <c r="J19" i="14"/>
  <c r="F19" i="14"/>
  <c r="E19" i="14"/>
  <c r="G19" i="14" s="1"/>
  <c r="Z18" i="14"/>
  <c r="J18" i="14" s="1"/>
  <c r="Y18" i="14"/>
  <c r="X18" i="14"/>
  <c r="Q18" i="14"/>
  <c r="P18" i="14"/>
  <c r="O18" i="14"/>
  <c r="G18" i="14"/>
  <c r="E18" i="14"/>
  <c r="F18" i="14" s="1"/>
  <c r="Z17" i="14"/>
  <c r="Y17" i="14"/>
  <c r="B17" i="14" s="1"/>
  <c r="X17" i="14"/>
  <c r="W17" i="14"/>
  <c r="V17" i="14"/>
  <c r="U17" i="14"/>
  <c r="T17" i="14"/>
  <c r="S17" i="14"/>
  <c r="R17" i="14"/>
  <c r="O17" i="14"/>
  <c r="J17" i="14"/>
  <c r="I17" i="14"/>
  <c r="G17" i="14"/>
  <c r="F17" i="14"/>
  <c r="E17" i="14"/>
  <c r="Z16" i="14"/>
  <c r="Y16" i="14"/>
  <c r="X16" i="14" s="1"/>
  <c r="V16" i="14"/>
  <c r="U16" i="14"/>
  <c r="T16" i="14"/>
  <c r="S16" i="14"/>
  <c r="R16" i="14"/>
  <c r="O16" i="14"/>
  <c r="Q16" i="14" s="1"/>
  <c r="J16" i="14"/>
  <c r="I16" i="14"/>
  <c r="E16" i="14"/>
  <c r="G16" i="14" s="1"/>
  <c r="B16" i="14"/>
  <c r="Z15" i="14"/>
  <c r="I15" i="14" s="1"/>
  <c r="Y15" i="14"/>
  <c r="X15" i="14" s="1"/>
  <c r="W15" i="14"/>
  <c r="U15" i="14"/>
  <c r="T15" i="14"/>
  <c r="S15" i="14"/>
  <c r="R15" i="14"/>
  <c r="P15" i="14"/>
  <c r="O15" i="14"/>
  <c r="Q15" i="14" s="1"/>
  <c r="J15" i="14"/>
  <c r="F15" i="14"/>
  <c r="E15" i="14"/>
  <c r="G15" i="14" s="1"/>
  <c r="B15" i="14"/>
  <c r="Z14" i="14"/>
  <c r="Y14" i="14"/>
  <c r="Q14" i="14"/>
  <c r="P14" i="14"/>
  <c r="O14" i="14"/>
  <c r="F14" i="14"/>
  <c r="E14" i="14"/>
  <c r="G14" i="14" s="1"/>
  <c r="Z13" i="14"/>
  <c r="Y13" i="14"/>
  <c r="W13" i="14"/>
  <c r="V13" i="14"/>
  <c r="S13" i="14"/>
  <c r="O13" i="14"/>
  <c r="J13" i="14"/>
  <c r="I13" i="14"/>
  <c r="G13" i="14"/>
  <c r="F13" i="14"/>
  <c r="E13" i="14"/>
  <c r="Z12" i="14"/>
  <c r="Y12" i="14"/>
  <c r="X12" i="14"/>
  <c r="W12" i="14"/>
  <c r="V12" i="14"/>
  <c r="U12" i="14"/>
  <c r="T12" i="14"/>
  <c r="O12" i="14"/>
  <c r="J12" i="14"/>
  <c r="I12" i="14"/>
  <c r="G12" i="14"/>
  <c r="F12" i="14"/>
  <c r="E12" i="14"/>
  <c r="B12" i="14"/>
  <c r="Z11" i="14"/>
  <c r="J11" i="14" s="1"/>
  <c r="Y11" i="14"/>
  <c r="S11" i="14"/>
  <c r="X11" i="14" s="1"/>
  <c r="O11" i="14"/>
  <c r="I11" i="14"/>
  <c r="G11" i="14"/>
  <c r="E11" i="14"/>
  <c r="F11" i="14" s="1"/>
  <c r="Z10" i="14"/>
  <c r="J10" i="14" s="1"/>
  <c r="Y10" i="14"/>
  <c r="Q10" i="14"/>
  <c r="P10" i="14"/>
  <c r="O10" i="14"/>
  <c r="I10" i="14"/>
  <c r="E10" i="14"/>
  <c r="Z9" i="14"/>
  <c r="Y9" i="14"/>
  <c r="P9" i="14"/>
  <c r="O9" i="14"/>
  <c r="Q9" i="14" s="1"/>
  <c r="F9" i="14"/>
  <c r="E9" i="14"/>
  <c r="G9" i="14" s="1"/>
  <c r="Z8" i="14"/>
  <c r="S8" i="14" s="1"/>
  <c r="X8" i="14" s="1"/>
  <c r="Y8" i="14"/>
  <c r="O8" i="14"/>
  <c r="E8" i="14"/>
  <c r="F8" i="14" s="1"/>
  <c r="G8" i="14" s="1"/>
  <c r="Z7" i="14"/>
  <c r="Y7" i="14"/>
  <c r="O7" i="14"/>
  <c r="Q7" i="14" s="1"/>
  <c r="J7" i="14"/>
  <c r="I7" i="14"/>
  <c r="E7" i="14"/>
  <c r="Z6" i="14"/>
  <c r="Y6" i="14"/>
  <c r="O6" i="14"/>
  <c r="Q6" i="14" s="1"/>
  <c r="J6" i="14"/>
  <c r="I6" i="14"/>
  <c r="E6" i="14"/>
  <c r="Z5" i="14"/>
  <c r="Y5" i="14"/>
  <c r="O5" i="14"/>
  <c r="I5" i="14"/>
  <c r="F5" i="14"/>
  <c r="E5" i="14"/>
  <c r="M50" i="13"/>
  <c r="C50" i="13"/>
  <c r="Z49" i="13"/>
  <c r="J49" i="13" s="1"/>
  <c r="Y49" i="13"/>
  <c r="X49" i="13"/>
  <c r="W49" i="13"/>
  <c r="V49" i="13"/>
  <c r="U49" i="13"/>
  <c r="T49" i="13"/>
  <c r="S49" i="13"/>
  <c r="R49" i="13"/>
  <c r="O49" i="13"/>
  <c r="I49" i="13"/>
  <c r="G49" i="13"/>
  <c r="F49" i="13"/>
  <c r="E49" i="13"/>
  <c r="B49" i="13"/>
  <c r="Z48" i="13"/>
  <c r="Y48" i="13"/>
  <c r="Q48" i="13"/>
  <c r="P48" i="13"/>
  <c r="O48" i="13"/>
  <c r="F48" i="13"/>
  <c r="E48" i="13"/>
  <c r="G48" i="13" s="1"/>
  <c r="Z47" i="13"/>
  <c r="Y47" i="13"/>
  <c r="O47" i="13"/>
  <c r="F47" i="13"/>
  <c r="E47" i="13"/>
  <c r="G47" i="13" s="1"/>
  <c r="Z46" i="13"/>
  <c r="J46" i="13" s="1"/>
  <c r="Y46" i="13"/>
  <c r="X46" i="13"/>
  <c r="V46" i="13"/>
  <c r="U46" i="13"/>
  <c r="T46" i="13"/>
  <c r="S46" i="13"/>
  <c r="R46" i="13"/>
  <c r="Q46" i="13"/>
  <c r="P46" i="13"/>
  <c r="O46" i="13"/>
  <c r="G46" i="13"/>
  <c r="F46" i="13"/>
  <c r="E46" i="13"/>
  <c r="Z45" i="13"/>
  <c r="Y45" i="13"/>
  <c r="W45" i="13"/>
  <c r="V45" i="13"/>
  <c r="U45" i="13"/>
  <c r="T45" i="13"/>
  <c r="S45" i="13"/>
  <c r="R45" i="13"/>
  <c r="P45" i="13"/>
  <c r="O45" i="13"/>
  <c r="Q45" i="13" s="1"/>
  <c r="J45" i="13"/>
  <c r="I45" i="13"/>
  <c r="E45" i="13"/>
  <c r="G45" i="13" s="1"/>
  <c r="Z44" i="13"/>
  <c r="Y44" i="13"/>
  <c r="X44" i="13" s="1"/>
  <c r="W44" i="13"/>
  <c r="V44" i="13"/>
  <c r="U44" i="13"/>
  <c r="T44" i="13"/>
  <c r="S44" i="13"/>
  <c r="R44" i="13"/>
  <c r="O44" i="13"/>
  <c r="P44" i="13" s="1"/>
  <c r="J44" i="13"/>
  <c r="I44" i="13"/>
  <c r="E44" i="13"/>
  <c r="G44" i="13" s="1"/>
  <c r="Z43" i="13"/>
  <c r="Y43" i="13"/>
  <c r="X43" i="13" s="1"/>
  <c r="W43" i="13"/>
  <c r="U43" i="13"/>
  <c r="T43" i="13"/>
  <c r="S43" i="13"/>
  <c r="R43" i="13"/>
  <c r="Q43" i="13"/>
  <c r="O43" i="13"/>
  <c r="P43" i="13" s="1"/>
  <c r="J43" i="13"/>
  <c r="I43" i="13"/>
  <c r="F43" i="13"/>
  <c r="E43" i="13"/>
  <c r="G43" i="13" s="1"/>
  <c r="B43" i="13"/>
  <c r="Z42" i="13"/>
  <c r="Y42" i="13"/>
  <c r="P42" i="13"/>
  <c r="O42" i="13"/>
  <c r="Q42" i="13" s="1"/>
  <c r="E42" i="13"/>
  <c r="Z41" i="13"/>
  <c r="Y41" i="13"/>
  <c r="X41" i="13"/>
  <c r="Q41" i="13"/>
  <c r="P41" i="13"/>
  <c r="O41" i="13"/>
  <c r="F41" i="13"/>
  <c r="E41" i="13"/>
  <c r="G41" i="13" s="1"/>
  <c r="B41" i="13"/>
  <c r="Z40" i="13"/>
  <c r="Y40" i="13"/>
  <c r="W40" i="13"/>
  <c r="V40" i="13"/>
  <c r="O40" i="13"/>
  <c r="P40" i="13" s="1"/>
  <c r="J40" i="13"/>
  <c r="I40" i="13"/>
  <c r="G40" i="13"/>
  <c r="F40" i="13"/>
  <c r="E40" i="13"/>
  <c r="Z39" i="13"/>
  <c r="J39" i="13" s="1"/>
  <c r="Y39" i="13"/>
  <c r="X39" i="13"/>
  <c r="W39" i="13"/>
  <c r="V39" i="13"/>
  <c r="U39" i="13"/>
  <c r="T39" i="13"/>
  <c r="S39" i="13"/>
  <c r="R39" i="13"/>
  <c r="O39" i="13"/>
  <c r="I39" i="13"/>
  <c r="F39" i="13"/>
  <c r="E39" i="13"/>
  <c r="G39" i="13" s="1"/>
  <c r="B39" i="13"/>
  <c r="Z38" i="13"/>
  <c r="Y38" i="13"/>
  <c r="Q38" i="13"/>
  <c r="P38" i="13"/>
  <c r="O38" i="13"/>
  <c r="F38" i="13"/>
  <c r="E38" i="13"/>
  <c r="G38" i="13" s="1"/>
  <c r="B38" i="13"/>
  <c r="Z37" i="13"/>
  <c r="Y37" i="13"/>
  <c r="T37" i="13" s="1"/>
  <c r="O37" i="13"/>
  <c r="F37" i="13"/>
  <c r="E37" i="13"/>
  <c r="G37" i="13" s="1"/>
  <c r="Z36" i="13"/>
  <c r="J36" i="13" s="1"/>
  <c r="Y36" i="13"/>
  <c r="T36" i="13"/>
  <c r="R36" i="13"/>
  <c r="Q36" i="13"/>
  <c r="P36" i="13"/>
  <c r="O36" i="13"/>
  <c r="G36" i="13"/>
  <c r="E36" i="13"/>
  <c r="F36" i="13" s="1"/>
  <c r="Z35" i="13"/>
  <c r="Y35" i="13"/>
  <c r="R35" i="13"/>
  <c r="O35" i="13"/>
  <c r="Q35" i="13" s="1"/>
  <c r="J35" i="13"/>
  <c r="I35" i="13"/>
  <c r="G35" i="13"/>
  <c r="E35" i="13"/>
  <c r="F35" i="13" s="1"/>
  <c r="Z34" i="13"/>
  <c r="Y34" i="13"/>
  <c r="U34" i="13" s="1"/>
  <c r="R34" i="13"/>
  <c r="O34" i="13"/>
  <c r="J34" i="13"/>
  <c r="I34" i="13"/>
  <c r="G34" i="13"/>
  <c r="F34" i="13"/>
  <c r="E34" i="13"/>
  <c r="Z33" i="13"/>
  <c r="Y33" i="13"/>
  <c r="X33" i="13" s="1"/>
  <c r="W33" i="13"/>
  <c r="U33" i="13"/>
  <c r="T33" i="13"/>
  <c r="S33" i="13"/>
  <c r="R33" i="13"/>
  <c r="Q33" i="13"/>
  <c r="P33" i="13"/>
  <c r="O33" i="13"/>
  <c r="J33" i="13"/>
  <c r="I33" i="13"/>
  <c r="E33" i="13"/>
  <c r="G33" i="13" s="1"/>
  <c r="B33" i="13"/>
  <c r="Z32" i="13"/>
  <c r="Y32" i="13"/>
  <c r="O32" i="13"/>
  <c r="G32" i="13"/>
  <c r="F32" i="13"/>
  <c r="E32" i="13"/>
  <c r="Z31" i="13"/>
  <c r="Y31" i="13"/>
  <c r="X31" i="13"/>
  <c r="W31" i="13"/>
  <c r="V31" i="13"/>
  <c r="S31" i="13"/>
  <c r="O31" i="13"/>
  <c r="E31" i="13"/>
  <c r="Z30" i="13"/>
  <c r="Y30" i="13"/>
  <c r="Q30" i="13"/>
  <c r="O30" i="13"/>
  <c r="P30" i="13" s="1"/>
  <c r="E30" i="13"/>
  <c r="Z29" i="13"/>
  <c r="J29" i="13" s="1"/>
  <c r="Y29" i="13"/>
  <c r="X29" i="13"/>
  <c r="W29" i="13"/>
  <c r="V29" i="13"/>
  <c r="U29" i="13"/>
  <c r="T29" i="13"/>
  <c r="S29" i="13"/>
  <c r="R29" i="13"/>
  <c r="O29" i="13"/>
  <c r="I29" i="13"/>
  <c r="E29" i="13"/>
  <c r="B29" i="13"/>
  <c r="Z28" i="13"/>
  <c r="S5" i="13" s="1"/>
  <c r="X5" i="13" s="1"/>
  <c r="Y28" i="13"/>
  <c r="R28" i="13" s="1"/>
  <c r="X28" i="13"/>
  <c r="Q28" i="13"/>
  <c r="P28" i="13"/>
  <c r="O28" i="13"/>
  <c r="E28" i="13"/>
  <c r="G28" i="13" s="1"/>
  <c r="Z27" i="13"/>
  <c r="I27" i="13" s="1"/>
  <c r="Y27" i="13"/>
  <c r="T27" i="13"/>
  <c r="O27" i="13"/>
  <c r="Q27" i="13" s="1"/>
  <c r="J27" i="13"/>
  <c r="G27" i="13"/>
  <c r="F27" i="13"/>
  <c r="E27" i="13"/>
  <c r="B27" i="13"/>
  <c r="Z26" i="13"/>
  <c r="Y26" i="13"/>
  <c r="X26" i="13"/>
  <c r="W26" i="13"/>
  <c r="T26" i="13"/>
  <c r="S26" i="13"/>
  <c r="Q26" i="13"/>
  <c r="P26" i="13"/>
  <c r="O26" i="13"/>
  <c r="G26" i="13"/>
  <c r="E26" i="13"/>
  <c r="F26" i="13" s="1"/>
  <c r="Z25" i="13"/>
  <c r="Y25" i="13"/>
  <c r="W25" i="13" s="1"/>
  <c r="V25" i="13"/>
  <c r="U25" i="13"/>
  <c r="T25" i="13"/>
  <c r="S25" i="13"/>
  <c r="R25" i="13"/>
  <c r="Q25" i="13"/>
  <c r="P25" i="13"/>
  <c r="O25" i="13"/>
  <c r="E25" i="13"/>
  <c r="Z24" i="13"/>
  <c r="Y24" i="13"/>
  <c r="B24" i="13" s="1"/>
  <c r="X24" i="13"/>
  <c r="V24" i="13"/>
  <c r="T24" i="13"/>
  <c r="S24" i="13"/>
  <c r="R24" i="13"/>
  <c r="P24" i="13"/>
  <c r="O24" i="13"/>
  <c r="Q24" i="13" s="1"/>
  <c r="J24" i="13"/>
  <c r="I24" i="13"/>
  <c r="G24" i="13"/>
  <c r="E24" i="13"/>
  <c r="F24" i="13" s="1"/>
  <c r="Z23" i="13"/>
  <c r="Y23" i="13"/>
  <c r="B23" i="13" s="1"/>
  <c r="X23" i="13"/>
  <c r="W23" i="13"/>
  <c r="V23" i="13"/>
  <c r="U23" i="13"/>
  <c r="T23" i="13"/>
  <c r="S23" i="13"/>
  <c r="R23" i="13"/>
  <c r="O23" i="13"/>
  <c r="Q23" i="13" s="1"/>
  <c r="G23" i="13"/>
  <c r="F23" i="13"/>
  <c r="E23" i="13"/>
  <c r="Z22" i="13"/>
  <c r="Y22" i="13"/>
  <c r="X22" i="13"/>
  <c r="W22" i="13"/>
  <c r="V22" i="13"/>
  <c r="U22" i="13"/>
  <c r="T22" i="13"/>
  <c r="S22" i="13"/>
  <c r="R22" i="13"/>
  <c r="O22" i="13"/>
  <c r="J22" i="13"/>
  <c r="I22" i="13"/>
  <c r="G22" i="13"/>
  <c r="F22" i="13"/>
  <c r="E22" i="13"/>
  <c r="B22" i="13"/>
  <c r="Z21" i="13"/>
  <c r="Y21" i="13"/>
  <c r="X21" i="13"/>
  <c r="W21" i="13"/>
  <c r="V21" i="13"/>
  <c r="U21" i="13"/>
  <c r="T21" i="13"/>
  <c r="S21" i="13"/>
  <c r="R21" i="13"/>
  <c r="O21" i="13"/>
  <c r="Q21" i="13" s="1"/>
  <c r="J21" i="13"/>
  <c r="I21" i="13"/>
  <c r="E21" i="13"/>
  <c r="B21" i="13"/>
  <c r="Z20" i="13"/>
  <c r="Y20" i="13"/>
  <c r="T20" i="13" s="1"/>
  <c r="Q20" i="13"/>
  <c r="O20" i="13"/>
  <c r="P20" i="13" s="1"/>
  <c r="J20" i="13"/>
  <c r="I20" i="13"/>
  <c r="G20" i="13"/>
  <c r="F20" i="13"/>
  <c r="E20" i="13"/>
  <c r="Z19" i="13"/>
  <c r="Y19" i="13"/>
  <c r="X19" i="13"/>
  <c r="W19" i="13"/>
  <c r="R19" i="13"/>
  <c r="P19" i="13"/>
  <c r="O19" i="13"/>
  <c r="Q19" i="13" s="1"/>
  <c r="J19" i="13"/>
  <c r="I19" i="13"/>
  <c r="G19" i="13"/>
  <c r="F19" i="13"/>
  <c r="E19" i="13"/>
  <c r="B19" i="13"/>
  <c r="Z18" i="13"/>
  <c r="J18" i="13" s="1"/>
  <c r="Y18" i="13"/>
  <c r="X18" i="13"/>
  <c r="W18" i="13"/>
  <c r="V18" i="13"/>
  <c r="P18" i="13"/>
  <c r="O18" i="13"/>
  <c r="Q18" i="13" s="1"/>
  <c r="I18" i="13"/>
  <c r="E18" i="13"/>
  <c r="B18" i="13"/>
  <c r="Z17" i="13"/>
  <c r="I17" i="13" s="1"/>
  <c r="Y17" i="13"/>
  <c r="O17" i="13"/>
  <c r="Q17" i="13" s="1"/>
  <c r="J17" i="13"/>
  <c r="G17" i="13"/>
  <c r="E17" i="13"/>
  <c r="F17" i="13" s="1"/>
  <c r="Z16" i="13"/>
  <c r="Y16" i="13"/>
  <c r="W16" i="13" s="1"/>
  <c r="U16" i="13"/>
  <c r="R16" i="13"/>
  <c r="Q16" i="13"/>
  <c r="P16" i="13"/>
  <c r="O16" i="13"/>
  <c r="G16" i="13"/>
  <c r="E16" i="13"/>
  <c r="F16" i="13" s="1"/>
  <c r="B16" i="13"/>
  <c r="Z15" i="13"/>
  <c r="Y15" i="13"/>
  <c r="Q15" i="13"/>
  <c r="P15" i="13"/>
  <c r="O15" i="13"/>
  <c r="E15" i="13"/>
  <c r="Z14" i="13"/>
  <c r="J14" i="13" s="1"/>
  <c r="Y14" i="13"/>
  <c r="B14" i="13" s="1"/>
  <c r="W14" i="13"/>
  <c r="V14" i="13"/>
  <c r="U14" i="13"/>
  <c r="T14" i="13"/>
  <c r="S14" i="13"/>
  <c r="R14" i="13"/>
  <c r="O14" i="13"/>
  <c r="Q14" i="13" s="1"/>
  <c r="G14" i="13"/>
  <c r="E14" i="13"/>
  <c r="F14" i="13" s="1"/>
  <c r="Z13" i="13"/>
  <c r="Y13" i="13"/>
  <c r="B13" i="13" s="1"/>
  <c r="X13" i="13"/>
  <c r="W13" i="13"/>
  <c r="V13" i="13"/>
  <c r="U13" i="13"/>
  <c r="T13" i="13"/>
  <c r="S13" i="13"/>
  <c r="R13" i="13"/>
  <c r="P13" i="13"/>
  <c r="O13" i="13"/>
  <c r="Q13" i="13" s="1"/>
  <c r="J13" i="13"/>
  <c r="G13" i="13"/>
  <c r="F13" i="13"/>
  <c r="E13" i="13"/>
  <c r="Z12" i="13"/>
  <c r="Y12" i="13"/>
  <c r="X12" i="13"/>
  <c r="W12" i="13"/>
  <c r="V12" i="13"/>
  <c r="U12" i="13"/>
  <c r="T12" i="13"/>
  <c r="S12" i="13"/>
  <c r="R12" i="13"/>
  <c r="P12" i="13"/>
  <c r="O12" i="13"/>
  <c r="Q12" i="13" s="1"/>
  <c r="J12" i="13"/>
  <c r="I12" i="13"/>
  <c r="G12" i="13"/>
  <c r="F12" i="13"/>
  <c r="E12" i="13"/>
  <c r="B12" i="13"/>
  <c r="Z11" i="13"/>
  <c r="Y11" i="13"/>
  <c r="Q11" i="13"/>
  <c r="O11" i="13"/>
  <c r="P11" i="13" s="1"/>
  <c r="J11" i="13"/>
  <c r="I11" i="13"/>
  <c r="E11" i="13"/>
  <c r="Z10" i="13"/>
  <c r="I10" i="13" s="1"/>
  <c r="Y10" i="13"/>
  <c r="Q10" i="13"/>
  <c r="P10" i="13"/>
  <c r="O10" i="13"/>
  <c r="J10" i="13"/>
  <c r="E10" i="13"/>
  <c r="Z9" i="13"/>
  <c r="J9" i="13" s="1"/>
  <c r="Y9" i="13"/>
  <c r="P9" i="13"/>
  <c r="O9" i="13"/>
  <c r="Q9" i="13" s="1"/>
  <c r="G9" i="13"/>
  <c r="E9" i="13"/>
  <c r="F9" i="13" s="1"/>
  <c r="Z8" i="13"/>
  <c r="Y8" i="13"/>
  <c r="P8" i="13"/>
  <c r="O8" i="13"/>
  <c r="Q8" i="13" s="1"/>
  <c r="J8" i="13"/>
  <c r="I8" i="13"/>
  <c r="F8" i="13"/>
  <c r="E8" i="13"/>
  <c r="Z7" i="13"/>
  <c r="I7" i="13" s="1"/>
  <c r="Y7" i="13"/>
  <c r="O7" i="13"/>
  <c r="Q7" i="13" s="1"/>
  <c r="J7" i="13"/>
  <c r="G7" i="13"/>
  <c r="F7" i="13"/>
  <c r="E7" i="13"/>
  <c r="Z6" i="13"/>
  <c r="Y6" i="13"/>
  <c r="Q6" i="13"/>
  <c r="P6" i="13"/>
  <c r="O6" i="13"/>
  <c r="E6" i="13"/>
  <c r="Z5" i="13"/>
  <c r="Y5" i="13"/>
  <c r="P5" i="13"/>
  <c r="O5" i="13"/>
  <c r="E5" i="13"/>
  <c r="M50" i="12"/>
  <c r="C50" i="12"/>
  <c r="Z49" i="12"/>
  <c r="Y49" i="12"/>
  <c r="X49" i="12"/>
  <c r="W49" i="12"/>
  <c r="V49" i="12"/>
  <c r="U49" i="12"/>
  <c r="T49" i="12"/>
  <c r="S49" i="12"/>
  <c r="R49" i="12"/>
  <c r="O49" i="12"/>
  <c r="J49" i="12"/>
  <c r="I49" i="12"/>
  <c r="G49" i="12"/>
  <c r="F49" i="12"/>
  <c r="E49" i="12"/>
  <c r="B49" i="12"/>
  <c r="Z48" i="12"/>
  <c r="Y48" i="12"/>
  <c r="T48" i="12"/>
  <c r="R48" i="12"/>
  <c r="O48" i="12"/>
  <c r="E48" i="12"/>
  <c r="G48" i="12" s="1"/>
  <c r="Z47" i="12"/>
  <c r="J47" i="12" s="1"/>
  <c r="Y47" i="12"/>
  <c r="X47" i="12"/>
  <c r="W47" i="12"/>
  <c r="R47" i="12"/>
  <c r="O47" i="12"/>
  <c r="Q47" i="12" s="1"/>
  <c r="I47" i="12"/>
  <c r="G47" i="12"/>
  <c r="F47" i="12"/>
  <c r="E47" i="12"/>
  <c r="B47" i="12"/>
  <c r="Z46" i="12"/>
  <c r="Y46" i="12"/>
  <c r="P46" i="12"/>
  <c r="O46" i="12"/>
  <c r="Q46" i="12" s="1"/>
  <c r="J46" i="12"/>
  <c r="I46" i="12"/>
  <c r="E46" i="12"/>
  <c r="B46" i="12"/>
  <c r="Z45" i="12"/>
  <c r="Y45" i="12"/>
  <c r="X45" i="12" s="1"/>
  <c r="W45" i="12"/>
  <c r="V45" i="12"/>
  <c r="T45" i="12"/>
  <c r="S45" i="12"/>
  <c r="O45" i="12"/>
  <c r="Q45" i="12" s="1"/>
  <c r="F45" i="12"/>
  <c r="E45" i="12"/>
  <c r="G45" i="12" s="1"/>
  <c r="Z44" i="12"/>
  <c r="Y44" i="12"/>
  <c r="W44" i="12"/>
  <c r="V44" i="12"/>
  <c r="U44" i="12"/>
  <c r="T44" i="12"/>
  <c r="S44" i="12"/>
  <c r="R44" i="12"/>
  <c r="Q44" i="12"/>
  <c r="P44" i="12"/>
  <c r="O44" i="12"/>
  <c r="G44" i="12"/>
  <c r="E44" i="12"/>
  <c r="F44" i="12" s="1"/>
  <c r="Z43" i="12"/>
  <c r="Y43" i="12"/>
  <c r="W43" i="12"/>
  <c r="V43" i="12"/>
  <c r="O43" i="12"/>
  <c r="E43" i="12"/>
  <c r="Z42" i="12"/>
  <c r="J42" i="12" s="1"/>
  <c r="Y42" i="12"/>
  <c r="Q42" i="12"/>
  <c r="P42" i="12"/>
  <c r="O42" i="12"/>
  <c r="I42" i="12"/>
  <c r="G42" i="12"/>
  <c r="E42" i="12"/>
  <c r="F42" i="12" s="1"/>
  <c r="Z41" i="12"/>
  <c r="J41" i="12" s="1"/>
  <c r="Y41" i="12"/>
  <c r="O41" i="12"/>
  <c r="I41" i="12"/>
  <c r="G41" i="12"/>
  <c r="F41" i="12"/>
  <c r="E41" i="12"/>
  <c r="Z40" i="12"/>
  <c r="Y40" i="12"/>
  <c r="X40" i="12"/>
  <c r="W40" i="12"/>
  <c r="V40" i="12"/>
  <c r="U40" i="12"/>
  <c r="T40" i="12"/>
  <c r="S40" i="12"/>
  <c r="R40" i="12"/>
  <c r="Q40" i="12"/>
  <c r="O40" i="12"/>
  <c r="P40" i="12" s="1"/>
  <c r="J40" i="12"/>
  <c r="I40" i="12"/>
  <c r="E40" i="12"/>
  <c r="F40" i="12" s="1"/>
  <c r="B40" i="12"/>
  <c r="Z39" i="12"/>
  <c r="Y39" i="12"/>
  <c r="X39" i="12"/>
  <c r="W39" i="12"/>
  <c r="V39" i="12"/>
  <c r="U39" i="12"/>
  <c r="T39" i="12"/>
  <c r="S39" i="12"/>
  <c r="R39" i="12"/>
  <c r="Q39" i="12"/>
  <c r="O39" i="12"/>
  <c r="P39" i="12" s="1"/>
  <c r="J39" i="12"/>
  <c r="I39" i="12"/>
  <c r="E39" i="12"/>
  <c r="B39" i="12"/>
  <c r="Z38" i="12"/>
  <c r="Y38" i="12"/>
  <c r="T38" i="12"/>
  <c r="R38" i="12"/>
  <c r="Q38" i="12"/>
  <c r="P38" i="12"/>
  <c r="O38" i="12"/>
  <c r="J38" i="12"/>
  <c r="I38" i="12"/>
  <c r="E38" i="12"/>
  <c r="G38" i="12" s="1"/>
  <c r="B38" i="12"/>
  <c r="Z37" i="12"/>
  <c r="Y37" i="12"/>
  <c r="W37" i="12" s="1"/>
  <c r="X37" i="12"/>
  <c r="R37" i="12"/>
  <c r="P37" i="12"/>
  <c r="O37" i="12"/>
  <c r="Q37" i="12" s="1"/>
  <c r="J37" i="12"/>
  <c r="I37" i="12"/>
  <c r="E37" i="12"/>
  <c r="B37" i="12"/>
  <c r="Z36" i="12"/>
  <c r="Y36" i="12"/>
  <c r="X36" i="12"/>
  <c r="W36" i="12"/>
  <c r="V36" i="12"/>
  <c r="U36" i="12"/>
  <c r="O36" i="12"/>
  <c r="Q36" i="12" s="1"/>
  <c r="E36" i="12"/>
  <c r="F36" i="12" s="1"/>
  <c r="B36" i="12"/>
  <c r="Z35" i="12"/>
  <c r="Y35" i="12"/>
  <c r="R35" i="12" s="1"/>
  <c r="X35" i="12"/>
  <c r="W35" i="12"/>
  <c r="V35" i="12"/>
  <c r="U35" i="12"/>
  <c r="T35" i="12"/>
  <c r="S35" i="12"/>
  <c r="O35" i="12"/>
  <c r="Q35" i="12" s="1"/>
  <c r="G35" i="12"/>
  <c r="E35" i="12"/>
  <c r="F35" i="12" s="1"/>
  <c r="Z34" i="12"/>
  <c r="Y34" i="12"/>
  <c r="W34" i="12" s="1"/>
  <c r="V34" i="12"/>
  <c r="U34" i="12"/>
  <c r="S34" i="12"/>
  <c r="Q34" i="12"/>
  <c r="P34" i="12"/>
  <c r="O34" i="12"/>
  <c r="F34" i="12"/>
  <c r="E34" i="12"/>
  <c r="G34" i="12" s="1"/>
  <c r="Z33" i="12"/>
  <c r="Y33" i="12"/>
  <c r="X33" i="12"/>
  <c r="W33" i="12"/>
  <c r="V33" i="12"/>
  <c r="U33" i="12"/>
  <c r="T33" i="12"/>
  <c r="S33" i="12"/>
  <c r="R33" i="12"/>
  <c r="Q33" i="12"/>
  <c r="O33" i="12"/>
  <c r="P33" i="12" s="1"/>
  <c r="E33" i="12"/>
  <c r="B33" i="12"/>
  <c r="Z32" i="12"/>
  <c r="J32" i="12" s="1"/>
  <c r="Y32" i="12"/>
  <c r="O32" i="12"/>
  <c r="I32" i="12"/>
  <c r="G32" i="12"/>
  <c r="E32" i="12"/>
  <c r="F32" i="12" s="1"/>
  <c r="Z31" i="12"/>
  <c r="J31" i="12" s="1"/>
  <c r="Y31" i="12"/>
  <c r="W31" i="12"/>
  <c r="Q31" i="12"/>
  <c r="P31" i="12"/>
  <c r="O31" i="12"/>
  <c r="G31" i="12"/>
  <c r="F31" i="12"/>
  <c r="E31" i="12"/>
  <c r="Z30" i="12"/>
  <c r="Y30" i="12"/>
  <c r="X30" i="12"/>
  <c r="W30" i="12"/>
  <c r="V30" i="12"/>
  <c r="U30" i="12"/>
  <c r="T30" i="12"/>
  <c r="S30" i="12"/>
  <c r="R30" i="12"/>
  <c r="Q30" i="12"/>
  <c r="P30" i="12"/>
  <c r="O30" i="12"/>
  <c r="J30" i="12"/>
  <c r="I30" i="12"/>
  <c r="E30" i="12"/>
  <c r="G30" i="12" s="1"/>
  <c r="B30" i="12"/>
  <c r="Z29" i="12"/>
  <c r="Y29" i="12"/>
  <c r="X29" i="12"/>
  <c r="W29" i="12"/>
  <c r="V29" i="12"/>
  <c r="U29" i="12"/>
  <c r="T29" i="12"/>
  <c r="S29" i="12"/>
  <c r="R29" i="12"/>
  <c r="P29" i="12"/>
  <c r="O29" i="12"/>
  <c r="Q29" i="12" s="1"/>
  <c r="J29" i="12"/>
  <c r="I29" i="12"/>
  <c r="G29" i="12"/>
  <c r="F29" i="12"/>
  <c r="E29" i="12"/>
  <c r="B29" i="12"/>
  <c r="Z28" i="12"/>
  <c r="Y28" i="12"/>
  <c r="T28" i="12"/>
  <c r="S28" i="12"/>
  <c r="R28" i="12"/>
  <c r="Q28" i="12"/>
  <c r="P28" i="12"/>
  <c r="O28" i="12"/>
  <c r="J28" i="12"/>
  <c r="I28" i="12"/>
  <c r="E28" i="12"/>
  <c r="B28" i="12"/>
  <c r="Z27" i="12"/>
  <c r="Y27" i="12"/>
  <c r="Q27" i="12"/>
  <c r="P27" i="12"/>
  <c r="O27" i="12"/>
  <c r="G27" i="12"/>
  <c r="E27" i="12"/>
  <c r="F27" i="12" s="1"/>
  <c r="Z26" i="12"/>
  <c r="Y26" i="12"/>
  <c r="X26" i="12"/>
  <c r="W26" i="12"/>
  <c r="V26" i="12"/>
  <c r="U26" i="12"/>
  <c r="O26" i="12"/>
  <c r="J26" i="12"/>
  <c r="I26" i="12"/>
  <c r="E26" i="12"/>
  <c r="G26" i="12" s="1"/>
  <c r="Z25" i="12"/>
  <c r="Y25" i="12"/>
  <c r="R25" i="12" s="1"/>
  <c r="X25" i="12"/>
  <c r="W25" i="12"/>
  <c r="V25" i="12"/>
  <c r="U25" i="12"/>
  <c r="T25" i="12"/>
  <c r="S25" i="12"/>
  <c r="O25" i="12"/>
  <c r="Q25" i="12" s="1"/>
  <c r="E25" i="12"/>
  <c r="B25" i="12"/>
  <c r="Z24" i="12"/>
  <c r="Y24" i="12"/>
  <c r="X24" i="12"/>
  <c r="W24" i="12"/>
  <c r="V24" i="12"/>
  <c r="U24" i="12"/>
  <c r="T24" i="12"/>
  <c r="S24" i="12"/>
  <c r="R24" i="12"/>
  <c r="Q24" i="12"/>
  <c r="P24" i="12"/>
  <c r="O24" i="12"/>
  <c r="F24" i="12"/>
  <c r="E24" i="12"/>
  <c r="G24" i="12" s="1"/>
  <c r="B24" i="12"/>
  <c r="Z23" i="12"/>
  <c r="Y23" i="12"/>
  <c r="X23" i="12"/>
  <c r="Q23" i="12"/>
  <c r="O23" i="12"/>
  <c r="P23" i="12" s="1"/>
  <c r="E23" i="12"/>
  <c r="B23" i="12"/>
  <c r="Z22" i="12"/>
  <c r="J22" i="12" s="1"/>
  <c r="Y22" i="12"/>
  <c r="X22" i="12"/>
  <c r="V22" i="12"/>
  <c r="U22" i="12"/>
  <c r="T22" i="12"/>
  <c r="Q22" i="12"/>
  <c r="P22" i="12"/>
  <c r="O22" i="12"/>
  <c r="G22" i="12"/>
  <c r="E22" i="12"/>
  <c r="F22" i="12" s="1"/>
  <c r="Z21" i="12"/>
  <c r="Y21" i="12"/>
  <c r="X21" i="12"/>
  <c r="W21" i="12"/>
  <c r="U21" i="12"/>
  <c r="T21" i="12"/>
  <c r="S21" i="12"/>
  <c r="R21" i="12"/>
  <c r="O21" i="12"/>
  <c r="J21" i="12"/>
  <c r="I21" i="12"/>
  <c r="G21" i="12"/>
  <c r="F21" i="12"/>
  <c r="E21" i="12"/>
  <c r="Z20" i="12"/>
  <c r="Y20" i="12"/>
  <c r="X20" i="12"/>
  <c r="W20" i="12"/>
  <c r="V20" i="12"/>
  <c r="U20" i="12"/>
  <c r="T20" i="12"/>
  <c r="S20" i="12"/>
  <c r="R20" i="12"/>
  <c r="P20" i="12"/>
  <c r="O20" i="12"/>
  <c r="Q20" i="12" s="1"/>
  <c r="J20" i="12"/>
  <c r="I20" i="12"/>
  <c r="E20" i="12"/>
  <c r="F20" i="12" s="1"/>
  <c r="B20" i="12"/>
  <c r="Z19" i="12"/>
  <c r="Y19" i="12"/>
  <c r="X19" i="12"/>
  <c r="W19" i="12"/>
  <c r="V19" i="12"/>
  <c r="U19" i="12"/>
  <c r="T19" i="12"/>
  <c r="S19" i="12"/>
  <c r="R19" i="12"/>
  <c r="O19" i="12"/>
  <c r="J19" i="12"/>
  <c r="I19" i="12"/>
  <c r="G19" i="12"/>
  <c r="F19" i="12"/>
  <c r="E19" i="12"/>
  <c r="B19" i="12"/>
  <c r="Z18" i="12"/>
  <c r="Y18" i="12"/>
  <c r="P18" i="12"/>
  <c r="O18" i="12"/>
  <c r="Q18" i="12" s="1"/>
  <c r="E18" i="12"/>
  <c r="B18" i="12"/>
  <c r="Z17" i="12"/>
  <c r="Y17" i="12"/>
  <c r="X17" i="12"/>
  <c r="W17" i="12"/>
  <c r="R17" i="12"/>
  <c r="O17" i="12"/>
  <c r="Q17" i="12" s="1"/>
  <c r="E17" i="12"/>
  <c r="Z16" i="12"/>
  <c r="J16" i="12" s="1"/>
  <c r="Y16" i="12"/>
  <c r="P16" i="12"/>
  <c r="O16" i="12"/>
  <c r="Q16" i="12" s="1"/>
  <c r="G16" i="12"/>
  <c r="F16" i="12"/>
  <c r="E16" i="12"/>
  <c r="Z15" i="12"/>
  <c r="Y15" i="12"/>
  <c r="R15" i="12" s="1"/>
  <c r="X15" i="12"/>
  <c r="V15" i="12"/>
  <c r="T15" i="12"/>
  <c r="S15" i="12"/>
  <c r="O15" i="12"/>
  <c r="Q15" i="12" s="1"/>
  <c r="J15" i="12"/>
  <c r="I15" i="12"/>
  <c r="G15" i="12"/>
  <c r="F15" i="12"/>
  <c r="E15" i="12"/>
  <c r="B15" i="12"/>
  <c r="Z14" i="12"/>
  <c r="Y14" i="12"/>
  <c r="X14" i="12"/>
  <c r="W14" i="12"/>
  <c r="V14" i="12"/>
  <c r="Q14" i="12"/>
  <c r="P14" i="12"/>
  <c r="O14" i="12"/>
  <c r="G14" i="12"/>
  <c r="F14" i="12"/>
  <c r="E14" i="12"/>
  <c r="B14" i="12"/>
  <c r="Z13" i="12"/>
  <c r="Y13" i="12"/>
  <c r="O13" i="12"/>
  <c r="Q13" i="12" s="1"/>
  <c r="E13" i="12"/>
  <c r="Z12" i="12"/>
  <c r="Y12" i="12"/>
  <c r="X12" i="12" s="1"/>
  <c r="W12" i="12"/>
  <c r="T12" i="12"/>
  <c r="S12" i="12"/>
  <c r="R12" i="12"/>
  <c r="Q12" i="12"/>
  <c r="P12" i="12"/>
  <c r="O12" i="12"/>
  <c r="J12" i="12"/>
  <c r="I12" i="12"/>
  <c r="G12" i="12"/>
  <c r="E12" i="12"/>
  <c r="F12" i="12" s="1"/>
  <c r="Z11" i="12"/>
  <c r="Y11" i="12"/>
  <c r="B11" i="12" s="1"/>
  <c r="W11" i="12"/>
  <c r="U11" i="12"/>
  <c r="T11" i="12"/>
  <c r="S11" i="12"/>
  <c r="R11" i="12"/>
  <c r="P11" i="12"/>
  <c r="O11" i="12"/>
  <c r="Q11" i="12" s="1"/>
  <c r="J11" i="12"/>
  <c r="I11" i="12"/>
  <c r="G11" i="12"/>
  <c r="F11" i="12"/>
  <c r="E11" i="12"/>
  <c r="Z10" i="12"/>
  <c r="Y10" i="12"/>
  <c r="Q10" i="12"/>
  <c r="P10" i="12"/>
  <c r="O10" i="12"/>
  <c r="J10" i="12"/>
  <c r="I10" i="12"/>
  <c r="E10" i="12"/>
  <c r="Z9" i="12"/>
  <c r="Y9" i="12"/>
  <c r="P9" i="12"/>
  <c r="O9" i="12"/>
  <c r="Q9" i="12" s="1"/>
  <c r="J9" i="12"/>
  <c r="I9" i="12"/>
  <c r="E9" i="12"/>
  <c r="Z8" i="12"/>
  <c r="Y8" i="12"/>
  <c r="Q8" i="12"/>
  <c r="P8" i="12"/>
  <c r="O8" i="12"/>
  <c r="E8" i="12"/>
  <c r="Z7" i="12"/>
  <c r="J7" i="12" s="1"/>
  <c r="Y7" i="12"/>
  <c r="Q7" i="12"/>
  <c r="P7" i="12"/>
  <c r="O7" i="12"/>
  <c r="I7" i="12"/>
  <c r="F7" i="12"/>
  <c r="G7" i="12" s="1"/>
  <c r="E7" i="12"/>
  <c r="Z6" i="12"/>
  <c r="Y6" i="12"/>
  <c r="P6" i="12"/>
  <c r="O6" i="12"/>
  <c r="J6" i="12"/>
  <c r="I6" i="12"/>
  <c r="G6" i="12"/>
  <c r="F6" i="12"/>
  <c r="E6" i="12"/>
  <c r="Z5" i="12"/>
  <c r="Y5" i="12"/>
  <c r="O5" i="12"/>
  <c r="Q5" i="12" s="1"/>
  <c r="F5" i="12"/>
  <c r="E5" i="12"/>
  <c r="M50" i="11"/>
  <c r="C50" i="11"/>
  <c r="Z49" i="11"/>
  <c r="Y49" i="11"/>
  <c r="B49" i="11" s="1"/>
  <c r="X49" i="11"/>
  <c r="V49" i="11"/>
  <c r="T49" i="11"/>
  <c r="S49" i="11"/>
  <c r="R49" i="11"/>
  <c r="P49" i="11"/>
  <c r="O49" i="11"/>
  <c r="Q49" i="11" s="1"/>
  <c r="J49" i="11"/>
  <c r="I49" i="11"/>
  <c r="G49" i="11"/>
  <c r="F49" i="11"/>
  <c r="E49" i="11"/>
  <c r="Z48" i="11"/>
  <c r="Y48" i="11"/>
  <c r="S48" i="11" s="1"/>
  <c r="X48" i="11"/>
  <c r="O48" i="11"/>
  <c r="J48" i="11"/>
  <c r="I48" i="11"/>
  <c r="E48" i="11"/>
  <c r="G48" i="11" s="1"/>
  <c r="Z47" i="11"/>
  <c r="Y47" i="11"/>
  <c r="X47" i="11"/>
  <c r="W47" i="11"/>
  <c r="V47" i="11"/>
  <c r="U47" i="11"/>
  <c r="T47" i="11"/>
  <c r="S47" i="11"/>
  <c r="R47" i="11"/>
  <c r="Q47" i="11"/>
  <c r="O47" i="11"/>
  <c r="P47" i="11" s="1"/>
  <c r="J47" i="11"/>
  <c r="I47" i="11"/>
  <c r="E47" i="11"/>
  <c r="B47" i="11"/>
  <c r="Z46" i="11"/>
  <c r="Y46" i="11"/>
  <c r="U46" i="11" s="1"/>
  <c r="Q46" i="11"/>
  <c r="O46" i="11"/>
  <c r="P46" i="11" s="1"/>
  <c r="G46" i="11"/>
  <c r="E46" i="11"/>
  <c r="F46" i="11" s="1"/>
  <c r="B46" i="11"/>
  <c r="Z45" i="11"/>
  <c r="Y45" i="11"/>
  <c r="X45" i="11"/>
  <c r="W45" i="11"/>
  <c r="S45" i="11"/>
  <c r="R45" i="11"/>
  <c r="Q45" i="11"/>
  <c r="P45" i="11"/>
  <c r="O45" i="11"/>
  <c r="J45" i="11"/>
  <c r="I45" i="11"/>
  <c r="G45" i="11"/>
  <c r="E45" i="11"/>
  <c r="F45" i="11" s="1"/>
  <c r="Z44" i="11"/>
  <c r="Y44" i="11"/>
  <c r="W44" i="11"/>
  <c r="V44" i="11"/>
  <c r="U44" i="11"/>
  <c r="P44" i="11"/>
  <c r="O44" i="11"/>
  <c r="Q44" i="11" s="1"/>
  <c r="J44" i="11"/>
  <c r="I44" i="11"/>
  <c r="G44" i="11"/>
  <c r="E44" i="11"/>
  <c r="F44" i="11" s="1"/>
  <c r="B44" i="11"/>
  <c r="Z43" i="11"/>
  <c r="J43" i="11" s="1"/>
  <c r="Y43" i="11"/>
  <c r="O43" i="11"/>
  <c r="I43" i="11"/>
  <c r="E43" i="11"/>
  <c r="G43" i="11" s="1"/>
  <c r="Z42" i="11"/>
  <c r="Y42" i="11"/>
  <c r="X42" i="11"/>
  <c r="W42" i="11"/>
  <c r="V42" i="11"/>
  <c r="U42" i="11"/>
  <c r="T42" i="11"/>
  <c r="Q42" i="11"/>
  <c r="P42" i="11"/>
  <c r="O42" i="11"/>
  <c r="G42" i="11"/>
  <c r="F42" i="11"/>
  <c r="E42" i="11"/>
  <c r="Z41" i="11"/>
  <c r="Y41" i="11"/>
  <c r="X41" i="11" s="1"/>
  <c r="Q41" i="11"/>
  <c r="O41" i="11"/>
  <c r="P41" i="11" s="1"/>
  <c r="F41" i="11"/>
  <c r="E41" i="11"/>
  <c r="G41" i="11" s="1"/>
  <c r="Z40" i="11"/>
  <c r="Y40" i="11"/>
  <c r="X40" i="11"/>
  <c r="W40" i="11"/>
  <c r="U40" i="11"/>
  <c r="T40" i="11"/>
  <c r="R40" i="11"/>
  <c r="Q40" i="11"/>
  <c r="P40" i="11"/>
  <c r="O40" i="11"/>
  <c r="J40" i="11"/>
  <c r="I40" i="11"/>
  <c r="G40" i="11"/>
  <c r="E40" i="11"/>
  <c r="F40" i="11" s="1"/>
  <c r="Z39" i="11"/>
  <c r="Y39" i="11"/>
  <c r="B39" i="11" s="1"/>
  <c r="X39" i="11"/>
  <c r="W39" i="11"/>
  <c r="V39" i="11"/>
  <c r="U39" i="11"/>
  <c r="T39" i="11"/>
  <c r="S39" i="11"/>
  <c r="R39" i="11"/>
  <c r="Q39" i="11"/>
  <c r="P39" i="11"/>
  <c r="O39" i="11"/>
  <c r="J39" i="11"/>
  <c r="I39" i="11"/>
  <c r="G39" i="11"/>
  <c r="F39" i="11"/>
  <c r="E39" i="11"/>
  <c r="Z38" i="11"/>
  <c r="Y38" i="11"/>
  <c r="X38" i="11"/>
  <c r="W38" i="11"/>
  <c r="V38" i="11"/>
  <c r="U38" i="11"/>
  <c r="T38" i="11"/>
  <c r="S38" i="11"/>
  <c r="R38" i="11"/>
  <c r="O38" i="11"/>
  <c r="P38" i="11" s="1"/>
  <c r="J38" i="11"/>
  <c r="I38" i="11"/>
  <c r="G38" i="11"/>
  <c r="E38" i="11"/>
  <c r="F38" i="11" s="1"/>
  <c r="B38" i="11"/>
  <c r="Z37" i="11"/>
  <c r="Y37" i="11"/>
  <c r="X37" i="11"/>
  <c r="W37" i="11"/>
  <c r="V37" i="11"/>
  <c r="U37" i="11"/>
  <c r="T37" i="11"/>
  <c r="S37" i="11"/>
  <c r="R37" i="11"/>
  <c r="P37" i="11"/>
  <c r="O37" i="11"/>
  <c r="Q37" i="11" s="1"/>
  <c r="J37" i="11"/>
  <c r="I37" i="11"/>
  <c r="E37" i="11"/>
  <c r="B37" i="11"/>
  <c r="Z36" i="11"/>
  <c r="Y36" i="11"/>
  <c r="X36" i="11"/>
  <c r="O36" i="11"/>
  <c r="G36" i="11"/>
  <c r="F36" i="11"/>
  <c r="E36" i="11"/>
  <c r="B36" i="11"/>
  <c r="Z35" i="11"/>
  <c r="Y35" i="11"/>
  <c r="V35" i="11"/>
  <c r="Q35" i="11"/>
  <c r="P35" i="11"/>
  <c r="O35" i="11"/>
  <c r="F35" i="11"/>
  <c r="E35" i="11"/>
  <c r="G35" i="11" s="1"/>
  <c r="Z34" i="11"/>
  <c r="Y34" i="11"/>
  <c r="W34" i="11"/>
  <c r="V34" i="11"/>
  <c r="U34" i="11"/>
  <c r="T34" i="11"/>
  <c r="O34" i="11"/>
  <c r="J34" i="11"/>
  <c r="I34" i="11"/>
  <c r="G34" i="11"/>
  <c r="E34" i="11"/>
  <c r="F34" i="11" s="1"/>
  <c r="Z33" i="11"/>
  <c r="Y33" i="11"/>
  <c r="V33" i="11" s="1"/>
  <c r="U33" i="11"/>
  <c r="Q33" i="11"/>
  <c r="O33" i="11"/>
  <c r="P33" i="11" s="1"/>
  <c r="J33" i="11"/>
  <c r="I33" i="11"/>
  <c r="F33" i="11"/>
  <c r="E33" i="11"/>
  <c r="G33" i="11" s="1"/>
  <c r="Z32" i="11"/>
  <c r="J32" i="11" s="1"/>
  <c r="Y32" i="11"/>
  <c r="W32" i="11" s="1"/>
  <c r="X32" i="11"/>
  <c r="V32" i="11"/>
  <c r="T32" i="11"/>
  <c r="S32" i="11"/>
  <c r="R32" i="11"/>
  <c r="O32" i="11"/>
  <c r="I32" i="11"/>
  <c r="G32" i="11"/>
  <c r="E32" i="11"/>
  <c r="F32" i="11" s="1"/>
  <c r="B32" i="11"/>
  <c r="Z31" i="11"/>
  <c r="J31" i="11" s="1"/>
  <c r="Y31" i="11"/>
  <c r="X31" i="11"/>
  <c r="S31" i="11"/>
  <c r="Q31" i="11"/>
  <c r="O31" i="11"/>
  <c r="P31" i="11" s="1"/>
  <c r="I31" i="11"/>
  <c r="E31" i="11"/>
  <c r="G31" i="11" s="1"/>
  <c r="B31" i="11"/>
  <c r="Z30" i="11"/>
  <c r="Y30" i="11"/>
  <c r="X30" i="11"/>
  <c r="W30" i="11"/>
  <c r="V30" i="11"/>
  <c r="O30" i="11"/>
  <c r="P30" i="11" s="1"/>
  <c r="E30" i="11"/>
  <c r="B30" i="11"/>
  <c r="Z29" i="11"/>
  <c r="J29" i="11" s="1"/>
  <c r="Y29" i="11"/>
  <c r="X29" i="11"/>
  <c r="W29" i="11"/>
  <c r="V29" i="11"/>
  <c r="U29" i="11"/>
  <c r="T29" i="11"/>
  <c r="O29" i="11"/>
  <c r="I29" i="11"/>
  <c r="G29" i="11"/>
  <c r="F29" i="11"/>
  <c r="E29" i="11"/>
  <c r="B29" i="11"/>
  <c r="Z28" i="11"/>
  <c r="J28" i="11" s="1"/>
  <c r="Y28" i="11"/>
  <c r="X28" i="11" s="1"/>
  <c r="V28" i="11"/>
  <c r="U28" i="11"/>
  <c r="T28" i="11"/>
  <c r="S28" i="11"/>
  <c r="R28" i="11"/>
  <c r="O28" i="11"/>
  <c r="Q28" i="11" s="1"/>
  <c r="I28" i="11"/>
  <c r="E28" i="11"/>
  <c r="B28" i="11"/>
  <c r="Z27" i="11"/>
  <c r="J27" i="11" s="1"/>
  <c r="Y27" i="11"/>
  <c r="W27" i="11"/>
  <c r="V27" i="11"/>
  <c r="U27" i="11"/>
  <c r="Q27" i="11"/>
  <c r="P27" i="11"/>
  <c r="O27" i="11"/>
  <c r="F27" i="11"/>
  <c r="E27" i="11"/>
  <c r="G27" i="11" s="1"/>
  <c r="Z26" i="11"/>
  <c r="Y26" i="11"/>
  <c r="W26" i="11"/>
  <c r="P26" i="11"/>
  <c r="O26" i="11"/>
  <c r="Q26" i="11" s="1"/>
  <c r="G26" i="11"/>
  <c r="F26" i="11"/>
  <c r="E26" i="11"/>
  <c r="Z25" i="11"/>
  <c r="Y25" i="11"/>
  <c r="X25" i="11" s="1"/>
  <c r="R25" i="11"/>
  <c r="O25" i="11"/>
  <c r="J25" i="11"/>
  <c r="I25" i="11"/>
  <c r="G25" i="11"/>
  <c r="E25" i="11"/>
  <c r="F25" i="11" s="1"/>
  <c r="Z24" i="11"/>
  <c r="Y24" i="11"/>
  <c r="W24" i="11" s="1"/>
  <c r="U24" i="11"/>
  <c r="S24" i="11"/>
  <c r="R24" i="11"/>
  <c r="Q24" i="11"/>
  <c r="O24" i="11"/>
  <c r="P24" i="11" s="1"/>
  <c r="J24" i="11"/>
  <c r="I24" i="11"/>
  <c r="G24" i="11"/>
  <c r="E24" i="11"/>
  <c r="F24" i="11" s="1"/>
  <c r="Z23" i="11"/>
  <c r="Y23" i="11"/>
  <c r="X23" i="11" s="1"/>
  <c r="W23" i="11"/>
  <c r="U23" i="11"/>
  <c r="T23" i="11"/>
  <c r="S23" i="11"/>
  <c r="R23" i="11"/>
  <c r="O23" i="11"/>
  <c r="Q23" i="11" s="1"/>
  <c r="J23" i="11"/>
  <c r="I23" i="11"/>
  <c r="E23" i="11"/>
  <c r="B23" i="11"/>
  <c r="Z22" i="11"/>
  <c r="Y22" i="11"/>
  <c r="X22" i="11"/>
  <c r="W22" i="11"/>
  <c r="V22" i="11"/>
  <c r="U22" i="11"/>
  <c r="T22" i="11"/>
  <c r="S22" i="11"/>
  <c r="R22" i="11"/>
  <c r="O22" i="11"/>
  <c r="P22" i="11" s="1"/>
  <c r="F22" i="11"/>
  <c r="E22" i="11"/>
  <c r="G22" i="11" s="1"/>
  <c r="B22" i="11"/>
  <c r="Z21" i="11"/>
  <c r="J21" i="11" s="1"/>
  <c r="Y21" i="11"/>
  <c r="X21" i="11"/>
  <c r="S21" i="11"/>
  <c r="Q21" i="11"/>
  <c r="P21" i="11"/>
  <c r="O21" i="11"/>
  <c r="I21" i="11"/>
  <c r="E21" i="11"/>
  <c r="B21" i="11"/>
  <c r="Z20" i="11"/>
  <c r="Y20" i="11"/>
  <c r="X20" i="11" s="1"/>
  <c r="V20" i="11"/>
  <c r="Q20" i="11"/>
  <c r="O20" i="11"/>
  <c r="P20" i="11" s="1"/>
  <c r="J20" i="11"/>
  <c r="I20" i="11"/>
  <c r="F20" i="11"/>
  <c r="E20" i="11"/>
  <c r="G20" i="11" s="1"/>
  <c r="B20" i="11"/>
  <c r="Z19" i="11"/>
  <c r="Y19" i="11"/>
  <c r="X19" i="11"/>
  <c r="W19" i="11"/>
  <c r="U19" i="11"/>
  <c r="T19" i="11"/>
  <c r="O19" i="11"/>
  <c r="G19" i="11"/>
  <c r="F19" i="11"/>
  <c r="E19" i="11"/>
  <c r="Z18" i="11"/>
  <c r="Y18" i="11"/>
  <c r="V18" i="11" s="1"/>
  <c r="X18" i="11"/>
  <c r="O18" i="11"/>
  <c r="Q18" i="11" s="1"/>
  <c r="E18" i="11"/>
  <c r="Z17" i="11"/>
  <c r="J17" i="11" s="1"/>
  <c r="Y17" i="11"/>
  <c r="X17" i="11"/>
  <c r="W17" i="11"/>
  <c r="V17" i="11"/>
  <c r="U17" i="11"/>
  <c r="T17" i="11"/>
  <c r="S17" i="11"/>
  <c r="R17" i="11"/>
  <c r="Q17" i="11"/>
  <c r="P17" i="11"/>
  <c r="O17" i="11"/>
  <c r="F17" i="11"/>
  <c r="E17" i="11"/>
  <c r="G17" i="11" s="1"/>
  <c r="B17" i="11"/>
  <c r="Z16" i="11"/>
  <c r="I16" i="11" s="1"/>
  <c r="Y16" i="11"/>
  <c r="V16" i="11"/>
  <c r="U16" i="11"/>
  <c r="T16" i="11"/>
  <c r="O16" i="11"/>
  <c r="Q16" i="11" s="1"/>
  <c r="J16" i="11"/>
  <c r="G16" i="11"/>
  <c r="F16" i="11"/>
  <c r="E16" i="11"/>
  <c r="B16" i="11"/>
  <c r="Z15" i="11"/>
  <c r="Y15" i="11"/>
  <c r="X15" i="11"/>
  <c r="Q15" i="11"/>
  <c r="P15" i="11"/>
  <c r="O15" i="11"/>
  <c r="J15" i="11"/>
  <c r="I15" i="11"/>
  <c r="G15" i="11"/>
  <c r="E15" i="11"/>
  <c r="F15" i="11" s="1"/>
  <c r="Z14" i="11"/>
  <c r="Y14" i="11"/>
  <c r="U14" i="11" s="1"/>
  <c r="W14" i="11"/>
  <c r="S14" i="11"/>
  <c r="R14" i="11"/>
  <c r="Q14" i="11"/>
  <c r="P14" i="11"/>
  <c r="O14" i="11"/>
  <c r="J14" i="11"/>
  <c r="I14" i="11"/>
  <c r="G14" i="11"/>
  <c r="E14" i="11"/>
  <c r="F14" i="11" s="1"/>
  <c r="Z13" i="11"/>
  <c r="Y13" i="11"/>
  <c r="X13" i="11" s="1"/>
  <c r="W13" i="11"/>
  <c r="U13" i="11"/>
  <c r="T13" i="11"/>
  <c r="S13" i="11"/>
  <c r="R13" i="11"/>
  <c r="O13" i="11"/>
  <c r="J13" i="11"/>
  <c r="I13" i="11"/>
  <c r="F13" i="11"/>
  <c r="E13" i="11"/>
  <c r="G13" i="11" s="1"/>
  <c r="B13" i="11"/>
  <c r="Z12" i="11"/>
  <c r="I12" i="11" s="1"/>
  <c r="Y12" i="11"/>
  <c r="X12" i="11"/>
  <c r="W12" i="11"/>
  <c r="V12" i="11"/>
  <c r="U12" i="11"/>
  <c r="T12" i="11"/>
  <c r="S12" i="11"/>
  <c r="R12" i="11"/>
  <c r="O12" i="11"/>
  <c r="P12" i="11" s="1"/>
  <c r="J12" i="11"/>
  <c r="G12" i="11"/>
  <c r="F12" i="11"/>
  <c r="E12" i="11"/>
  <c r="B12" i="11"/>
  <c r="Z11" i="11"/>
  <c r="Y11" i="11"/>
  <c r="X11" i="11" s="1"/>
  <c r="Q11" i="11"/>
  <c r="O11" i="11"/>
  <c r="P11" i="11" s="1"/>
  <c r="G11" i="11"/>
  <c r="E11" i="11"/>
  <c r="F11" i="11" s="1"/>
  <c r="Z10" i="11"/>
  <c r="J10" i="11" s="1"/>
  <c r="Y10" i="11"/>
  <c r="Q10" i="11"/>
  <c r="O10" i="11"/>
  <c r="P10" i="11" s="1"/>
  <c r="I10" i="11"/>
  <c r="E10" i="11"/>
  <c r="Z9" i="11"/>
  <c r="J9" i="11" s="1"/>
  <c r="Y9" i="11"/>
  <c r="O9" i="11"/>
  <c r="I9" i="11"/>
  <c r="G9" i="11"/>
  <c r="F9" i="11"/>
  <c r="E9" i="11"/>
  <c r="Z8" i="11"/>
  <c r="Y8" i="11"/>
  <c r="O8" i="11"/>
  <c r="Q8" i="11" s="1"/>
  <c r="F8" i="11"/>
  <c r="E8" i="11"/>
  <c r="Z7" i="11"/>
  <c r="J7" i="11" s="1"/>
  <c r="Y7" i="11"/>
  <c r="Q7" i="11"/>
  <c r="P7" i="11"/>
  <c r="O7" i="11"/>
  <c r="F7" i="11"/>
  <c r="E7" i="11"/>
  <c r="G7" i="11" s="1"/>
  <c r="Z6" i="11"/>
  <c r="Y6" i="11"/>
  <c r="O6" i="11"/>
  <c r="J6" i="11"/>
  <c r="F6" i="11"/>
  <c r="G6" i="11" s="1"/>
  <c r="E6" i="11"/>
  <c r="Z5" i="11"/>
  <c r="Y5" i="11"/>
  <c r="O5" i="11"/>
  <c r="Q5" i="11" s="1"/>
  <c r="J5" i="11"/>
  <c r="I5" i="11"/>
  <c r="E5" i="11"/>
  <c r="M50" i="10"/>
  <c r="C50" i="10"/>
  <c r="Z49" i="10"/>
  <c r="J49" i="10" s="1"/>
  <c r="Y49" i="10"/>
  <c r="X49" i="10" s="1"/>
  <c r="O49" i="10"/>
  <c r="Q49" i="10" s="1"/>
  <c r="I49" i="10"/>
  <c r="E49" i="10"/>
  <c r="G49" i="10" s="1"/>
  <c r="B49" i="10"/>
  <c r="Z48" i="10"/>
  <c r="I48" i="10" s="1"/>
  <c r="Y48" i="10"/>
  <c r="X48" i="10"/>
  <c r="W48" i="10"/>
  <c r="O48" i="10"/>
  <c r="J48" i="10"/>
  <c r="F48" i="10"/>
  <c r="E48" i="10"/>
  <c r="G48" i="10" s="1"/>
  <c r="Z47" i="10"/>
  <c r="J47" i="10" s="1"/>
  <c r="Y47" i="10"/>
  <c r="X47" i="10"/>
  <c r="W47" i="10"/>
  <c r="U47" i="10"/>
  <c r="T47" i="10"/>
  <c r="O47" i="10"/>
  <c r="I47" i="10"/>
  <c r="G47" i="10"/>
  <c r="F47" i="10"/>
  <c r="E47" i="10"/>
  <c r="Z46" i="10"/>
  <c r="J46" i="10" s="1"/>
  <c r="Y46" i="10"/>
  <c r="X46" i="10"/>
  <c r="R46" i="10"/>
  <c r="O46" i="10"/>
  <c r="Q46" i="10" s="1"/>
  <c r="I46" i="10"/>
  <c r="E46" i="10"/>
  <c r="B46" i="10"/>
  <c r="Z45" i="10"/>
  <c r="J45" i="10" s="1"/>
  <c r="Y45" i="10"/>
  <c r="W45" i="10" s="1"/>
  <c r="S45" i="10"/>
  <c r="R45" i="10"/>
  <c r="Q45" i="10"/>
  <c r="P45" i="10"/>
  <c r="O45" i="10"/>
  <c r="F45" i="10"/>
  <c r="E45" i="10"/>
  <c r="G45" i="10" s="1"/>
  <c r="Z44" i="10"/>
  <c r="I44" i="10" s="1"/>
  <c r="Y44" i="10"/>
  <c r="V44" i="10"/>
  <c r="U44" i="10"/>
  <c r="T44" i="10"/>
  <c r="S44" i="10"/>
  <c r="R44" i="10"/>
  <c r="Q44" i="10"/>
  <c r="P44" i="10"/>
  <c r="O44" i="10"/>
  <c r="J44" i="10"/>
  <c r="G44" i="10"/>
  <c r="F44" i="10"/>
  <c r="E44" i="10"/>
  <c r="Z43" i="10"/>
  <c r="Y43" i="10"/>
  <c r="X43" i="10"/>
  <c r="W43" i="10"/>
  <c r="U43" i="10"/>
  <c r="T43" i="10"/>
  <c r="S43" i="10"/>
  <c r="R43" i="10"/>
  <c r="P43" i="10"/>
  <c r="O43" i="10"/>
  <c r="Q43" i="10" s="1"/>
  <c r="J43" i="10"/>
  <c r="I43" i="10"/>
  <c r="G43" i="10"/>
  <c r="E43" i="10"/>
  <c r="F43" i="10" s="1"/>
  <c r="Z42" i="10"/>
  <c r="Y42" i="10"/>
  <c r="W42" i="10"/>
  <c r="P42" i="10"/>
  <c r="O42" i="10"/>
  <c r="Q42" i="10" s="1"/>
  <c r="J42" i="10"/>
  <c r="I42" i="10"/>
  <c r="G42" i="10"/>
  <c r="F42" i="10"/>
  <c r="E42" i="10"/>
  <c r="Z41" i="10"/>
  <c r="Y41" i="10"/>
  <c r="X41" i="10" s="1"/>
  <c r="W41" i="10"/>
  <c r="U41" i="10"/>
  <c r="T41" i="10"/>
  <c r="S41" i="10"/>
  <c r="R41" i="10"/>
  <c r="Q41" i="10"/>
  <c r="O41" i="10"/>
  <c r="P41" i="10" s="1"/>
  <c r="J41" i="10"/>
  <c r="I41" i="10"/>
  <c r="E41" i="10"/>
  <c r="G41" i="10" s="1"/>
  <c r="B41" i="10"/>
  <c r="Z40" i="10"/>
  <c r="I40" i="10" s="1"/>
  <c r="Y40" i="10"/>
  <c r="X40" i="10"/>
  <c r="W40" i="10"/>
  <c r="V40" i="10"/>
  <c r="U40" i="10"/>
  <c r="T40" i="10"/>
  <c r="S40" i="10"/>
  <c r="R40" i="10"/>
  <c r="O40" i="10"/>
  <c r="J40" i="10"/>
  <c r="G40" i="10"/>
  <c r="E40" i="10"/>
  <c r="F40" i="10" s="1"/>
  <c r="B40" i="10"/>
  <c r="Z39" i="10"/>
  <c r="J39" i="10" s="1"/>
  <c r="Y39" i="10"/>
  <c r="X39" i="10"/>
  <c r="Q39" i="10"/>
  <c r="P39" i="10"/>
  <c r="O39" i="10"/>
  <c r="I39" i="10"/>
  <c r="E39" i="10"/>
  <c r="Z38" i="10"/>
  <c r="J38" i="10" s="1"/>
  <c r="Y38" i="10"/>
  <c r="X38" i="10"/>
  <c r="O38" i="10"/>
  <c r="P38" i="10" s="1"/>
  <c r="I38" i="10"/>
  <c r="F38" i="10"/>
  <c r="E38" i="10"/>
  <c r="G38" i="10" s="1"/>
  <c r="Z37" i="10"/>
  <c r="Y37" i="10"/>
  <c r="X37" i="10"/>
  <c r="W37" i="10"/>
  <c r="V37" i="10"/>
  <c r="U37" i="10"/>
  <c r="T37" i="10"/>
  <c r="O37" i="10"/>
  <c r="G37" i="10"/>
  <c r="F37" i="10"/>
  <c r="E37" i="10"/>
  <c r="Z36" i="10"/>
  <c r="J36" i="10" s="1"/>
  <c r="Y36" i="10"/>
  <c r="X36" i="10"/>
  <c r="W36" i="10"/>
  <c r="V36" i="10"/>
  <c r="U36" i="10"/>
  <c r="T36" i="10"/>
  <c r="S36" i="10"/>
  <c r="R36" i="10"/>
  <c r="O36" i="10"/>
  <c r="Q36" i="10" s="1"/>
  <c r="I36" i="10"/>
  <c r="E36" i="10"/>
  <c r="B36" i="10"/>
  <c r="Z35" i="10"/>
  <c r="J35" i="10" s="1"/>
  <c r="Y35" i="10"/>
  <c r="W35" i="10" s="1"/>
  <c r="X35" i="10"/>
  <c r="Q35" i="10"/>
  <c r="P35" i="10"/>
  <c r="O35" i="10"/>
  <c r="F35" i="10"/>
  <c r="E35" i="10"/>
  <c r="G35" i="10" s="1"/>
  <c r="Z34" i="10"/>
  <c r="Y34" i="10"/>
  <c r="W34" i="10"/>
  <c r="V34" i="10"/>
  <c r="U34" i="10"/>
  <c r="S34" i="10"/>
  <c r="R34" i="10"/>
  <c r="Q34" i="10"/>
  <c r="O34" i="10"/>
  <c r="P34" i="10" s="1"/>
  <c r="G34" i="10"/>
  <c r="F34" i="10"/>
  <c r="E34" i="10"/>
  <c r="B34" i="10"/>
  <c r="Z33" i="10"/>
  <c r="Y33" i="10"/>
  <c r="X33" i="10"/>
  <c r="W33" i="10"/>
  <c r="U33" i="10"/>
  <c r="T33" i="10"/>
  <c r="S33" i="10"/>
  <c r="R33" i="10"/>
  <c r="O33" i="10"/>
  <c r="J33" i="10"/>
  <c r="I33" i="10"/>
  <c r="G33" i="10"/>
  <c r="E33" i="10"/>
  <c r="F33" i="10" s="1"/>
  <c r="Z32" i="10"/>
  <c r="Y32" i="10"/>
  <c r="W32" i="10"/>
  <c r="V32" i="10"/>
  <c r="U32" i="10"/>
  <c r="S32" i="10"/>
  <c r="R32" i="10"/>
  <c r="O32" i="10"/>
  <c r="J32" i="10"/>
  <c r="I32" i="10"/>
  <c r="G32" i="10"/>
  <c r="F32" i="10"/>
  <c r="E32" i="10"/>
  <c r="Z31" i="10"/>
  <c r="Y31" i="10"/>
  <c r="X31" i="10" s="1"/>
  <c r="W31" i="10"/>
  <c r="U31" i="10"/>
  <c r="T31" i="10"/>
  <c r="S31" i="10"/>
  <c r="R31" i="10"/>
  <c r="P31" i="10"/>
  <c r="O31" i="10"/>
  <c r="Q31" i="10" s="1"/>
  <c r="J31" i="10"/>
  <c r="I31" i="10"/>
  <c r="G31" i="10"/>
  <c r="E31" i="10"/>
  <c r="F31" i="10" s="1"/>
  <c r="B31" i="10"/>
  <c r="Z30" i="10"/>
  <c r="J30" i="10" s="1"/>
  <c r="Y30" i="10"/>
  <c r="X30" i="10"/>
  <c r="W30" i="10"/>
  <c r="V30" i="10"/>
  <c r="U30" i="10"/>
  <c r="T30" i="10"/>
  <c r="S30" i="10"/>
  <c r="R30" i="10"/>
  <c r="O30" i="10"/>
  <c r="P30" i="10" s="1"/>
  <c r="I30" i="10"/>
  <c r="G30" i="10"/>
  <c r="F30" i="10"/>
  <c r="E30" i="10"/>
  <c r="B30" i="10"/>
  <c r="Z29" i="10"/>
  <c r="Y29" i="10"/>
  <c r="Q29" i="10"/>
  <c r="P29" i="10"/>
  <c r="O29" i="10"/>
  <c r="G29" i="10"/>
  <c r="F29" i="10"/>
  <c r="E29" i="10"/>
  <c r="Z28" i="10"/>
  <c r="Y28" i="10"/>
  <c r="X28" i="10"/>
  <c r="W28" i="10"/>
  <c r="V28" i="10"/>
  <c r="Q28" i="10"/>
  <c r="O28" i="10"/>
  <c r="P28" i="10" s="1"/>
  <c r="J28" i="10"/>
  <c r="I28" i="10"/>
  <c r="E28" i="10"/>
  <c r="B28" i="10"/>
  <c r="Z27" i="10"/>
  <c r="Y27" i="10"/>
  <c r="O27" i="10"/>
  <c r="G27" i="10"/>
  <c r="F27" i="10"/>
  <c r="E27" i="10"/>
  <c r="B27" i="10"/>
  <c r="Z26" i="10"/>
  <c r="J26" i="10" s="1"/>
  <c r="Y26" i="10"/>
  <c r="B26" i="10" s="1"/>
  <c r="X26" i="10"/>
  <c r="W26" i="10"/>
  <c r="V26" i="10"/>
  <c r="U26" i="10"/>
  <c r="T26" i="10"/>
  <c r="S26" i="10"/>
  <c r="R26" i="10"/>
  <c r="O26" i="10"/>
  <c r="Q26" i="10" s="1"/>
  <c r="I26" i="10"/>
  <c r="F26" i="10"/>
  <c r="E26" i="10"/>
  <c r="G26" i="10" s="1"/>
  <c r="Z25" i="10"/>
  <c r="J25" i="10" s="1"/>
  <c r="Y25" i="10"/>
  <c r="X25" i="10"/>
  <c r="W25" i="10"/>
  <c r="V25" i="10"/>
  <c r="U25" i="10"/>
  <c r="T25" i="10"/>
  <c r="S25" i="10"/>
  <c r="R25" i="10"/>
  <c r="Q25" i="10"/>
  <c r="P25" i="10"/>
  <c r="O25" i="10"/>
  <c r="F25" i="10"/>
  <c r="E25" i="10"/>
  <c r="G25" i="10" s="1"/>
  <c r="B25" i="10"/>
  <c r="Z24" i="10"/>
  <c r="I24" i="10" s="1"/>
  <c r="Y24" i="10"/>
  <c r="W24" i="10"/>
  <c r="V24" i="10"/>
  <c r="P24" i="10"/>
  <c r="O24" i="10"/>
  <c r="Q24" i="10" s="1"/>
  <c r="J24" i="10"/>
  <c r="G24" i="10"/>
  <c r="F24" i="10"/>
  <c r="E24" i="10"/>
  <c r="B24" i="10"/>
  <c r="Z23" i="10"/>
  <c r="Y23" i="10"/>
  <c r="X23" i="10"/>
  <c r="W23" i="10"/>
  <c r="T23" i="10"/>
  <c r="S23" i="10"/>
  <c r="R23" i="10"/>
  <c r="P23" i="10"/>
  <c r="O23" i="10"/>
  <c r="Q23" i="10" s="1"/>
  <c r="J23" i="10"/>
  <c r="I23" i="10"/>
  <c r="G23" i="10"/>
  <c r="E23" i="10"/>
  <c r="F23" i="10" s="1"/>
  <c r="Z22" i="10"/>
  <c r="Y22" i="10"/>
  <c r="W22" i="10"/>
  <c r="V22" i="10"/>
  <c r="U22" i="10"/>
  <c r="S22" i="10"/>
  <c r="R22" i="10"/>
  <c r="Q22" i="10"/>
  <c r="P22" i="10"/>
  <c r="O22" i="10"/>
  <c r="J22" i="10"/>
  <c r="I22" i="10"/>
  <c r="G22" i="10"/>
  <c r="E22" i="10"/>
  <c r="F22" i="10" s="1"/>
  <c r="Z21" i="10"/>
  <c r="Y21" i="10"/>
  <c r="X21" i="10" s="1"/>
  <c r="W21" i="10"/>
  <c r="U21" i="10"/>
  <c r="T21" i="10"/>
  <c r="S21" i="10"/>
  <c r="R21" i="10"/>
  <c r="P21" i="10"/>
  <c r="O21" i="10"/>
  <c r="Q21" i="10" s="1"/>
  <c r="J21" i="10"/>
  <c r="I21" i="10"/>
  <c r="G21" i="10"/>
  <c r="F21" i="10"/>
  <c r="E21" i="10"/>
  <c r="B21" i="10"/>
  <c r="Z20" i="10"/>
  <c r="J20" i="10" s="1"/>
  <c r="Y20" i="10"/>
  <c r="X20" i="10"/>
  <c r="W20" i="10"/>
  <c r="V20" i="10"/>
  <c r="U20" i="10"/>
  <c r="T20" i="10"/>
  <c r="S20" i="10"/>
  <c r="R20" i="10"/>
  <c r="Q20" i="10"/>
  <c r="O20" i="10"/>
  <c r="P20" i="10" s="1"/>
  <c r="E20" i="10"/>
  <c r="B20" i="10"/>
  <c r="Z19" i="10"/>
  <c r="Y19" i="10"/>
  <c r="X19" i="10"/>
  <c r="S19" i="10"/>
  <c r="Q19" i="10"/>
  <c r="O19" i="10"/>
  <c r="P19" i="10" s="1"/>
  <c r="E19" i="10"/>
  <c r="B19" i="10"/>
  <c r="Z18" i="10"/>
  <c r="Y18" i="10"/>
  <c r="X18" i="10"/>
  <c r="W18" i="10"/>
  <c r="V18" i="10"/>
  <c r="Q18" i="10"/>
  <c r="O18" i="10"/>
  <c r="P18" i="10" s="1"/>
  <c r="F18" i="10"/>
  <c r="E18" i="10"/>
  <c r="G18" i="10" s="1"/>
  <c r="B18" i="10"/>
  <c r="Z17" i="10"/>
  <c r="J17" i="10" s="1"/>
  <c r="Y17" i="10"/>
  <c r="X17" i="10" s="1"/>
  <c r="V17" i="10"/>
  <c r="U17" i="10"/>
  <c r="T17" i="10"/>
  <c r="O17" i="10"/>
  <c r="I17" i="10"/>
  <c r="G17" i="10"/>
  <c r="F17" i="10"/>
  <c r="E17" i="10"/>
  <c r="B17" i="10"/>
  <c r="Z16" i="10"/>
  <c r="Y16" i="10"/>
  <c r="X16" i="10" s="1"/>
  <c r="U16" i="10"/>
  <c r="T16" i="10"/>
  <c r="O16" i="10"/>
  <c r="Q16" i="10" s="1"/>
  <c r="E16" i="10"/>
  <c r="B16" i="10"/>
  <c r="Z15" i="10"/>
  <c r="Y15" i="10"/>
  <c r="B15" i="10" s="1"/>
  <c r="X15" i="10"/>
  <c r="W15" i="10"/>
  <c r="V15" i="10"/>
  <c r="U15" i="10"/>
  <c r="T15" i="10"/>
  <c r="S15" i="10"/>
  <c r="R15" i="10"/>
  <c r="Q15" i="10"/>
  <c r="P15" i="10"/>
  <c r="O15" i="10"/>
  <c r="F15" i="10"/>
  <c r="E15" i="10"/>
  <c r="G15" i="10" s="1"/>
  <c r="Z14" i="10"/>
  <c r="I14" i="10" s="1"/>
  <c r="Y14" i="10"/>
  <c r="X14" i="10"/>
  <c r="W14" i="10"/>
  <c r="V14" i="10"/>
  <c r="U14" i="10"/>
  <c r="T14" i="10"/>
  <c r="S14" i="10"/>
  <c r="R14" i="10"/>
  <c r="P14" i="10"/>
  <c r="O14" i="10"/>
  <c r="Q14" i="10" s="1"/>
  <c r="J14" i="10"/>
  <c r="G14" i="10"/>
  <c r="F14" i="10"/>
  <c r="E14" i="10"/>
  <c r="B14" i="10"/>
  <c r="Z13" i="10"/>
  <c r="Y13" i="10"/>
  <c r="B13" i="10" s="1"/>
  <c r="X13" i="10"/>
  <c r="W13" i="10"/>
  <c r="V13" i="10"/>
  <c r="U13" i="10"/>
  <c r="T13" i="10"/>
  <c r="S13" i="10"/>
  <c r="R13" i="10"/>
  <c r="P13" i="10"/>
  <c r="O13" i="10"/>
  <c r="Q13" i="10" s="1"/>
  <c r="J13" i="10"/>
  <c r="I13" i="10"/>
  <c r="G13" i="10"/>
  <c r="E13" i="10"/>
  <c r="F13" i="10" s="1"/>
  <c r="Z12" i="10"/>
  <c r="Y12" i="10"/>
  <c r="U12" i="10"/>
  <c r="O12" i="10"/>
  <c r="J12" i="10"/>
  <c r="I12" i="10"/>
  <c r="E12" i="10"/>
  <c r="G12" i="10" s="1"/>
  <c r="Z11" i="10"/>
  <c r="Y11" i="10"/>
  <c r="Q11" i="10"/>
  <c r="P11" i="10"/>
  <c r="O11" i="10"/>
  <c r="J11" i="10"/>
  <c r="I11" i="10"/>
  <c r="E11" i="10"/>
  <c r="Z10" i="10"/>
  <c r="I10" i="10" s="1"/>
  <c r="Y10" i="10"/>
  <c r="P10" i="10"/>
  <c r="O10" i="10"/>
  <c r="Q10" i="10" s="1"/>
  <c r="J10" i="10"/>
  <c r="E10" i="10"/>
  <c r="Z9" i="10"/>
  <c r="Y9" i="10"/>
  <c r="O9" i="10"/>
  <c r="Q9" i="10" s="1"/>
  <c r="J9" i="10"/>
  <c r="I9" i="10"/>
  <c r="G9" i="10"/>
  <c r="F9" i="10"/>
  <c r="E9" i="10"/>
  <c r="Z8" i="10"/>
  <c r="Y8" i="10"/>
  <c r="Q8" i="10"/>
  <c r="O8" i="10"/>
  <c r="P8" i="10" s="1"/>
  <c r="E8" i="10"/>
  <c r="Z7" i="10"/>
  <c r="Y7" i="10"/>
  <c r="O7" i="10"/>
  <c r="F7" i="10"/>
  <c r="E7" i="10"/>
  <c r="G7" i="10" s="1"/>
  <c r="Z6" i="10"/>
  <c r="J6" i="10" s="1"/>
  <c r="Y6" i="10"/>
  <c r="O6" i="10"/>
  <c r="Q6" i="10" s="1"/>
  <c r="I6" i="10"/>
  <c r="E6" i="10"/>
  <c r="Z5" i="10"/>
  <c r="Y5" i="10"/>
  <c r="Q5" i="10"/>
  <c r="P5" i="10"/>
  <c r="O5" i="10"/>
  <c r="F5" i="10"/>
  <c r="E5" i="10"/>
  <c r="G5" i="10" s="1"/>
  <c r="M50" i="9"/>
  <c r="C50" i="9"/>
  <c r="Z49" i="9"/>
  <c r="Y49" i="9"/>
  <c r="X49" i="9" s="1"/>
  <c r="W49" i="9"/>
  <c r="U49" i="9"/>
  <c r="T49" i="9"/>
  <c r="S49" i="9"/>
  <c r="R49" i="9"/>
  <c r="Q49" i="9"/>
  <c r="O49" i="9"/>
  <c r="P49" i="9" s="1"/>
  <c r="J49" i="9"/>
  <c r="I49" i="9"/>
  <c r="F49" i="9"/>
  <c r="E49" i="9"/>
  <c r="G49" i="9" s="1"/>
  <c r="B49" i="9"/>
  <c r="Z48" i="9"/>
  <c r="I48" i="9" s="1"/>
  <c r="Y48" i="9"/>
  <c r="X48" i="9"/>
  <c r="W48" i="9"/>
  <c r="V48" i="9"/>
  <c r="U48" i="9"/>
  <c r="T48" i="9"/>
  <c r="S48" i="9"/>
  <c r="R48" i="9"/>
  <c r="O48" i="9"/>
  <c r="Q48" i="9" s="1"/>
  <c r="G48" i="9"/>
  <c r="E48" i="9"/>
  <c r="F48" i="9" s="1"/>
  <c r="B48" i="9"/>
  <c r="Z47" i="9"/>
  <c r="J47" i="9" s="1"/>
  <c r="Y47" i="9"/>
  <c r="X47" i="9"/>
  <c r="Q47" i="9"/>
  <c r="O47" i="9"/>
  <c r="P47" i="9" s="1"/>
  <c r="G47" i="9"/>
  <c r="F47" i="9"/>
  <c r="E47" i="9"/>
  <c r="Z46" i="9"/>
  <c r="Y46" i="9"/>
  <c r="X46" i="9" s="1"/>
  <c r="W46" i="9"/>
  <c r="V46" i="9"/>
  <c r="O46" i="9"/>
  <c r="J46" i="9"/>
  <c r="I46" i="9"/>
  <c r="G46" i="9"/>
  <c r="E46" i="9"/>
  <c r="F46" i="9" s="1"/>
  <c r="Z45" i="9"/>
  <c r="J45" i="9" s="1"/>
  <c r="Y45" i="9"/>
  <c r="X45" i="9"/>
  <c r="W45" i="9"/>
  <c r="V45" i="9"/>
  <c r="U45" i="9"/>
  <c r="T45" i="9"/>
  <c r="O45" i="9"/>
  <c r="I45" i="9"/>
  <c r="F45" i="9"/>
  <c r="E45" i="9"/>
  <c r="G45" i="9" s="1"/>
  <c r="B45" i="9"/>
  <c r="Z44" i="9"/>
  <c r="Y44" i="9"/>
  <c r="W44" i="9" s="1"/>
  <c r="X44" i="9"/>
  <c r="O44" i="9"/>
  <c r="Q44" i="9" s="1"/>
  <c r="F44" i="9"/>
  <c r="E44" i="9"/>
  <c r="G44" i="9" s="1"/>
  <c r="B44" i="9"/>
  <c r="Z43" i="9"/>
  <c r="Y43" i="9"/>
  <c r="U43" i="9" s="1"/>
  <c r="X43" i="9"/>
  <c r="Q43" i="9"/>
  <c r="P43" i="9"/>
  <c r="O43" i="9"/>
  <c r="F43" i="9"/>
  <c r="E43" i="9"/>
  <c r="G43" i="9" s="1"/>
  <c r="Z42" i="9"/>
  <c r="I42" i="9" s="1"/>
  <c r="Y42" i="9"/>
  <c r="T42" i="9"/>
  <c r="Q42" i="9"/>
  <c r="O42" i="9"/>
  <c r="P42" i="9" s="1"/>
  <c r="J42" i="9"/>
  <c r="G42" i="9"/>
  <c r="F42" i="9"/>
  <c r="E42" i="9"/>
  <c r="Z41" i="9"/>
  <c r="Y41" i="9"/>
  <c r="B41" i="9" s="1"/>
  <c r="X41" i="9"/>
  <c r="W41" i="9"/>
  <c r="V41" i="9"/>
  <c r="U41" i="9"/>
  <c r="T41" i="9"/>
  <c r="S41" i="9"/>
  <c r="R41" i="9"/>
  <c r="O41" i="9"/>
  <c r="J41" i="9"/>
  <c r="I41" i="9"/>
  <c r="G41" i="9"/>
  <c r="E41" i="9"/>
  <c r="F41" i="9" s="1"/>
  <c r="Z40" i="9"/>
  <c r="Y40" i="9"/>
  <c r="R40" i="9" s="1"/>
  <c r="Q40" i="9"/>
  <c r="P40" i="9"/>
  <c r="O40" i="9"/>
  <c r="J40" i="9"/>
  <c r="I40" i="9"/>
  <c r="G40" i="9"/>
  <c r="E40" i="9"/>
  <c r="F40" i="9" s="1"/>
  <c r="Z39" i="9"/>
  <c r="Y39" i="9"/>
  <c r="X39" i="9" s="1"/>
  <c r="W39" i="9"/>
  <c r="U39" i="9"/>
  <c r="T39" i="9"/>
  <c r="S39" i="9"/>
  <c r="R39" i="9"/>
  <c r="Q39" i="9"/>
  <c r="O39" i="9"/>
  <c r="P39" i="9" s="1"/>
  <c r="J39" i="9"/>
  <c r="I39" i="9"/>
  <c r="G39" i="9"/>
  <c r="F39" i="9"/>
  <c r="E39" i="9"/>
  <c r="B39" i="9"/>
  <c r="Z38" i="9"/>
  <c r="Y38" i="9"/>
  <c r="X38" i="9"/>
  <c r="W38" i="9"/>
  <c r="V38" i="9"/>
  <c r="U38" i="9"/>
  <c r="T38" i="9"/>
  <c r="S38" i="9"/>
  <c r="R38" i="9"/>
  <c r="Q38" i="9"/>
  <c r="O38" i="9"/>
  <c r="P38" i="9" s="1"/>
  <c r="F38" i="9"/>
  <c r="E38" i="9"/>
  <c r="G38" i="9" s="1"/>
  <c r="B38" i="9"/>
  <c r="Z37" i="9"/>
  <c r="Y37" i="9"/>
  <c r="X37" i="9" s="1"/>
  <c r="S37" i="9"/>
  <c r="O37" i="9"/>
  <c r="J37" i="9"/>
  <c r="I37" i="9"/>
  <c r="F37" i="9"/>
  <c r="E37" i="9"/>
  <c r="G37" i="9" s="1"/>
  <c r="Z36" i="9"/>
  <c r="Y36" i="9"/>
  <c r="X36" i="9"/>
  <c r="W36" i="9"/>
  <c r="V36" i="9"/>
  <c r="Q36" i="9"/>
  <c r="O36" i="9"/>
  <c r="P36" i="9" s="1"/>
  <c r="J36" i="9"/>
  <c r="I36" i="9"/>
  <c r="E36" i="9"/>
  <c r="G36" i="9" s="1"/>
  <c r="B36" i="9"/>
  <c r="Z35" i="9"/>
  <c r="Y35" i="9"/>
  <c r="W35" i="9" s="1"/>
  <c r="U35" i="9"/>
  <c r="O35" i="9"/>
  <c r="E35" i="9"/>
  <c r="B35" i="9"/>
  <c r="Z34" i="9"/>
  <c r="Y34" i="9"/>
  <c r="B34" i="9" s="1"/>
  <c r="X34" i="9"/>
  <c r="W34" i="9"/>
  <c r="V34" i="9"/>
  <c r="U34" i="9"/>
  <c r="T34" i="9"/>
  <c r="S34" i="9"/>
  <c r="R34" i="9"/>
  <c r="O34" i="9"/>
  <c r="Q34" i="9" s="1"/>
  <c r="E34" i="9"/>
  <c r="Z33" i="9"/>
  <c r="Y33" i="9"/>
  <c r="X33" i="9"/>
  <c r="W33" i="9"/>
  <c r="V33" i="9"/>
  <c r="U33" i="9"/>
  <c r="T33" i="9"/>
  <c r="S33" i="9"/>
  <c r="R33" i="9"/>
  <c r="Q33" i="9"/>
  <c r="P33" i="9"/>
  <c r="O33" i="9"/>
  <c r="F33" i="9"/>
  <c r="E33" i="9"/>
  <c r="G33" i="9" s="1"/>
  <c r="B33" i="9"/>
  <c r="Z32" i="9"/>
  <c r="Y32" i="9"/>
  <c r="X32" i="9" s="1"/>
  <c r="W32" i="9"/>
  <c r="O32" i="9"/>
  <c r="P32" i="9" s="1"/>
  <c r="G32" i="9"/>
  <c r="F32" i="9"/>
  <c r="E32" i="9"/>
  <c r="B32" i="9"/>
  <c r="Z31" i="9"/>
  <c r="Y31" i="9"/>
  <c r="X31" i="9"/>
  <c r="W31" i="9"/>
  <c r="V31" i="9"/>
  <c r="O31" i="9"/>
  <c r="Q31" i="9" s="1"/>
  <c r="J31" i="9"/>
  <c r="I31" i="9"/>
  <c r="G31" i="9"/>
  <c r="E31" i="9"/>
  <c r="F31" i="9" s="1"/>
  <c r="Z30" i="9"/>
  <c r="Y30" i="9"/>
  <c r="V30" i="9"/>
  <c r="T30" i="9"/>
  <c r="R30" i="9"/>
  <c r="Q30" i="9"/>
  <c r="P30" i="9"/>
  <c r="O30" i="9"/>
  <c r="J30" i="9"/>
  <c r="I30" i="9"/>
  <c r="E30" i="9"/>
  <c r="G30" i="9" s="1"/>
  <c r="Z29" i="9"/>
  <c r="Y29" i="9"/>
  <c r="X29" i="9" s="1"/>
  <c r="W29" i="9"/>
  <c r="U29" i="9"/>
  <c r="T29" i="9"/>
  <c r="S29" i="9"/>
  <c r="R29" i="9"/>
  <c r="Q29" i="9"/>
  <c r="O29" i="9"/>
  <c r="P29" i="9" s="1"/>
  <c r="J29" i="9"/>
  <c r="I29" i="9"/>
  <c r="E29" i="9"/>
  <c r="B29" i="9"/>
  <c r="Z28" i="9"/>
  <c r="Y28" i="9"/>
  <c r="X28" i="9"/>
  <c r="W28" i="9"/>
  <c r="V28" i="9"/>
  <c r="U28" i="9"/>
  <c r="T28" i="9"/>
  <c r="S28" i="9"/>
  <c r="R28" i="9"/>
  <c r="O28" i="9"/>
  <c r="J28" i="9"/>
  <c r="I28" i="9"/>
  <c r="F28" i="9"/>
  <c r="E28" i="9"/>
  <c r="G28" i="9" s="1"/>
  <c r="B28" i="9"/>
  <c r="Z27" i="9"/>
  <c r="Y27" i="9"/>
  <c r="X27" i="9"/>
  <c r="S27" i="9"/>
  <c r="O27" i="9"/>
  <c r="F27" i="9"/>
  <c r="E27" i="9"/>
  <c r="G27" i="9" s="1"/>
  <c r="B27" i="9"/>
  <c r="Z26" i="9"/>
  <c r="I26" i="9" s="1"/>
  <c r="Y26" i="9"/>
  <c r="X26" i="9"/>
  <c r="W26" i="9"/>
  <c r="V26" i="9"/>
  <c r="Q26" i="9"/>
  <c r="O26" i="9"/>
  <c r="P26" i="9" s="1"/>
  <c r="J26" i="9"/>
  <c r="G26" i="9"/>
  <c r="E26" i="9"/>
  <c r="F26" i="9" s="1"/>
  <c r="Z25" i="9"/>
  <c r="Y25" i="9"/>
  <c r="X25" i="9" s="1"/>
  <c r="O25" i="9"/>
  <c r="E25" i="9"/>
  <c r="G25" i="9" s="1"/>
  <c r="Z24" i="9"/>
  <c r="Y24" i="9"/>
  <c r="R24" i="9" s="1"/>
  <c r="O24" i="9"/>
  <c r="Q24" i="9" s="1"/>
  <c r="F24" i="9"/>
  <c r="E24" i="9"/>
  <c r="G24" i="9" s="1"/>
  <c r="B24" i="9"/>
  <c r="Z23" i="9"/>
  <c r="Y23" i="9"/>
  <c r="W23" i="9" s="1"/>
  <c r="X23" i="9"/>
  <c r="S23" i="9"/>
  <c r="Q23" i="9"/>
  <c r="P23" i="9"/>
  <c r="O23" i="9"/>
  <c r="F23" i="9"/>
  <c r="E23" i="9"/>
  <c r="G23" i="9" s="1"/>
  <c r="Z22" i="9"/>
  <c r="I22" i="9" s="1"/>
  <c r="Y22" i="9"/>
  <c r="B22" i="9" s="1"/>
  <c r="X22" i="9"/>
  <c r="W22" i="9"/>
  <c r="V22" i="9"/>
  <c r="U22" i="9"/>
  <c r="T22" i="9"/>
  <c r="S22" i="9"/>
  <c r="R22" i="9"/>
  <c r="Q22" i="9"/>
  <c r="P22" i="9"/>
  <c r="O22" i="9"/>
  <c r="J22" i="9"/>
  <c r="G22" i="9"/>
  <c r="F22" i="9"/>
  <c r="E22" i="9"/>
  <c r="Z21" i="9"/>
  <c r="Y21" i="9"/>
  <c r="X21" i="9"/>
  <c r="W21" i="9"/>
  <c r="U21" i="9"/>
  <c r="T21" i="9"/>
  <c r="S21" i="9"/>
  <c r="R21" i="9"/>
  <c r="O21" i="9"/>
  <c r="Q21" i="9" s="1"/>
  <c r="J21" i="9"/>
  <c r="I21" i="9"/>
  <c r="G21" i="9"/>
  <c r="E21" i="9"/>
  <c r="F21" i="9" s="1"/>
  <c r="Z20" i="9"/>
  <c r="Y20" i="9"/>
  <c r="W20" i="9"/>
  <c r="V20" i="9"/>
  <c r="U20" i="9"/>
  <c r="T20" i="9"/>
  <c r="S20" i="9"/>
  <c r="R20" i="9"/>
  <c r="Q20" i="9"/>
  <c r="O20" i="9"/>
  <c r="P20" i="9" s="1"/>
  <c r="J20" i="9"/>
  <c r="I20" i="9"/>
  <c r="F20" i="9"/>
  <c r="E20" i="9"/>
  <c r="G20" i="9" s="1"/>
  <c r="Z19" i="9"/>
  <c r="Y19" i="9"/>
  <c r="W19" i="9"/>
  <c r="P19" i="9"/>
  <c r="O19" i="9"/>
  <c r="Q19" i="9" s="1"/>
  <c r="J19" i="9"/>
  <c r="I19" i="9"/>
  <c r="E19" i="9"/>
  <c r="G19" i="9" s="1"/>
  <c r="Z18" i="9"/>
  <c r="Y18" i="9"/>
  <c r="X18" i="9"/>
  <c r="W18" i="9"/>
  <c r="V18" i="9"/>
  <c r="U18" i="9"/>
  <c r="T18" i="9"/>
  <c r="S18" i="9"/>
  <c r="R18" i="9"/>
  <c r="O18" i="9"/>
  <c r="Q18" i="9" s="1"/>
  <c r="J18" i="9"/>
  <c r="I18" i="9"/>
  <c r="G18" i="9"/>
  <c r="E18" i="9"/>
  <c r="F18" i="9" s="1"/>
  <c r="B18" i="9"/>
  <c r="Z17" i="9"/>
  <c r="I17" i="9" s="1"/>
  <c r="Y17" i="9"/>
  <c r="X17" i="9" s="1"/>
  <c r="U17" i="9"/>
  <c r="P17" i="9"/>
  <c r="O17" i="9"/>
  <c r="Q17" i="9" s="1"/>
  <c r="G17" i="9"/>
  <c r="E17" i="9"/>
  <c r="F17" i="9" s="1"/>
  <c r="Z16" i="9"/>
  <c r="J16" i="9" s="1"/>
  <c r="Y16" i="9"/>
  <c r="X16" i="9"/>
  <c r="V16" i="9"/>
  <c r="S16" i="9"/>
  <c r="O16" i="9"/>
  <c r="I16" i="9"/>
  <c r="G16" i="9"/>
  <c r="F16" i="9"/>
  <c r="E16" i="9"/>
  <c r="Z15" i="9"/>
  <c r="Y15" i="9"/>
  <c r="X15" i="9"/>
  <c r="W15" i="9"/>
  <c r="V15" i="9"/>
  <c r="U15" i="9"/>
  <c r="T15" i="9"/>
  <c r="O15" i="9"/>
  <c r="G15" i="9"/>
  <c r="F15" i="9"/>
  <c r="E15" i="9"/>
  <c r="B15" i="9"/>
  <c r="Z14" i="9"/>
  <c r="Y14" i="9"/>
  <c r="X14" i="9"/>
  <c r="W14" i="9"/>
  <c r="O14" i="9"/>
  <c r="E14" i="9"/>
  <c r="B14" i="9"/>
  <c r="Z13" i="9"/>
  <c r="J13" i="9" s="1"/>
  <c r="Y13" i="9"/>
  <c r="B13" i="9" s="1"/>
  <c r="X13" i="9"/>
  <c r="W13" i="9"/>
  <c r="V13" i="9"/>
  <c r="U13" i="9"/>
  <c r="T13" i="9"/>
  <c r="S13" i="9"/>
  <c r="R13" i="9"/>
  <c r="Q13" i="9"/>
  <c r="P13" i="9"/>
  <c r="O13" i="9"/>
  <c r="I13" i="9"/>
  <c r="F13" i="9"/>
  <c r="E13" i="9"/>
  <c r="G13" i="9" s="1"/>
  <c r="Z12" i="9"/>
  <c r="I12" i="9" s="1"/>
  <c r="Y12" i="9"/>
  <c r="X12" i="9"/>
  <c r="W12" i="9"/>
  <c r="V12" i="9"/>
  <c r="U12" i="9"/>
  <c r="T12" i="9"/>
  <c r="S12" i="9"/>
  <c r="R12" i="9"/>
  <c r="O12" i="9"/>
  <c r="Q12" i="9" s="1"/>
  <c r="J12" i="9"/>
  <c r="G12" i="9"/>
  <c r="F12" i="9"/>
  <c r="E12" i="9"/>
  <c r="B12" i="9"/>
  <c r="Z11" i="9"/>
  <c r="Y11" i="9"/>
  <c r="X11" i="9" s="1"/>
  <c r="V11" i="9"/>
  <c r="U11" i="9"/>
  <c r="T11" i="9"/>
  <c r="S11" i="9"/>
  <c r="R11" i="9"/>
  <c r="O11" i="9"/>
  <c r="P11" i="9" s="1"/>
  <c r="J11" i="9"/>
  <c r="I11" i="9"/>
  <c r="G11" i="9"/>
  <c r="E11" i="9"/>
  <c r="F11" i="9" s="1"/>
  <c r="B11" i="9"/>
  <c r="Z10" i="9"/>
  <c r="Y10" i="9"/>
  <c r="W10" i="9" s="1"/>
  <c r="Q10" i="9"/>
  <c r="O10" i="9"/>
  <c r="P10" i="9" s="1"/>
  <c r="J10" i="9"/>
  <c r="I10" i="9"/>
  <c r="F10" i="9"/>
  <c r="E10" i="9"/>
  <c r="G10" i="9" s="1"/>
  <c r="Z9" i="9"/>
  <c r="Y9" i="9"/>
  <c r="P9" i="9"/>
  <c r="O9" i="9"/>
  <c r="Q9" i="9" s="1"/>
  <c r="J9" i="9"/>
  <c r="I9" i="9"/>
  <c r="F9" i="9"/>
  <c r="G9" i="9" s="1"/>
  <c r="E9" i="9"/>
  <c r="Z8" i="9"/>
  <c r="I8" i="9" s="1"/>
  <c r="Y8" i="9"/>
  <c r="P8" i="9"/>
  <c r="O8" i="9"/>
  <c r="Q8" i="9" s="1"/>
  <c r="J8" i="9"/>
  <c r="F8" i="9"/>
  <c r="E8" i="9"/>
  <c r="Z7" i="9"/>
  <c r="Y7" i="9"/>
  <c r="Q7" i="9"/>
  <c r="P7" i="9"/>
  <c r="O7" i="9"/>
  <c r="J7" i="9"/>
  <c r="I7" i="9"/>
  <c r="E7" i="9"/>
  <c r="Z6" i="9"/>
  <c r="Y6" i="9"/>
  <c r="O6" i="9"/>
  <c r="J6" i="9"/>
  <c r="I6" i="9"/>
  <c r="F6" i="9"/>
  <c r="E6" i="9"/>
  <c r="Z5" i="9"/>
  <c r="Y5" i="9"/>
  <c r="O5" i="9"/>
  <c r="P5" i="9" s="1"/>
  <c r="E5" i="9"/>
  <c r="M50" i="8"/>
  <c r="C50" i="8"/>
  <c r="Z49" i="8"/>
  <c r="Y49" i="8"/>
  <c r="X49" i="8" s="1"/>
  <c r="V49" i="8"/>
  <c r="U49" i="8"/>
  <c r="T49" i="8"/>
  <c r="S49" i="8"/>
  <c r="R49" i="8"/>
  <c r="O49" i="8"/>
  <c r="Q49" i="8" s="1"/>
  <c r="J49" i="8"/>
  <c r="I49" i="8"/>
  <c r="G49" i="8"/>
  <c r="E49" i="8"/>
  <c r="F49" i="8" s="1"/>
  <c r="B49" i="8"/>
  <c r="Z48" i="8"/>
  <c r="Y48" i="8"/>
  <c r="W48" i="8"/>
  <c r="O48" i="8"/>
  <c r="Q48" i="8" s="1"/>
  <c r="J48" i="8"/>
  <c r="I48" i="8"/>
  <c r="G48" i="8"/>
  <c r="F48" i="8"/>
  <c r="E48" i="8"/>
  <c r="Z47" i="8"/>
  <c r="Y47" i="8"/>
  <c r="W47" i="8" s="1"/>
  <c r="U47" i="8"/>
  <c r="T47" i="8"/>
  <c r="S47" i="8"/>
  <c r="R47" i="8"/>
  <c r="P47" i="8"/>
  <c r="O47" i="8"/>
  <c r="Q47" i="8" s="1"/>
  <c r="F47" i="8"/>
  <c r="E47" i="8"/>
  <c r="G47" i="8" s="1"/>
  <c r="Z46" i="8"/>
  <c r="Y46" i="8"/>
  <c r="X46" i="8"/>
  <c r="W46" i="8"/>
  <c r="V46" i="8"/>
  <c r="U46" i="8"/>
  <c r="T46" i="8"/>
  <c r="S46" i="8"/>
  <c r="R46" i="8"/>
  <c r="Q46" i="8"/>
  <c r="P46" i="8"/>
  <c r="O46" i="8"/>
  <c r="E46" i="8"/>
  <c r="B46" i="8"/>
  <c r="Z45" i="8"/>
  <c r="Y45" i="8"/>
  <c r="X45" i="8"/>
  <c r="V45" i="8"/>
  <c r="U45" i="8"/>
  <c r="S45" i="8"/>
  <c r="O45" i="8"/>
  <c r="Q45" i="8" s="1"/>
  <c r="G45" i="8"/>
  <c r="F45" i="8"/>
  <c r="E45" i="8"/>
  <c r="Z44" i="8"/>
  <c r="Y44" i="8"/>
  <c r="X44" i="8"/>
  <c r="W44" i="8"/>
  <c r="V44" i="8"/>
  <c r="T44" i="8"/>
  <c r="S44" i="8"/>
  <c r="O44" i="8"/>
  <c r="J44" i="8"/>
  <c r="I44" i="8"/>
  <c r="G44" i="8"/>
  <c r="F44" i="8"/>
  <c r="E44" i="8"/>
  <c r="B44" i="8"/>
  <c r="Z43" i="8"/>
  <c r="Y43" i="8"/>
  <c r="X43" i="8"/>
  <c r="Q43" i="8"/>
  <c r="O43" i="8"/>
  <c r="P43" i="8" s="1"/>
  <c r="F43" i="8"/>
  <c r="E43" i="8"/>
  <c r="G43" i="8" s="1"/>
  <c r="Z42" i="8"/>
  <c r="Y42" i="8"/>
  <c r="R42" i="8" s="1"/>
  <c r="X42" i="8"/>
  <c r="V42" i="8"/>
  <c r="U42" i="8"/>
  <c r="T42" i="8"/>
  <c r="S42" i="8"/>
  <c r="P42" i="8"/>
  <c r="O42" i="8"/>
  <c r="Q42" i="8" s="1"/>
  <c r="E42" i="8"/>
  <c r="B42" i="8"/>
  <c r="Z41" i="8"/>
  <c r="I41" i="8" s="1"/>
  <c r="Y41" i="8"/>
  <c r="B41" i="8" s="1"/>
  <c r="X41" i="8"/>
  <c r="W41" i="8"/>
  <c r="V41" i="8"/>
  <c r="U41" i="8"/>
  <c r="T41" i="8"/>
  <c r="S41" i="8"/>
  <c r="R41" i="8"/>
  <c r="Q41" i="8"/>
  <c r="P41" i="8"/>
  <c r="O41" i="8"/>
  <c r="J41" i="8"/>
  <c r="F41" i="8"/>
  <c r="E41" i="8"/>
  <c r="G41" i="8" s="1"/>
  <c r="Z40" i="8"/>
  <c r="I40" i="8" s="1"/>
  <c r="Y40" i="8"/>
  <c r="X40" i="8"/>
  <c r="W40" i="8"/>
  <c r="O40" i="8"/>
  <c r="Q40" i="8" s="1"/>
  <c r="J40" i="8"/>
  <c r="G40" i="8"/>
  <c r="F40" i="8"/>
  <c r="E40" i="8"/>
  <c r="Z39" i="8"/>
  <c r="Y39" i="8"/>
  <c r="X39" i="8"/>
  <c r="W39" i="8"/>
  <c r="V39" i="8"/>
  <c r="U39" i="8"/>
  <c r="T39" i="8"/>
  <c r="S39" i="8"/>
  <c r="R39" i="8"/>
  <c r="Q39" i="8"/>
  <c r="O39" i="8"/>
  <c r="P39" i="8" s="1"/>
  <c r="J39" i="8"/>
  <c r="I39" i="8"/>
  <c r="E39" i="8"/>
  <c r="F39" i="8" s="1"/>
  <c r="B39" i="8"/>
  <c r="Z38" i="8"/>
  <c r="Y38" i="8"/>
  <c r="Q38" i="8"/>
  <c r="P38" i="8"/>
  <c r="O38" i="8"/>
  <c r="J38" i="8"/>
  <c r="I38" i="8"/>
  <c r="E38" i="8"/>
  <c r="Z37" i="8"/>
  <c r="Y37" i="8"/>
  <c r="O37" i="8"/>
  <c r="Q37" i="8" s="1"/>
  <c r="E37" i="8"/>
  <c r="Z36" i="8"/>
  <c r="Y36" i="8"/>
  <c r="X36" i="8"/>
  <c r="W36" i="8"/>
  <c r="V36" i="8"/>
  <c r="U36" i="8"/>
  <c r="T36" i="8"/>
  <c r="S36" i="8"/>
  <c r="R36" i="8"/>
  <c r="P36" i="8"/>
  <c r="O36" i="8"/>
  <c r="Q36" i="8" s="1"/>
  <c r="G36" i="8"/>
  <c r="F36" i="8"/>
  <c r="E36" i="8"/>
  <c r="B36" i="8"/>
  <c r="Z35" i="8"/>
  <c r="I35" i="8" s="1"/>
  <c r="Y35" i="8"/>
  <c r="X35" i="8"/>
  <c r="V35" i="8"/>
  <c r="U35" i="8"/>
  <c r="S35" i="8"/>
  <c r="R35" i="8"/>
  <c r="Q35" i="8"/>
  <c r="O35" i="8"/>
  <c r="P35" i="8" s="1"/>
  <c r="J35" i="8"/>
  <c r="G35" i="8"/>
  <c r="E35" i="8"/>
  <c r="F35" i="8" s="1"/>
  <c r="Z34" i="8"/>
  <c r="J34" i="8" s="1"/>
  <c r="Y34" i="8"/>
  <c r="T34" i="8"/>
  <c r="P34" i="8"/>
  <c r="O34" i="8"/>
  <c r="Q34" i="8" s="1"/>
  <c r="I34" i="8"/>
  <c r="G34" i="8"/>
  <c r="F34" i="8"/>
  <c r="E34" i="8"/>
  <c r="Z33" i="8"/>
  <c r="Y33" i="8"/>
  <c r="S33" i="8" s="1"/>
  <c r="X33" i="8"/>
  <c r="W33" i="8"/>
  <c r="V33" i="8"/>
  <c r="U33" i="8"/>
  <c r="T33" i="8"/>
  <c r="R33" i="8"/>
  <c r="O33" i="8"/>
  <c r="P33" i="8" s="1"/>
  <c r="J33" i="8"/>
  <c r="I33" i="8"/>
  <c r="F33" i="8"/>
  <c r="E33" i="8"/>
  <c r="G33" i="8" s="1"/>
  <c r="B33" i="8"/>
  <c r="Z32" i="8"/>
  <c r="Y32" i="8"/>
  <c r="R32" i="8" s="1"/>
  <c r="X32" i="8"/>
  <c r="P32" i="8"/>
  <c r="O32" i="8"/>
  <c r="Q32" i="8" s="1"/>
  <c r="G32" i="8"/>
  <c r="F32" i="8"/>
  <c r="E32" i="8"/>
  <c r="B32" i="8"/>
  <c r="Z31" i="8"/>
  <c r="Y31" i="8"/>
  <c r="V31" i="8"/>
  <c r="Q31" i="8"/>
  <c r="P31" i="8"/>
  <c r="O31" i="8"/>
  <c r="F31" i="8"/>
  <c r="E31" i="8"/>
  <c r="G31" i="8" s="1"/>
  <c r="B31" i="8"/>
  <c r="Z30" i="8"/>
  <c r="Y30" i="8"/>
  <c r="W30" i="8" s="1"/>
  <c r="X30" i="8"/>
  <c r="U30" i="8"/>
  <c r="T30" i="8"/>
  <c r="Q30" i="8"/>
  <c r="O30" i="8"/>
  <c r="P30" i="8" s="1"/>
  <c r="G30" i="8"/>
  <c r="F30" i="8"/>
  <c r="E30" i="8"/>
  <c r="Z29" i="8"/>
  <c r="Y29" i="8"/>
  <c r="B29" i="8" s="1"/>
  <c r="X29" i="8"/>
  <c r="W29" i="8"/>
  <c r="V29" i="8"/>
  <c r="U29" i="8"/>
  <c r="T29" i="8"/>
  <c r="S29" i="8"/>
  <c r="R29" i="8"/>
  <c r="Q29" i="8"/>
  <c r="P29" i="8"/>
  <c r="O29" i="8"/>
  <c r="G29" i="8"/>
  <c r="E29" i="8"/>
  <c r="F29" i="8" s="1"/>
  <c r="Z28" i="8"/>
  <c r="Y28" i="8"/>
  <c r="X28" i="8"/>
  <c r="W28" i="8"/>
  <c r="U28" i="8"/>
  <c r="T28" i="8"/>
  <c r="S28" i="8"/>
  <c r="R28" i="8"/>
  <c r="P28" i="8"/>
  <c r="O28" i="8"/>
  <c r="Q28" i="8" s="1"/>
  <c r="J28" i="8"/>
  <c r="I28" i="8"/>
  <c r="G28" i="8"/>
  <c r="F28" i="8"/>
  <c r="E28" i="8"/>
  <c r="Z27" i="8"/>
  <c r="Y27" i="8"/>
  <c r="X27" i="8" s="1"/>
  <c r="W27" i="8"/>
  <c r="V27" i="8"/>
  <c r="U27" i="8"/>
  <c r="T27" i="8"/>
  <c r="S27" i="8"/>
  <c r="R27" i="8"/>
  <c r="P27" i="8"/>
  <c r="O27" i="8"/>
  <c r="Q27" i="8" s="1"/>
  <c r="J27" i="8"/>
  <c r="I27" i="8"/>
  <c r="G27" i="8"/>
  <c r="E27" i="8"/>
  <c r="F27" i="8" s="1"/>
  <c r="B27" i="8"/>
  <c r="Z26" i="8"/>
  <c r="J26" i="8" s="1"/>
  <c r="Y26" i="8"/>
  <c r="X26" i="8"/>
  <c r="W26" i="8"/>
  <c r="V26" i="8"/>
  <c r="U26" i="8"/>
  <c r="T26" i="8"/>
  <c r="S26" i="8"/>
  <c r="R26" i="8"/>
  <c r="Q26" i="8"/>
  <c r="O26" i="8"/>
  <c r="P26" i="8" s="1"/>
  <c r="I26" i="8"/>
  <c r="G26" i="8"/>
  <c r="F26" i="8"/>
  <c r="E26" i="8"/>
  <c r="B26" i="8"/>
  <c r="Z25" i="8"/>
  <c r="Y25" i="8"/>
  <c r="O25" i="8"/>
  <c r="J25" i="8"/>
  <c r="I25" i="8"/>
  <c r="E25" i="8"/>
  <c r="G25" i="8" s="1"/>
  <c r="Z24" i="8"/>
  <c r="Y24" i="8"/>
  <c r="X24" i="8"/>
  <c r="W24" i="8"/>
  <c r="V24" i="8"/>
  <c r="T24" i="8"/>
  <c r="S24" i="8"/>
  <c r="Q24" i="8"/>
  <c r="O24" i="8"/>
  <c r="P24" i="8" s="1"/>
  <c r="F24" i="8"/>
  <c r="E24" i="8"/>
  <c r="G24" i="8" s="1"/>
  <c r="B24" i="8"/>
  <c r="Z23" i="8"/>
  <c r="Y23" i="8"/>
  <c r="X23" i="8" s="1"/>
  <c r="R23" i="8"/>
  <c r="Q23" i="8"/>
  <c r="O23" i="8"/>
  <c r="P23" i="8" s="1"/>
  <c r="J23" i="8"/>
  <c r="I23" i="8"/>
  <c r="F23" i="8"/>
  <c r="E23" i="8"/>
  <c r="G23" i="8" s="1"/>
  <c r="Z22" i="8"/>
  <c r="J22" i="8" s="1"/>
  <c r="Y22" i="8"/>
  <c r="S22" i="8" s="1"/>
  <c r="W22" i="8"/>
  <c r="R22" i="8"/>
  <c r="O22" i="8"/>
  <c r="Q22" i="8" s="1"/>
  <c r="I22" i="8"/>
  <c r="E22" i="8"/>
  <c r="Z21" i="8"/>
  <c r="Y21" i="8"/>
  <c r="X21" i="8" s="1"/>
  <c r="V21" i="8"/>
  <c r="U21" i="8"/>
  <c r="T21" i="8"/>
  <c r="S21" i="8"/>
  <c r="R21" i="8"/>
  <c r="Q21" i="8"/>
  <c r="P21" i="8"/>
  <c r="O21" i="8"/>
  <c r="J21" i="8"/>
  <c r="I21" i="8"/>
  <c r="F21" i="8"/>
  <c r="E21" i="8"/>
  <c r="G21" i="8" s="1"/>
  <c r="B21" i="8"/>
  <c r="Z20" i="8"/>
  <c r="Y20" i="8"/>
  <c r="X20" i="8"/>
  <c r="R20" i="8"/>
  <c r="Q20" i="8"/>
  <c r="P20" i="8"/>
  <c r="O20" i="8"/>
  <c r="G20" i="8"/>
  <c r="F20" i="8"/>
  <c r="E20" i="8"/>
  <c r="B20" i="8"/>
  <c r="Z19" i="8"/>
  <c r="Y19" i="8"/>
  <c r="W19" i="8" s="1"/>
  <c r="U19" i="8"/>
  <c r="O19" i="8"/>
  <c r="J19" i="8"/>
  <c r="I19" i="8"/>
  <c r="E19" i="8"/>
  <c r="Z18" i="8"/>
  <c r="Y18" i="8"/>
  <c r="B18" i="8" s="1"/>
  <c r="W18" i="8"/>
  <c r="U18" i="8"/>
  <c r="T18" i="8"/>
  <c r="S18" i="8"/>
  <c r="R18" i="8"/>
  <c r="P18" i="8"/>
  <c r="O18" i="8"/>
  <c r="Q18" i="8" s="1"/>
  <c r="J18" i="8"/>
  <c r="I18" i="8"/>
  <c r="G18" i="8"/>
  <c r="F18" i="8"/>
  <c r="E18" i="8"/>
  <c r="Z17" i="8"/>
  <c r="I17" i="8" s="1"/>
  <c r="Y17" i="8"/>
  <c r="U17" i="8" s="1"/>
  <c r="O17" i="8"/>
  <c r="J17" i="8"/>
  <c r="G17" i="8"/>
  <c r="F17" i="8"/>
  <c r="E17" i="8"/>
  <c r="Z16" i="8"/>
  <c r="J16" i="8" s="1"/>
  <c r="Y16" i="8"/>
  <c r="V16" i="8" s="1"/>
  <c r="X16" i="8"/>
  <c r="W16" i="8"/>
  <c r="U16" i="8"/>
  <c r="T16" i="8"/>
  <c r="S16" i="8"/>
  <c r="R16" i="8"/>
  <c r="Q16" i="8"/>
  <c r="P16" i="8"/>
  <c r="O16" i="8"/>
  <c r="G16" i="8"/>
  <c r="F16" i="8"/>
  <c r="E16" i="8"/>
  <c r="B16" i="8"/>
  <c r="Z15" i="8"/>
  <c r="Y15" i="8"/>
  <c r="X15" i="8"/>
  <c r="V15" i="8"/>
  <c r="U15" i="8"/>
  <c r="S15" i="8"/>
  <c r="R15" i="8"/>
  <c r="Q15" i="8"/>
  <c r="O15" i="8"/>
  <c r="P15" i="8" s="1"/>
  <c r="J15" i="8"/>
  <c r="I15" i="8"/>
  <c r="G15" i="8"/>
  <c r="F15" i="8"/>
  <c r="E15" i="8"/>
  <c r="B15" i="8"/>
  <c r="Z14" i="8"/>
  <c r="J14" i="8" s="1"/>
  <c r="Y14" i="8"/>
  <c r="Q14" i="8"/>
  <c r="O14" i="8"/>
  <c r="P14" i="8" s="1"/>
  <c r="I14" i="8"/>
  <c r="E14" i="8"/>
  <c r="B14" i="8"/>
  <c r="Z13" i="8"/>
  <c r="Y13" i="8"/>
  <c r="X13" i="8"/>
  <c r="Q13" i="8"/>
  <c r="O13" i="8"/>
  <c r="P13" i="8" s="1"/>
  <c r="G13" i="8"/>
  <c r="F13" i="8"/>
  <c r="E13" i="8"/>
  <c r="B13" i="8"/>
  <c r="Z12" i="8"/>
  <c r="Y12" i="8"/>
  <c r="W12" i="8" s="1"/>
  <c r="T12" i="8"/>
  <c r="S12" i="8"/>
  <c r="R12" i="8"/>
  <c r="P12" i="8"/>
  <c r="O12" i="8"/>
  <c r="Q12" i="8" s="1"/>
  <c r="E12" i="8"/>
  <c r="G12" i="8" s="1"/>
  <c r="Z11" i="8"/>
  <c r="J11" i="8" s="1"/>
  <c r="Y11" i="8"/>
  <c r="W11" i="8" s="1"/>
  <c r="V11" i="8"/>
  <c r="T11" i="8"/>
  <c r="S11" i="8"/>
  <c r="R11" i="8"/>
  <c r="Q11" i="8"/>
  <c r="P11" i="8"/>
  <c r="O11" i="8"/>
  <c r="I11" i="8"/>
  <c r="E11" i="8"/>
  <c r="G11" i="8" s="1"/>
  <c r="Z10" i="8"/>
  <c r="I10" i="8" s="1"/>
  <c r="Y10" i="8"/>
  <c r="X10" i="8"/>
  <c r="W10" i="8"/>
  <c r="V10" i="8"/>
  <c r="U10" i="8"/>
  <c r="T10" i="8"/>
  <c r="S10" i="8"/>
  <c r="R10" i="8"/>
  <c r="O10" i="8"/>
  <c r="Q10" i="8" s="1"/>
  <c r="J10" i="8"/>
  <c r="G10" i="8"/>
  <c r="F10" i="8"/>
  <c r="E10" i="8"/>
  <c r="B10" i="8"/>
  <c r="Z9" i="8"/>
  <c r="Y9" i="8"/>
  <c r="Q9" i="8"/>
  <c r="P9" i="8"/>
  <c r="O9" i="8"/>
  <c r="J9" i="8"/>
  <c r="I9" i="8"/>
  <c r="E9" i="8"/>
  <c r="Z8" i="8"/>
  <c r="Y8" i="8"/>
  <c r="Q8" i="8"/>
  <c r="P8" i="8"/>
  <c r="O8" i="8"/>
  <c r="J8" i="8"/>
  <c r="I8" i="8"/>
  <c r="E8" i="8"/>
  <c r="Z7" i="8"/>
  <c r="Y7" i="8"/>
  <c r="O7" i="8"/>
  <c r="Q7" i="8" s="1"/>
  <c r="E7" i="8"/>
  <c r="Z6" i="8"/>
  <c r="Y6" i="8"/>
  <c r="Q6" i="8"/>
  <c r="O6" i="8"/>
  <c r="P6" i="8" s="1"/>
  <c r="E6" i="8"/>
  <c r="Z5" i="8"/>
  <c r="Y5" i="8"/>
  <c r="O5" i="8"/>
  <c r="J5" i="8"/>
  <c r="I5" i="8"/>
  <c r="F5" i="8"/>
  <c r="E5" i="8"/>
  <c r="M50" i="7"/>
  <c r="C50" i="7"/>
  <c r="Z49" i="7"/>
  <c r="J49" i="7" s="1"/>
  <c r="Y49" i="7"/>
  <c r="Q49" i="7"/>
  <c r="P49" i="7"/>
  <c r="O49" i="7"/>
  <c r="I49" i="7"/>
  <c r="E49" i="7"/>
  <c r="G49" i="7" s="1"/>
  <c r="Z48" i="7"/>
  <c r="Y48" i="7"/>
  <c r="V48" i="7" s="1"/>
  <c r="O48" i="7"/>
  <c r="Q48" i="7" s="1"/>
  <c r="G48" i="7"/>
  <c r="F48" i="7"/>
  <c r="E48" i="7"/>
  <c r="B48" i="7"/>
  <c r="Z47" i="7"/>
  <c r="Y47" i="7"/>
  <c r="W47" i="7"/>
  <c r="V47" i="7"/>
  <c r="U47" i="7"/>
  <c r="T47" i="7"/>
  <c r="S47" i="7"/>
  <c r="Q47" i="7"/>
  <c r="O47" i="7"/>
  <c r="P47" i="7" s="1"/>
  <c r="E47" i="7"/>
  <c r="Z46" i="7"/>
  <c r="Y46" i="7"/>
  <c r="B46" i="7" s="1"/>
  <c r="X46" i="7"/>
  <c r="W46" i="7"/>
  <c r="V46" i="7"/>
  <c r="U46" i="7"/>
  <c r="T46" i="7"/>
  <c r="S46" i="7"/>
  <c r="R46" i="7"/>
  <c r="P46" i="7"/>
  <c r="O46" i="7"/>
  <c r="Q46" i="7" s="1"/>
  <c r="J46" i="7"/>
  <c r="I46" i="7"/>
  <c r="G46" i="7"/>
  <c r="F46" i="7"/>
  <c r="E46" i="7"/>
  <c r="Z45" i="7"/>
  <c r="Y45" i="7"/>
  <c r="O45" i="7"/>
  <c r="P45" i="7" s="1"/>
  <c r="J45" i="7"/>
  <c r="I45" i="7"/>
  <c r="F45" i="7"/>
  <c r="E45" i="7"/>
  <c r="G45" i="7" s="1"/>
  <c r="Z44" i="7"/>
  <c r="Y44" i="7"/>
  <c r="V44" i="7" s="1"/>
  <c r="X44" i="7"/>
  <c r="W44" i="7"/>
  <c r="U44" i="7"/>
  <c r="T44" i="7"/>
  <c r="S44" i="7"/>
  <c r="R44" i="7"/>
  <c r="P44" i="7"/>
  <c r="O44" i="7"/>
  <c r="Q44" i="7" s="1"/>
  <c r="J44" i="7"/>
  <c r="I44" i="7"/>
  <c r="G44" i="7"/>
  <c r="F44" i="7"/>
  <c r="E44" i="7"/>
  <c r="B44" i="7"/>
  <c r="Z43" i="7"/>
  <c r="I43" i="7" s="1"/>
  <c r="Y43" i="7"/>
  <c r="R43" i="7"/>
  <c r="Q43" i="7"/>
  <c r="P43" i="7"/>
  <c r="O43" i="7"/>
  <c r="J43" i="7"/>
  <c r="G43" i="7"/>
  <c r="F43" i="7"/>
  <c r="E43" i="7"/>
  <c r="Z42" i="7"/>
  <c r="Y42" i="7"/>
  <c r="X42" i="7"/>
  <c r="W42" i="7"/>
  <c r="V42" i="7"/>
  <c r="O42" i="7"/>
  <c r="J42" i="7"/>
  <c r="I42" i="7"/>
  <c r="E42" i="7"/>
  <c r="B42" i="7"/>
  <c r="Z41" i="7"/>
  <c r="Y41" i="7"/>
  <c r="W41" i="7" s="1"/>
  <c r="X41" i="7"/>
  <c r="Q41" i="7"/>
  <c r="O41" i="7"/>
  <c r="P41" i="7" s="1"/>
  <c r="E41" i="7"/>
  <c r="Z40" i="7"/>
  <c r="Y40" i="7"/>
  <c r="U40" i="7" s="1"/>
  <c r="Q40" i="7"/>
  <c r="P40" i="7"/>
  <c r="O40" i="7"/>
  <c r="E40" i="7"/>
  <c r="G40" i="7" s="1"/>
  <c r="Z39" i="7"/>
  <c r="Y39" i="7"/>
  <c r="W39" i="7"/>
  <c r="V39" i="7"/>
  <c r="U39" i="7"/>
  <c r="T39" i="7"/>
  <c r="S39" i="7"/>
  <c r="R39" i="7"/>
  <c r="P39" i="7"/>
  <c r="O39" i="7"/>
  <c r="Q39" i="7" s="1"/>
  <c r="J39" i="7"/>
  <c r="I39" i="7"/>
  <c r="E39" i="7"/>
  <c r="G39" i="7" s="1"/>
  <c r="Z38" i="7"/>
  <c r="Y38" i="7"/>
  <c r="B38" i="7" s="1"/>
  <c r="X38" i="7"/>
  <c r="W38" i="7"/>
  <c r="V38" i="7"/>
  <c r="U38" i="7"/>
  <c r="T38" i="7"/>
  <c r="S38" i="7"/>
  <c r="R38" i="7"/>
  <c r="O38" i="7"/>
  <c r="J38" i="7"/>
  <c r="I38" i="7"/>
  <c r="G38" i="7"/>
  <c r="F38" i="7"/>
  <c r="E38" i="7"/>
  <c r="Z37" i="7"/>
  <c r="Y37" i="7"/>
  <c r="X37" i="7" s="1"/>
  <c r="W37" i="7"/>
  <c r="V37" i="7"/>
  <c r="U37" i="7"/>
  <c r="T37" i="7"/>
  <c r="S37" i="7"/>
  <c r="R37" i="7"/>
  <c r="Q37" i="7"/>
  <c r="P37" i="7"/>
  <c r="O37" i="7"/>
  <c r="J37" i="7"/>
  <c r="I37" i="7"/>
  <c r="F37" i="7"/>
  <c r="E37" i="7"/>
  <c r="G37" i="7" s="1"/>
  <c r="B37" i="7"/>
  <c r="Z36" i="7"/>
  <c r="I36" i="7" s="1"/>
  <c r="Y36" i="7"/>
  <c r="X36" i="7"/>
  <c r="W36" i="7"/>
  <c r="V36" i="7"/>
  <c r="U36" i="7"/>
  <c r="T36" i="7"/>
  <c r="S36" i="7"/>
  <c r="R36" i="7"/>
  <c r="O36" i="7"/>
  <c r="Q36" i="7" s="1"/>
  <c r="J36" i="7"/>
  <c r="F36" i="7"/>
  <c r="E36" i="7"/>
  <c r="G36" i="7" s="1"/>
  <c r="B36" i="7"/>
  <c r="Z35" i="7"/>
  <c r="Y35" i="7"/>
  <c r="R35" i="7" s="1"/>
  <c r="X35" i="7"/>
  <c r="Q35" i="7"/>
  <c r="P35" i="7"/>
  <c r="O35" i="7"/>
  <c r="J35" i="7"/>
  <c r="I35" i="7"/>
  <c r="F35" i="7"/>
  <c r="E35" i="7"/>
  <c r="G35" i="7" s="1"/>
  <c r="Z34" i="7"/>
  <c r="I34" i="7" s="1"/>
  <c r="Y34" i="7"/>
  <c r="O34" i="7"/>
  <c r="Q34" i="7" s="1"/>
  <c r="J34" i="7"/>
  <c r="G34" i="7"/>
  <c r="F34" i="7"/>
  <c r="E34" i="7"/>
  <c r="Z33" i="7"/>
  <c r="J33" i="7" s="1"/>
  <c r="Y33" i="7"/>
  <c r="X33" i="7"/>
  <c r="W33" i="7"/>
  <c r="V33" i="7"/>
  <c r="U33" i="7"/>
  <c r="T33" i="7"/>
  <c r="O33" i="7"/>
  <c r="Q33" i="7" s="1"/>
  <c r="I33" i="7"/>
  <c r="G33" i="7"/>
  <c r="E33" i="7"/>
  <c r="F33" i="7" s="1"/>
  <c r="Z32" i="7"/>
  <c r="Y32" i="7"/>
  <c r="B32" i="7" s="1"/>
  <c r="X32" i="7"/>
  <c r="W32" i="7"/>
  <c r="V32" i="7"/>
  <c r="U32" i="7"/>
  <c r="T32" i="7"/>
  <c r="S32" i="7"/>
  <c r="R32" i="7"/>
  <c r="P32" i="7"/>
  <c r="O32" i="7"/>
  <c r="Q32" i="7" s="1"/>
  <c r="E32" i="7"/>
  <c r="G32" i="7" s="1"/>
  <c r="Z31" i="7"/>
  <c r="Y31" i="7"/>
  <c r="W31" i="7" s="1"/>
  <c r="X31" i="7"/>
  <c r="R31" i="7"/>
  <c r="Q31" i="7"/>
  <c r="P31" i="7"/>
  <c r="O31" i="7"/>
  <c r="E31" i="7"/>
  <c r="B31" i="7"/>
  <c r="Z30" i="7"/>
  <c r="Y30" i="7"/>
  <c r="B30" i="7" s="1"/>
  <c r="X30" i="7"/>
  <c r="W30" i="7"/>
  <c r="V30" i="7"/>
  <c r="U30" i="7"/>
  <c r="T30" i="7"/>
  <c r="S30" i="7"/>
  <c r="R30" i="7"/>
  <c r="O30" i="7"/>
  <c r="Q30" i="7" s="1"/>
  <c r="G30" i="7"/>
  <c r="F30" i="7"/>
  <c r="E30" i="7"/>
  <c r="Z29" i="7"/>
  <c r="J29" i="7" s="1"/>
  <c r="Y29" i="7"/>
  <c r="X29" i="7"/>
  <c r="V29" i="7"/>
  <c r="U29" i="7"/>
  <c r="T29" i="7"/>
  <c r="S29" i="7"/>
  <c r="R29" i="7"/>
  <c r="Q29" i="7"/>
  <c r="P29" i="7"/>
  <c r="O29" i="7"/>
  <c r="I29" i="7"/>
  <c r="G29" i="7"/>
  <c r="E29" i="7"/>
  <c r="F29" i="7" s="1"/>
  <c r="Z28" i="7"/>
  <c r="Y28" i="7"/>
  <c r="B28" i="7" s="1"/>
  <c r="X28" i="7"/>
  <c r="W28" i="7"/>
  <c r="V28" i="7"/>
  <c r="U28" i="7"/>
  <c r="T28" i="7"/>
  <c r="S28" i="7"/>
  <c r="R28" i="7"/>
  <c r="Q28" i="7"/>
  <c r="P28" i="7"/>
  <c r="O28" i="7"/>
  <c r="J28" i="7"/>
  <c r="I28" i="7"/>
  <c r="G28" i="7"/>
  <c r="E28" i="7"/>
  <c r="F28" i="7" s="1"/>
  <c r="Z27" i="7"/>
  <c r="Y27" i="7"/>
  <c r="X27" i="7" s="1"/>
  <c r="W27" i="7"/>
  <c r="V27" i="7"/>
  <c r="U27" i="7"/>
  <c r="T27" i="7"/>
  <c r="S27" i="7"/>
  <c r="R27" i="7"/>
  <c r="Q27" i="7"/>
  <c r="O27" i="7"/>
  <c r="P27" i="7" s="1"/>
  <c r="J27" i="7"/>
  <c r="I27" i="7"/>
  <c r="E27" i="7"/>
  <c r="G27" i="7" s="1"/>
  <c r="B27" i="7"/>
  <c r="Z26" i="7"/>
  <c r="I26" i="7" s="1"/>
  <c r="Y26" i="7"/>
  <c r="X26" i="7"/>
  <c r="W26" i="7"/>
  <c r="V26" i="7"/>
  <c r="U26" i="7"/>
  <c r="T26" i="7"/>
  <c r="S26" i="7"/>
  <c r="R26" i="7"/>
  <c r="P26" i="7"/>
  <c r="O26" i="7"/>
  <c r="Q26" i="7" s="1"/>
  <c r="J26" i="7"/>
  <c r="G26" i="7"/>
  <c r="E26" i="7"/>
  <c r="F26" i="7" s="1"/>
  <c r="B26" i="7"/>
  <c r="Z25" i="7"/>
  <c r="Y25" i="7"/>
  <c r="X25" i="7" s="1"/>
  <c r="R25" i="7"/>
  <c r="Q25" i="7"/>
  <c r="P25" i="7"/>
  <c r="O25" i="7"/>
  <c r="E25" i="7"/>
  <c r="G25" i="7" s="1"/>
  <c r="Z24" i="7"/>
  <c r="I24" i="7" s="1"/>
  <c r="Y24" i="7"/>
  <c r="W24" i="7" s="1"/>
  <c r="O24" i="7"/>
  <c r="Q24" i="7" s="1"/>
  <c r="J24" i="7"/>
  <c r="G24" i="7"/>
  <c r="E24" i="7"/>
  <c r="F24" i="7" s="1"/>
  <c r="Z23" i="7"/>
  <c r="J23" i="7" s="1"/>
  <c r="Y23" i="7"/>
  <c r="B23" i="7" s="1"/>
  <c r="O23" i="7"/>
  <c r="Q23" i="7" s="1"/>
  <c r="I23" i="7"/>
  <c r="E23" i="7"/>
  <c r="Z22" i="7"/>
  <c r="Y22" i="7"/>
  <c r="V22" i="7"/>
  <c r="P22" i="7"/>
  <c r="O22" i="7"/>
  <c r="Q22" i="7" s="1"/>
  <c r="E22" i="7"/>
  <c r="G22" i="7" s="1"/>
  <c r="Z21" i="7"/>
  <c r="Y21" i="7"/>
  <c r="W21" i="7" s="1"/>
  <c r="X21" i="7"/>
  <c r="V21" i="7"/>
  <c r="U21" i="7"/>
  <c r="T21" i="7"/>
  <c r="S21" i="7"/>
  <c r="R21" i="7"/>
  <c r="Q21" i="7"/>
  <c r="P21" i="7"/>
  <c r="O21" i="7"/>
  <c r="E21" i="7"/>
  <c r="B21" i="7"/>
  <c r="Z20" i="7"/>
  <c r="I20" i="7" s="1"/>
  <c r="Y20" i="7"/>
  <c r="B20" i="7" s="1"/>
  <c r="X20" i="7"/>
  <c r="W20" i="7"/>
  <c r="V20" i="7"/>
  <c r="U20" i="7"/>
  <c r="T20" i="7"/>
  <c r="S20" i="7"/>
  <c r="R20" i="7"/>
  <c r="O20" i="7"/>
  <c r="Q20" i="7" s="1"/>
  <c r="G20" i="7"/>
  <c r="F20" i="7"/>
  <c r="E20" i="7"/>
  <c r="Z19" i="7"/>
  <c r="J19" i="7" s="1"/>
  <c r="Y19" i="7"/>
  <c r="V19" i="7"/>
  <c r="U19" i="7"/>
  <c r="O19" i="7"/>
  <c r="I19" i="7"/>
  <c r="G19" i="7"/>
  <c r="E19" i="7"/>
  <c r="F19" i="7" s="1"/>
  <c r="Z18" i="7"/>
  <c r="Y18" i="7"/>
  <c r="B18" i="7" s="1"/>
  <c r="X18" i="7"/>
  <c r="W18" i="7"/>
  <c r="V18" i="7"/>
  <c r="U18" i="7"/>
  <c r="T18" i="7"/>
  <c r="S18" i="7"/>
  <c r="R18" i="7"/>
  <c r="Q18" i="7"/>
  <c r="P18" i="7"/>
  <c r="O18" i="7"/>
  <c r="J18" i="7"/>
  <c r="I18" i="7"/>
  <c r="F18" i="7"/>
  <c r="E18" i="7"/>
  <c r="G18" i="7" s="1"/>
  <c r="Z17" i="7"/>
  <c r="Y17" i="7"/>
  <c r="X17" i="7" s="1"/>
  <c r="W17" i="7"/>
  <c r="V17" i="7"/>
  <c r="U17" i="7"/>
  <c r="T17" i="7"/>
  <c r="S17" i="7"/>
  <c r="R17" i="7"/>
  <c r="Q17" i="7"/>
  <c r="P17" i="7"/>
  <c r="O17" i="7"/>
  <c r="J17" i="7"/>
  <c r="I17" i="7"/>
  <c r="E17" i="7"/>
  <c r="G17" i="7" s="1"/>
  <c r="B17" i="7"/>
  <c r="Z16" i="7"/>
  <c r="Y16" i="7"/>
  <c r="X16" i="7"/>
  <c r="W16" i="7"/>
  <c r="V16" i="7"/>
  <c r="U16" i="7"/>
  <c r="T16" i="7"/>
  <c r="S16" i="7"/>
  <c r="R16" i="7"/>
  <c r="O16" i="7"/>
  <c r="Q16" i="7" s="1"/>
  <c r="J16" i="7"/>
  <c r="I16" i="7"/>
  <c r="F16" i="7"/>
  <c r="E16" i="7"/>
  <c r="G16" i="7" s="1"/>
  <c r="B16" i="7"/>
  <c r="Z15" i="7"/>
  <c r="Y15" i="7"/>
  <c r="X15" i="7" s="1"/>
  <c r="R15" i="7"/>
  <c r="Q15" i="7"/>
  <c r="P15" i="7"/>
  <c r="O15" i="7"/>
  <c r="J15" i="7"/>
  <c r="I15" i="7"/>
  <c r="E15" i="7"/>
  <c r="B15" i="7"/>
  <c r="Z14" i="7"/>
  <c r="Y14" i="7"/>
  <c r="X14" i="7"/>
  <c r="V14" i="7"/>
  <c r="P14" i="7"/>
  <c r="O14" i="7"/>
  <c r="Q14" i="7" s="1"/>
  <c r="E14" i="7"/>
  <c r="G14" i="7" s="1"/>
  <c r="B14" i="7"/>
  <c r="Z13" i="7"/>
  <c r="Y13" i="7"/>
  <c r="T13" i="7" s="1"/>
  <c r="W13" i="7"/>
  <c r="V13" i="7"/>
  <c r="U13" i="7"/>
  <c r="O13" i="7"/>
  <c r="Q13" i="7" s="1"/>
  <c r="J13" i="7"/>
  <c r="I13" i="7"/>
  <c r="G13" i="7"/>
  <c r="E13" i="7"/>
  <c r="F13" i="7" s="1"/>
  <c r="Z12" i="7"/>
  <c r="Y12" i="7"/>
  <c r="B12" i="7" s="1"/>
  <c r="W12" i="7"/>
  <c r="U12" i="7"/>
  <c r="T12" i="7"/>
  <c r="S12" i="7"/>
  <c r="R12" i="7"/>
  <c r="P12" i="7"/>
  <c r="O12" i="7"/>
  <c r="Q12" i="7" s="1"/>
  <c r="E12" i="7"/>
  <c r="G12" i="7" s="1"/>
  <c r="Z11" i="7"/>
  <c r="Y11" i="7"/>
  <c r="Q11" i="7"/>
  <c r="P11" i="7"/>
  <c r="O11" i="7"/>
  <c r="E11" i="7"/>
  <c r="Z10" i="7"/>
  <c r="Y10" i="7"/>
  <c r="S10" i="7"/>
  <c r="X10" i="7" s="1"/>
  <c r="R10" i="7"/>
  <c r="Q10" i="7"/>
  <c r="O10" i="7"/>
  <c r="P10" i="7" s="1"/>
  <c r="F10" i="7"/>
  <c r="G10" i="7" s="1"/>
  <c r="E10" i="7"/>
  <c r="Z9" i="7"/>
  <c r="Y9" i="7"/>
  <c r="O9" i="7"/>
  <c r="Q9" i="7" s="1"/>
  <c r="G9" i="7"/>
  <c r="E9" i="7"/>
  <c r="F9" i="7" s="1"/>
  <c r="Z8" i="7"/>
  <c r="Y8" i="7"/>
  <c r="O8" i="7"/>
  <c r="F8" i="7"/>
  <c r="G8" i="7" s="1"/>
  <c r="E8" i="7"/>
  <c r="Z7" i="7"/>
  <c r="Y7" i="7"/>
  <c r="Q7" i="7"/>
  <c r="P7" i="7"/>
  <c r="O7" i="7"/>
  <c r="F7" i="7"/>
  <c r="E7" i="7"/>
  <c r="Z6" i="7"/>
  <c r="Y6" i="7"/>
  <c r="S6" i="7"/>
  <c r="X6" i="7" s="1"/>
  <c r="O6" i="7"/>
  <c r="E6" i="7"/>
  <c r="Z5" i="7"/>
  <c r="Y5" i="7"/>
  <c r="Q5" i="7"/>
  <c r="P5" i="7"/>
  <c r="O5" i="7"/>
  <c r="E5" i="7"/>
  <c r="M50" i="6"/>
  <c r="C50" i="6"/>
  <c r="Z49" i="6"/>
  <c r="Y49" i="6"/>
  <c r="X49" i="6" s="1"/>
  <c r="T49" i="6"/>
  <c r="S49" i="6"/>
  <c r="R49" i="6"/>
  <c r="Q49" i="6"/>
  <c r="P49" i="6"/>
  <c r="O49" i="6"/>
  <c r="E49" i="6"/>
  <c r="Z48" i="6"/>
  <c r="Y48" i="6"/>
  <c r="B48" i="6" s="1"/>
  <c r="X48" i="6"/>
  <c r="W48" i="6"/>
  <c r="V48" i="6"/>
  <c r="U48" i="6"/>
  <c r="T48" i="6"/>
  <c r="S48" i="6"/>
  <c r="R48" i="6"/>
  <c r="Q48" i="6"/>
  <c r="O48" i="6"/>
  <c r="P48" i="6" s="1"/>
  <c r="G48" i="6"/>
  <c r="F48" i="6"/>
  <c r="E48" i="6"/>
  <c r="Z47" i="6"/>
  <c r="Y47" i="6"/>
  <c r="U47" i="6" s="1"/>
  <c r="X47" i="6"/>
  <c r="O47" i="6"/>
  <c r="Q47" i="6" s="1"/>
  <c r="J47" i="6"/>
  <c r="I47" i="6"/>
  <c r="G47" i="6"/>
  <c r="E47" i="6"/>
  <c r="F47" i="6" s="1"/>
  <c r="Z46" i="6"/>
  <c r="Y46" i="6"/>
  <c r="B46" i="6" s="1"/>
  <c r="X46" i="6"/>
  <c r="W46" i="6"/>
  <c r="V46" i="6"/>
  <c r="U46" i="6"/>
  <c r="T46" i="6"/>
  <c r="S46" i="6"/>
  <c r="R46" i="6"/>
  <c r="Q46" i="6"/>
  <c r="P46" i="6"/>
  <c r="O46" i="6"/>
  <c r="J46" i="6"/>
  <c r="I46" i="6"/>
  <c r="E46" i="6"/>
  <c r="Z45" i="6"/>
  <c r="Y45" i="6"/>
  <c r="X45" i="6" s="1"/>
  <c r="W45" i="6"/>
  <c r="V45" i="6"/>
  <c r="U45" i="6"/>
  <c r="T45" i="6"/>
  <c r="S45" i="6"/>
  <c r="R45" i="6"/>
  <c r="Q45" i="6"/>
  <c r="P45" i="6"/>
  <c r="O45" i="6"/>
  <c r="J45" i="6"/>
  <c r="I45" i="6"/>
  <c r="G45" i="6"/>
  <c r="F45" i="6"/>
  <c r="E45" i="6"/>
  <c r="B45" i="6"/>
  <c r="Z44" i="6"/>
  <c r="Y44" i="6"/>
  <c r="X44" i="6"/>
  <c r="W44" i="6"/>
  <c r="V44" i="6"/>
  <c r="U44" i="6"/>
  <c r="T44" i="6"/>
  <c r="S44" i="6"/>
  <c r="R44" i="6"/>
  <c r="O44" i="6"/>
  <c r="Q44" i="6" s="1"/>
  <c r="J44" i="6"/>
  <c r="I44" i="6"/>
  <c r="E44" i="6"/>
  <c r="F44" i="6" s="1"/>
  <c r="B44" i="6"/>
  <c r="Z43" i="6"/>
  <c r="Y43" i="6"/>
  <c r="X43" i="6"/>
  <c r="R43" i="6"/>
  <c r="Q43" i="6"/>
  <c r="P43" i="6"/>
  <c r="O43" i="6"/>
  <c r="J43" i="6"/>
  <c r="I43" i="6"/>
  <c r="E43" i="6"/>
  <c r="F43" i="6" s="1"/>
  <c r="B43" i="6"/>
  <c r="Z42" i="6"/>
  <c r="Y42" i="6"/>
  <c r="X42" i="6"/>
  <c r="O42" i="6"/>
  <c r="Q42" i="6" s="1"/>
  <c r="F42" i="6"/>
  <c r="E42" i="6"/>
  <c r="G42" i="6" s="1"/>
  <c r="Z41" i="6"/>
  <c r="Y41" i="6"/>
  <c r="X41" i="6" s="1"/>
  <c r="O41" i="6"/>
  <c r="Q41" i="6" s="1"/>
  <c r="J41" i="6"/>
  <c r="I41" i="6"/>
  <c r="E41" i="6"/>
  <c r="Z40" i="6"/>
  <c r="Y40" i="6"/>
  <c r="S40" i="6"/>
  <c r="R40" i="6"/>
  <c r="O40" i="6"/>
  <c r="Q40" i="6" s="1"/>
  <c r="E40" i="6"/>
  <c r="G40" i="6" s="1"/>
  <c r="Z39" i="6"/>
  <c r="Y39" i="6"/>
  <c r="X39" i="6"/>
  <c r="W39" i="6"/>
  <c r="V39" i="6"/>
  <c r="U39" i="6"/>
  <c r="S39" i="6"/>
  <c r="R39" i="6"/>
  <c r="Q39" i="6"/>
  <c r="P39" i="6"/>
  <c r="O39" i="6"/>
  <c r="E39" i="6"/>
  <c r="Z38" i="6"/>
  <c r="Y38" i="6"/>
  <c r="B38" i="6" s="1"/>
  <c r="X38" i="6"/>
  <c r="W38" i="6"/>
  <c r="V38" i="6"/>
  <c r="U38" i="6"/>
  <c r="T38" i="6"/>
  <c r="S38" i="6"/>
  <c r="R38" i="6"/>
  <c r="O38" i="6"/>
  <c r="Q38" i="6" s="1"/>
  <c r="G38" i="6"/>
  <c r="F38" i="6"/>
  <c r="E38" i="6"/>
  <c r="Z37" i="6"/>
  <c r="Y37" i="6"/>
  <c r="X37" i="6" s="1"/>
  <c r="V37" i="6"/>
  <c r="U37" i="6"/>
  <c r="T37" i="6"/>
  <c r="S37" i="6"/>
  <c r="R37" i="6"/>
  <c r="O37" i="6"/>
  <c r="J37" i="6"/>
  <c r="I37" i="6"/>
  <c r="G37" i="6"/>
  <c r="E37" i="6"/>
  <c r="F37" i="6" s="1"/>
  <c r="Z36" i="6"/>
  <c r="Y36" i="6"/>
  <c r="B36" i="6" s="1"/>
  <c r="X36" i="6"/>
  <c r="W36" i="6"/>
  <c r="V36" i="6"/>
  <c r="U36" i="6"/>
  <c r="T36" i="6"/>
  <c r="S36" i="6"/>
  <c r="R36" i="6"/>
  <c r="O36" i="6"/>
  <c r="P36" i="6" s="1"/>
  <c r="J36" i="6"/>
  <c r="I36" i="6"/>
  <c r="G36" i="6"/>
  <c r="F36" i="6"/>
  <c r="E36" i="6"/>
  <c r="Z35" i="6"/>
  <c r="Y35" i="6"/>
  <c r="X35" i="6" s="1"/>
  <c r="W35" i="6"/>
  <c r="V35" i="6"/>
  <c r="U35" i="6"/>
  <c r="T35" i="6"/>
  <c r="S35" i="6"/>
  <c r="R35" i="6"/>
  <c r="P35" i="6"/>
  <c r="O35" i="6"/>
  <c r="Q35" i="6" s="1"/>
  <c r="J35" i="6"/>
  <c r="I35" i="6"/>
  <c r="G35" i="6"/>
  <c r="F35" i="6"/>
  <c r="E35" i="6"/>
  <c r="B35" i="6"/>
  <c r="Z34" i="6"/>
  <c r="Y34" i="6"/>
  <c r="X34" i="6"/>
  <c r="W34" i="6"/>
  <c r="V34" i="6"/>
  <c r="U34" i="6"/>
  <c r="T34" i="6"/>
  <c r="S34" i="6"/>
  <c r="R34" i="6"/>
  <c r="P34" i="6"/>
  <c r="O34" i="6"/>
  <c r="Q34" i="6" s="1"/>
  <c r="E34" i="6"/>
  <c r="B34" i="6"/>
  <c r="Z33" i="6"/>
  <c r="Y33" i="6"/>
  <c r="X33" i="6"/>
  <c r="R33" i="6"/>
  <c r="Q33" i="6"/>
  <c r="P33" i="6"/>
  <c r="O33" i="6"/>
  <c r="J33" i="6"/>
  <c r="I33" i="6"/>
  <c r="G33" i="6"/>
  <c r="E33" i="6"/>
  <c r="F33" i="6" s="1"/>
  <c r="B33" i="6"/>
  <c r="Z32" i="6"/>
  <c r="I32" i="6" s="1"/>
  <c r="Y32" i="6"/>
  <c r="X32" i="6"/>
  <c r="W32" i="6"/>
  <c r="V32" i="6"/>
  <c r="O32" i="6"/>
  <c r="Q32" i="6" s="1"/>
  <c r="J32" i="6"/>
  <c r="E32" i="6"/>
  <c r="B32" i="6"/>
  <c r="Z31" i="6"/>
  <c r="Y31" i="6"/>
  <c r="X31" i="6"/>
  <c r="W31" i="6"/>
  <c r="V31" i="6"/>
  <c r="T31" i="6"/>
  <c r="O31" i="6"/>
  <c r="Q31" i="6" s="1"/>
  <c r="G31" i="6"/>
  <c r="E31" i="6"/>
  <c r="F31" i="6" s="1"/>
  <c r="Z30" i="6"/>
  <c r="Y30" i="6"/>
  <c r="X30" i="6"/>
  <c r="V30" i="6"/>
  <c r="U30" i="6"/>
  <c r="T30" i="6"/>
  <c r="S30" i="6"/>
  <c r="R30" i="6"/>
  <c r="O30" i="6"/>
  <c r="Q30" i="6" s="1"/>
  <c r="G30" i="6"/>
  <c r="F30" i="6"/>
  <c r="E30" i="6"/>
  <c r="Z29" i="6"/>
  <c r="Y29" i="6"/>
  <c r="S29" i="6"/>
  <c r="Q29" i="6"/>
  <c r="P29" i="6"/>
  <c r="O29" i="6"/>
  <c r="E29" i="6"/>
  <c r="Z28" i="6"/>
  <c r="Y28" i="6"/>
  <c r="B28" i="6" s="1"/>
  <c r="X28" i="6"/>
  <c r="W28" i="6"/>
  <c r="V28" i="6"/>
  <c r="U28" i="6"/>
  <c r="T28" i="6"/>
  <c r="S28" i="6"/>
  <c r="R28" i="6"/>
  <c r="P28" i="6"/>
  <c r="O28" i="6"/>
  <c r="Q28" i="6" s="1"/>
  <c r="G28" i="6"/>
  <c r="F28" i="6"/>
  <c r="E28" i="6"/>
  <c r="Z27" i="6"/>
  <c r="I27" i="6" s="1"/>
  <c r="Y27" i="6"/>
  <c r="X27" i="6"/>
  <c r="O27" i="6"/>
  <c r="J27" i="6"/>
  <c r="G27" i="6"/>
  <c r="E27" i="6"/>
  <c r="F27" i="6" s="1"/>
  <c r="Z26" i="6"/>
  <c r="Y26" i="6"/>
  <c r="B26" i="6" s="1"/>
  <c r="X26" i="6"/>
  <c r="W26" i="6"/>
  <c r="V26" i="6"/>
  <c r="U26" i="6"/>
  <c r="T26" i="6"/>
  <c r="S26" i="6"/>
  <c r="R26" i="6"/>
  <c r="Q26" i="6"/>
  <c r="P26" i="6"/>
  <c r="O26" i="6"/>
  <c r="J26" i="6"/>
  <c r="I26" i="6"/>
  <c r="E26" i="6"/>
  <c r="G26" i="6" s="1"/>
  <c r="Z25" i="6"/>
  <c r="Y25" i="6"/>
  <c r="X25" i="6" s="1"/>
  <c r="W25" i="6"/>
  <c r="V25" i="6"/>
  <c r="U25" i="6"/>
  <c r="T25" i="6"/>
  <c r="S25" i="6"/>
  <c r="R25" i="6"/>
  <c r="O25" i="6"/>
  <c r="J25" i="6"/>
  <c r="I25" i="6"/>
  <c r="G25" i="6"/>
  <c r="F25" i="6"/>
  <c r="E25" i="6"/>
  <c r="B25" i="6"/>
  <c r="Z24" i="6"/>
  <c r="J24" i="6" s="1"/>
  <c r="Y24" i="6"/>
  <c r="X24" i="6"/>
  <c r="W24" i="6"/>
  <c r="V24" i="6"/>
  <c r="U24" i="6"/>
  <c r="T24" i="6"/>
  <c r="S24" i="6"/>
  <c r="R24" i="6"/>
  <c r="O24" i="6"/>
  <c r="Q24" i="6" s="1"/>
  <c r="I24" i="6"/>
  <c r="F24" i="6"/>
  <c r="E24" i="6"/>
  <c r="G24" i="6" s="1"/>
  <c r="B24" i="6"/>
  <c r="Z23" i="6"/>
  <c r="Y23" i="6"/>
  <c r="Q23" i="6"/>
  <c r="P23" i="6"/>
  <c r="O23" i="6"/>
  <c r="E23" i="6"/>
  <c r="Z22" i="6"/>
  <c r="I22" i="6" s="1"/>
  <c r="Y22" i="6"/>
  <c r="X22" i="6"/>
  <c r="W22" i="6"/>
  <c r="V22" i="6"/>
  <c r="P22" i="6"/>
  <c r="O22" i="6"/>
  <c r="Q22" i="6" s="1"/>
  <c r="G22" i="6"/>
  <c r="F22" i="6"/>
  <c r="E22" i="6"/>
  <c r="B22" i="6"/>
  <c r="Z21" i="6"/>
  <c r="I21" i="6" s="1"/>
  <c r="Y21" i="6"/>
  <c r="X21" i="6" s="1"/>
  <c r="W21" i="6"/>
  <c r="U21" i="6"/>
  <c r="T21" i="6"/>
  <c r="O21" i="6"/>
  <c r="Q21" i="6" s="1"/>
  <c r="E21" i="6"/>
  <c r="B21" i="6"/>
  <c r="Z20" i="6"/>
  <c r="Y20" i="6"/>
  <c r="X20" i="6" s="1"/>
  <c r="W20" i="6"/>
  <c r="V20" i="6"/>
  <c r="T20" i="6"/>
  <c r="O20" i="6"/>
  <c r="Q20" i="6" s="1"/>
  <c r="E20" i="6"/>
  <c r="G20" i="6" s="1"/>
  <c r="Z19" i="6"/>
  <c r="Y19" i="6"/>
  <c r="W19" i="6" s="1"/>
  <c r="X19" i="6"/>
  <c r="Q19" i="6"/>
  <c r="P19" i="6"/>
  <c r="O19" i="6"/>
  <c r="E19" i="6"/>
  <c r="Z18" i="6"/>
  <c r="I18" i="6" s="1"/>
  <c r="Y18" i="6"/>
  <c r="B18" i="6" s="1"/>
  <c r="X18" i="6"/>
  <c r="W18" i="6"/>
  <c r="V18" i="6"/>
  <c r="U18" i="6"/>
  <c r="T18" i="6"/>
  <c r="S18" i="6"/>
  <c r="R18" i="6"/>
  <c r="P18" i="6"/>
  <c r="O18" i="6"/>
  <c r="Q18" i="6" s="1"/>
  <c r="G18" i="6"/>
  <c r="F18" i="6"/>
  <c r="E18" i="6"/>
  <c r="Z17" i="6"/>
  <c r="J17" i="6" s="1"/>
  <c r="Y17" i="6"/>
  <c r="O17" i="6"/>
  <c r="I17" i="6"/>
  <c r="G17" i="6"/>
  <c r="E17" i="6"/>
  <c r="F17" i="6" s="1"/>
  <c r="Z16" i="6"/>
  <c r="Y16" i="6"/>
  <c r="B16" i="6" s="1"/>
  <c r="X16" i="6"/>
  <c r="W16" i="6"/>
  <c r="V16" i="6"/>
  <c r="U16" i="6"/>
  <c r="T16" i="6"/>
  <c r="S16" i="6"/>
  <c r="R16" i="6"/>
  <c r="Q16" i="6"/>
  <c r="P16" i="6"/>
  <c r="O16" i="6"/>
  <c r="J16" i="6"/>
  <c r="I16" i="6"/>
  <c r="F16" i="6"/>
  <c r="E16" i="6"/>
  <c r="G16" i="6" s="1"/>
  <c r="Z15" i="6"/>
  <c r="Y15" i="6"/>
  <c r="X15" i="6" s="1"/>
  <c r="W15" i="6"/>
  <c r="V15" i="6"/>
  <c r="U15" i="6"/>
  <c r="T15" i="6"/>
  <c r="S15" i="6"/>
  <c r="R15" i="6"/>
  <c r="Q15" i="6"/>
  <c r="P15" i="6"/>
  <c r="O15" i="6"/>
  <c r="J15" i="6"/>
  <c r="I15" i="6"/>
  <c r="E15" i="6"/>
  <c r="G15" i="6" s="1"/>
  <c r="B15" i="6"/>
  <c r="Z14" i="6"/>
  <c r="Y14" i="6"/>
  <c r="X14" i="6"/>
  <c r="W14" i="6"/>
  <c r="V14" i="6"/>
  <c r="U14" i="6"/>
  <c r="T14" i="6"/>
  <c r="S14" i="6"/>
  <c r="R14" i="6"/>
  <c r="O14" i="6"/>
  <c r="J14" i="6"/>
  <c r="I14" i="6"/>
  <c r="E14" i="6"/>
  <c r="B14" i="6"/>
  <c r="Z13" i="6"/>
  <c r="Y13" i="6"/>
  <c r="X13" i="6" s="1"/>
  <c r="R13" i="6"/>
  <c r="Q13" i="6"/>
  <c r="P13" i="6"/>
  <c r="O13" i="6"/>
  <c r="J13" i="6"/>
  <c r="I13" i="6"/>
  <c r="E13" i="6"/>
  <c r="B13" i="6"/>
  <c r="Z12" i="6"/>
  <c r="Y12" i="6"/>
  <c r="X12" i="6"/>
  <c r="W12" i="6"/>
  <c r="V12" i="6"/>
  <c r="P12" i="6"/>
  <c r="O12" i="6"/>
  <c r="Q12" i="6" s="1"/>
  <c r="E12" i="6"/>
  <c r="G12" i="6" s="1"/>
  <c r="Z11" i="6"/>
  <c r="Y11" i="6"/>
  <c r="E11" i="6"/>
  <c r="Z10" i="6"/>
  <c r="Y10" i="6"/>
  <c r="S10" i="6"/>
  <c r="R10" i="6"/>
  <c r="O10" i="6"/>
  <c r="Q10" i="6" s="1"/>
  <c r="E10" i="6"/>
  <c r="Z9" i="6"/>
  <c r="Y9" i="6"/>
  <c r="Q9" i="6"/>
  <c r="P9" i="6"/>
  <c r="O9" i="6"/>
  <c r="E9" i="6"/>
  <c r="Z8" i="6"/>
  <c r="Y8" i="6"/>
  <c r="F8" i="6"/>
  <c r="G8" i="6" s="1"/>
  <c r="E8" i="6"/>
  <c r="Z7" i="6"/>
  <c r="Y7" i="6"/>
  <c r="R7" i="6"/>
  <c r="P7" i="6"/>
  <c r="O7" i="6"/>
  <c r="G7" i="6"/>
  <c r="E7" i="6"/>
  <c r="F7" i="6" s="1"/>
  <c r="Z6" i="6"/>
  <c r="Y6" i="6"/>
  <c r="O6" i="6"/>
  <c r="F6" i="6"/>
  <c r="E6" i="6"/>
  <c r="Z5" i="6"/>
  <c r="Y5" i="6"/>
  <c r="P5" i="6"/>
  <c r="O5" i="6"/>
  <c r="E5" i="6"/>
  <c r="M50" i="5"/>
  <c r="C50" i="5"/>
  <c r="Z49" i="5"/>
  <c r="Y49" i="5"/>
  <c r="X49" i="5" s="1"/>
  <c r="V49" i="5"/>
  <c r="O49" i="5"/>
  <c r="Q49" i="5" s="1"/>
  <c r="G49" i="5"/>
  <c r="E49" i="5"/>
  <c r="F49" i="5" s="1"/>
  <c r="B49" i="5"/>
  <c r="Z48" i="5"/>
  <c r="Y48" i="5"/>
  <c r="B48" i="5" s="1"/>
  <c r="X48" i="5"/>
  <c r="W48" i="5"/>
  <c r="O48" i="5"/>
  <c r="Q48" i="5" s="1"/>
  <c r="G48" i="5"/>
  <c r="F48" i="5"/>
  <c r="E48" i="5"/>
  <c r="Z47" i="5"/>
  <c r="Y47" i="5"/>
  <c r="X47" i="5" s="1"/>
  <c r="W47" i="5"/>
  <c r="V47" i="5"/>
  <c r="U47" i="5"/>
  <c r="T47" i="5"/>
  <c r="S47" i="5"/>
  <c r="R47" i="5"/>
  <c r="Q47" i="5"/>
  <c r="P47" i="5"/>
  <c r="O47" i="5"/>
  <c r="E47" i="5"/>
  <c r="B47" i="5"/>
  <c r="Z46" i="5"/>
  <c r="I46" i="5" s="1"/>
  <c r="Y46" i="5"/>
  <c r="B46" i="5" s="1"/>
  <c r="X46" i="5"/>
  <c r="W46" i="5"/>
  <c r="V46" i="5"/>
  <c r="U46" i="5"/>
  <c r="T46" i="5"/>
  <c r="S46" i="5"/>
  <c r="R46" i="5"/>
  <c r="O46" i="5"/>
  <c r="Q46" i="5" s="1"/>
  <c r="J46" i="5"/>
  <c r="G46" i="5"/>
  <c r="F46" i="5"/>
  <c r="E46" i="5"/>
  <c r="Z45" i="5"/>
  <c r="Y45" i="5"/>
  <c r="X45" i="5"/>
  <c r="Q45" i="5"/>
  <c r="P45" i="5"/>
  <c r="O45" i="5"/>
  <c r="G45" i="5"/>
  <c r="E45" i="5"/>
  <c r="F45" i="5" s="1"/>
  <c r="Z44" i="5"/>
  <c r="Y44" i="5"/>
  <c r="B44" i="5" s="1"/>
  <c r="X44" i="5"/>
  <c r="W44" i="5"/>
  <c r="V44" i="5"/>
  <c r="U44" i="5"/>
  <c r="T44" i="5"/>
  <c r="S44" i="5"/>
  <c r="R44" i="5"/>
  <c r="Q44" i="5"/>
  <c r="P44" i="5"/>
  <c r="O44" i="5"/>
  <c r="J44" i="5"/>
  <c r="I44" i="5"/>
  <c r="E44" i="5"/>
  <c r="G44" i="5" s="1"/>
  <c r="Z43" i="5"/>
  <c r="Y43" i="5"/>
  <c r="X43" i="5" s="1"/>
  <c r="W43" i="5"/>
  <c r="V43" i="5"/>
  <c r="U43" i="5"/>
  <c r="T43" i="5"/>
  <c r="S43" i="5"/>
  <c r="R43" i="5"/>
  <c r="Q43" i="5"/>
  <c r="O43" i="5"/>
  <c r="P43" i="5" s="1"/>
  <c r="J43" i="5"/>
  <c r="I43" i="5"/>
  <c r="G43" i="5"/>
  <c r="F43" i="5"/>
  <c r="E43" i="5"/>
  <c r="B43" i="5"/>
  <c r="Z42" i="5"/>
  <c r="Y42" i="5"/>
  <c r="X42" i="5"/>
  <c r="W42" i="5"/>
  <c r="V42" i="5"/>
  <c r="U42" i="5"/>
  <c r="T42" i="5"/>
  <c r="S42" i="5"/>
  <c r="R42" i="5"/>
  <c r="P42" i="5"/>
  <c r="O42" i="5"/>
  <c r="Q42" i="5" s="1"/>
  <c r="J42" i="5"/>
  <c r="I42" i="5"/>
  <c r="G42" i="5"/>
  <c r="F42" i="5"/>
  <c r="E42" i="5"/>
  <c r="B42" i="5"/>
  <c r="Z41" i="5"/>
  <c r="Y41" i="5"/>
  <c r="X41" i="5" s="1"/>
  <c r="P41" i="5"/>
  <c r="O41" i="5"/>
  <c r="Q41" i="5" s="1"/>
  <c r="G41" i="5"/>
  <c r="F41" i="5"/>
  <c r="E41" i="5"/>
  <c r="B41" i="5"/>
  <c r="Z40" i="5"/>
  <c r="Y40" i="5"/>
  <c r="X40" i="5"/>
  <c r="W40" i="5"/>
  <c r="V40" i="5"/>
  <c r="O40" i="5"/>
  <c r="J40" i="5"/>
  <c r="I40" i="5"/>
  <c r="G40" i="5"/>
  <c r="F40" i="5"/>
  <c r="E40" i="5"/>
  <c r="Z39" i="5"/>
  <c r="Y39" i="5"/>
  <c r="X39" i="5"/>
  <c r="W39" i="5"/>
  <c r="V39" i="5"/>
  <c r="U39" i="5"/>
  <c r="T39" i="5"/>
  <c r="O39" i="5"/>
  <c r="Q39" i="5" s="1"/>
  <c r="J39" i="5"/>
  <c r="I39" i="5"/>
  <c r="E39" i="5"/>
  <c r="G39" i="5" s="1"/>
  <c r="B39" i="5"/>
  <c r="Z38" i="5"/>
  <c r="Y38" i="5"/>
  <c r="O38" i="5"/>
  <c r="Q38" i="5" s="1"/>
  <c r="G38" i="5"/>
  <c r="E38" i="5"/>
  <c r="F38" i="5" s="1"/>
  <c r="Z37" i="5"/>
  <c r="Y37" i="5"/>
  <c r="B37" i="5" s="1"/>
  <c r="X37" i="5"/>
  <c r="W37" i="5"/>
  <c r="V37" i="5"/>
  <c r="U37" i="5"/>
  <c r="T37" i="5"/>
  <c r="S37" i="5"/>
  <c r="R37" i="5"/>
  <c r="Q37" i="5"/>
  <c r="P37" i="5"/>
  <c r="O37" i="5"/>
  <c r="E37" i="5"/>
  <c r="Z36" i="5"/>
  <c r="Y36" i="5"/>
  <c r="X36" i="5"/>
  <c r="V36" i="5"/>
  <c r="O36" i="5"/>
  <c r="G36" i="5"/>
  <c r="F36" i="5"/>
  <c r="E36" i="5"/>
  <c r="Z35" i="5"/>
  <c r="Y35" i="5"/>
  <c r="B35" i="5" s="1"/>
  <c r="W35" i="5"/>
  <c r="V35" i="5"/>
  <c r="U35" i="5"/>
  <c r="T35" i="5"/>
  <c r="S35" i="5"/>
  <c r="R35" i="5"/>
  <c r="Q35" i="5"/>
  <c r="P35" i="5"/>
  <c r="O35" i="5"/>
  <c r="J35" i="5"/>
  <c r="I35" i="5"/>
  <c r="G35" i="5"/>
  <c r="E35" i="5"/>
  <c r="F35" i="5" s="1"/>
  <c r="Z34" i="5"/>
  <c r="Y34" i="5"/>
  <c r="B34" i="5" s="1"/>
  <c r="X34" i="5"/>
  <c r="W34" i="5"/>
  <c r="V34" i="5"/>
  <c r="U34" i="5"/>
  <c r="T34" i="5"/>
  <c r="S34" i="5"/>
  <c r="R34" i="5"/>
  <c r="Q34" i="5"/>
  <c r="P34" i="5"/>
  <c r="O34" i="5"/>
  <c r="J34" i="5"/>
  <c r="I34" i="5"/>
  <c r="G34" i="5"/>
  <c r="E34" i="5"/>
  <c r="F34" i="5" s="1"/>
  <c r="Z33" i="5"/>
  <c r="Y33" i="5"/>
  <c r="X33" i="5" s="1"/>
  <c r="W33" i="5"/>
  <c r="V33" i="5"/>
  <c r="U33" i="5"/>
  <c r="T33" i="5"/>
  <c r="S33" i="5"/>
  <c r="R33" i="5"/>
  <c r="O33" i="5"/>
  <c r="Q33" i="5" s="1"/>
  <c r="J33" i="5"/>
  <c r="I33" i="5"/>
  <c r="E33" i="5"/>
  <c r="B33" i="5"/>
  <c r="Z32" i="5"/>
  <c r="Y32" i="5"/>
  <c r="X32" i="5"/>
  <c r="W32" i="5"/>
  <c r="V32" i="5"/>
  <c r="U32" i="5"/>
  <c r="T32" i="5"/>
  <c r="S32" i="5"/>
  <c r="R32" i="5"/>
  <c r="O32" i="5"/>
  <c r="Q32" i="5" s="1"/>
  <c r="G32" i="5"/>
  <c r="F32" i="5"/>
  <c r="E32" i="5"/>
  <c r="B32" i="5"/>
  <c r="Z31" i="5"/>
  <c r="J31" i="5" s="1"/>
  <c r="Y31" i="5"/>
  <c r="X31" i="5"/>
  <c r="Q31" i="5"/>
  <c r="P31" i="5"/>
  <c r="O31" i="5"/>
  <c r="G31" i="5"/>
  <c r="F31" i="5"/>
  <c r="E31" i="5"/>
  <c r="Z30" i="5"/>
  <c r="Y30" i="5"/>
  <c r="X30" i="5"/>
  <c r="W30" i="5"/>
  <c r="V30" i="5"/>
  <c r="P30" i="5"/>
  <c r="O30" i="5"/>
  <c r="Q30" i="5" s="1"/>
  <c r="J30" i="5"/>
  <c r="I30" i="5"/>
  <c r="G30" i="5"/>
  <c r="F30" i="5"/>
  <c r="E30" i="5"/>
  <c r="B30" i="5"/>
  <c r="Z29" i="5"/>
  <c r="Y29" i="5"/>
  <c r="X29" i="5"/>
  <c r="W29" i="5"/>
  <c r="O29" i="5"/>
  <c r="Q29" i="5" s="1"/>
  <c r="E29" i="5"/>
  <c r="G29" i="5" s="1"/>
  <c r="Z28" i="5"/>
  <c r="Y28" i="5"/>
  <c r="T28" i="5"/>
  <c r="S28" i="5"/>
  <c r="R28" i="5"/>
  <c r="O28" i="5"/>
  <c r="Q28" i="5" s="1"/>
  <c r="G28" i="5"/>
  <c r="F28" i="5"/>
  <c r="E28" i="5"/>
  <c r="Z27" i="5"/>
  <c r="Y27" i="5"/>
  <c r="X27" i="5"/>
  <c r="W27" i="5"/>
  <c r="V27" i="5"/>
  <c r="U27" i="5"/>
  <c r="T27" i="5"/>
  <c r="S27" i="5"/>
  <c r="R27" i="5"/>
  <c r="Q27" i="5"/>
  <c r="P27" i="5"/>
  <c r="O27" i="5"/>
  <c r="E27" i="5"/>
  <c r="B27" i="5"/>
  <c r="Z26" i="5"/>
  <c r="I26" i="5" s="1"/>
  <c r="Y26" i="5"/>
  <c r="R26" i="5"/>
  <c r="Q26" i="5"/>
  <c r="P26" i="5"/>
  <c r="O26" i="5"/>
  <c r="J26" i="5"/>
  <c r="G26" i="5"/>
  <c r="F26" i="5"/>
  <c r="E26" i="5"/>
  <c r="Z25" i="5"/>
  <c r="Y25" i="5"/>
  <c r="X25" i="5"/>
  <c r="W25" i="5"/>
  <c r="V25" i="5"/>
  <c r="U25" i="5"/>
  <c r="T25" i="5"/>
  <c r="O25" i="5"/>
  <c r="Q25" i="5" s="1"/>
  <c r="J25" i="5"/>
  <c r="I25" i="5"/>
  <c r="G25" i="5"/>
  <c r="E25" i="5"/>
  <c r="F25" i="5" s="1"/>
  <c r="Z24" i="5"/>
  <c r="Y24" i="5"/>
  <c r="B24" i="5" s="1"/>
  <c r="X24" i="5"/>
  <c r="W24" i="5"/>
  <c r="V24" i="5"/>
  <c r="U24" i="5"/>
  <c r="T24" i="5"/>
  <c r="S24" i="5"/>
  <c r="R24" i="5"/>
  <c r="Q24" i="5"/>
  <c r="P24" i="5"/>
  <c r="O24" i="5"/>
  <c r="J24" i="5"/>
  <c r="I24" i="5"/>
  <c r="E24" i="5"/>
  <c r="Z23" i="5"/>
  <c r="Y23" i="5"/>
  <c r="X23" i="5" s="1"/>
  <c r="W23" i="5"/>
  <c r="V23" i="5"/>
  <c r="U23" i="5"/>
  <c r="T23" i="5"/>
  <c r="S23" i="5"/>
  <c r="R23" i="5"/>
  <c r="Q23" i="5"/>
  <c r="P23" i="5"/>
  <c r="O23" i="5"/>
  <c r="J23" i="5"/>
  <c r="I23" i="5"/>
  <c r="G23" i="5"/>
  <c r="F23" i="5"/>
  <c r="E23" i="5"/>
  <c r="B23" i="5"/>
  <c r="Z22" i="5"/>
  <c r="Y22" i="5"/>
  <c r="X22" i="5"/>
  <c r="W22" i="5"/>
  <c r="V22" i="5"/>
  <c r="U22" i="5"/>
  <c r="T22" i="5"/>
  <c r="S22" i="5"/>
  <c r="R22" i="5"/>
  <c r="Q22" i="5"/>
  <c r="O22" i="5"/>
  <c r="P22" i="5" s="1"/>
  <c r="J22" i="5"/>
  <c r="I22" i="5"/>
  <c r="E22" i="5"/>
  <c r="G22" i="5" s="1"/>
  <c r="B22" i="5"/>
  <c r="Z21" i="5"/>
  <c r="Y21" i="5"/>
  <c r="X21" i="5" s="1"/>
  <c r="R21" i="5"/>
  <c r="Q21" i="5"/>
  <c r="P21" i="5"/>
  <c r="O21" i="5"/>
  <c r="J21" i="5"/>
  <c r="I21" i="5"/>
  <c r="G21" i="5"/>
  <c r="E21" i="5"/>
  <c r="F21" i="5" s="1"/>
  <c r="B21" i="5"/>
  <c r="Z20" i="5"/>
  <c r="Y20" i="5"/>
  <c r="X20" i="5"/>
  <c r="P20" i="5"/>
  <c r="O20" i="5"/>
  <c r="Q20" i="5" s="1"/>
  <c r="E20" i="5"/>
  <c r="Z19" i="5"/>
  <c r="J19" i="5" s="1"/>
  <c r="Y19" i="5"/>
  <c r="X19" i="5"/>
  <c r="W19" i="5"/>
  <c r="V19" i="5"/>
  <c r="U19" i="5"/>
  <c r="T19" i="5"/>
  <c r="O19" i="5"/>
  <c r="Q19" i="5" s="1"/>
  <c r="G19" i="5"/>
  <c r="E19" i="5"/>
  <c r="F19" i="5" s="1"/>
  <c r="Z18" i="5"/>
  <c r="Y18" i="5"/>
  <c r="X18" i="5" s="1"/>
  <c r="W18" i="5"/>
  <c r="V18" i="5"/>
  <c r="U18" i="5"/>
  <c r="T18" i="5"/>
  <c r="S18" i="5"/>
  <c r="R18" i="5"/>
  <c r="O18" i="5"/>
  <c r="Q18" i="5" s="1"/>
  <c r="G18" i="5"/>
  <c r="F18" i="5"/>
  <c r="E18" i="5"/>
  <c r="B18" i="5"/>
  <c r="Z17" i="5"/>
  <c r="Y17" i="5"/>
  <c r="W17" i="5" s="1"/>
  <c r="Q17" i="5"/>
  <c r="P17" i="5"/>
  <c r="O17" i="5"/>
  <c r="E17" i="5"/>
  <c r="Z16" i="5"/>
  <c r="Y16" i="5"/>
  <c r="B16" i="5" s="1"/>
  <c r="W16" i="5"/>
  <c r="V16" i="5"/>
  <c r="U16" i="5"/>
  <c r="T16" i="5"/>
  <c r="S16" i="5"/>
  <c r="R16" i="5"/>
  <c r="Q16" i="5"/>
  <c r="P16" i="5"/>
  <c r="O16" i="5"/>
  <c r="G16" i="5"/>
  <c r="F16" i="5"/>
  <c r="E16" i="5"/>
  <c r="Z15" i="5"/>
  <c r="Y15" i="5"/>
  <c r="X15" i="5"/>
  <c r="V15" i="5"/>
  <c r="O15" i="5"/>
  <c r="G15" i="5"/>
  <c r="E15" i="5"/>
  <c r="F15" i="5" s="1"/>
  <c r="Z14" i="5"/>
  <c r="Y14" i="5"/>
  <c r="B14" i="5" s="1"/>
  <c r="X14" i="5"/>
  <c r="W14" i="5"/>
  <c r="V14" i="5"/>
  <c r="U14" i="5"/>
  <c r="T14" i="5"/>
  <c r="S14" i="5"/>
  <c r="R14" i="5"/>
  <c r="Q14" i="5"/>
  <c r="O14" i="5"/>
  <c r="P14" i="5" s="1"/>
  <c r="J14" i="5"/>
  <c r="I14" i="5"/>
  <c r="G14" i="5"/>
  <c r="F14" i="5"/>
  <c r="E14" i="5"/>
  <c r="Z13" i="5"/>
  <c r="Y13" i="5"/>
  <c r="X13" i="5" s="1"/>
  <c r="W13" i="5"/>
  <c r="V13" i="5"/>
  <c r="U13" i="5"/>
  <c r="T13" i="5"/>
  <c r="S13" i="5"/>
  <c r="R13" i="5"/>
  <c r="Q13" i="5"/>
  <c r="P13" i="5"/>
  <c r="O13" i="5"/>
  <c r="J13" i="5"/>
  <c r="I13" i="5"/>
  <c r="F13" i="5"/>
  <c r="E13" i="5"/>
  <c r="G13" i="5" s="1"/>
  <c r="B13" i="5"/>
  <c r="Z12" i="5"/>
  <c r="I12" i="5" s="1"/>
  <c r="Y12" i="5"/>
  <c r="X12" i="5"/>
  <c r="W12" i="5"/>
  <c r="V12" i="5"/>
  <c r="U12" i="5"/>
  <c r="T12" i="5"/>
  <c r="S12" i="5"/>
  <c r="R12" i="5"/>
  <c r="O12" i="5"/>
  <c r="J12" i="5"/>
  <c r="E12" i="5"/>
  <c r="B12" i="5"/>
  <c r="Z11" i="5"/>
  <c r="Y11" i="5"/>
  <c r="X11" i="5" s="1"/>
  <c r="R11" i="5"/>
  <c r="Q11" i="5"/>
  <c r="P11" i="5"/>
  <c r="O11" i="5"/>
  <c r="E11" i="5"/>
  <c r="G11" i="5" s="1"/>
  <c r="B11" i="5"/>
  <c r="Z10" i="5"/>
  <c r="Y10" i="5"/>
  <c r="O10" i="5"/>
  <c r="F10" i="5"/>
  <c r="G10" i="5" s="1"/>
  <c r="E10" i="5"/>
  <c r="Z9" i="5"/>
  <c r="Y9" i="5"/>
  <c r="E9" i="5"/>
  <c r="Z8" i="5"/>
  <c r="Y8" i="5"/>
  <c r="O8" i="5"/>
  <c r="Q8" i="5" s="1"/>
  <c r="E8" i="5"/>
  <c r="Z7" i="5"/>
  <c r="Y7" i="5"/>
  <c r="Q7" i="5"/>
  <c r="P7" i="5"/>
  <c r="O7" i="5"/>
  <c r="E7" i="5"/>
  <c r="Z6" i="5"/>
  <c r="Y6" i="5"/>
  <c r="F6" i="5"/>
  <c r="G6" i="5" s="1"/>
  <c r="E6" i="5"/>
  <c r="Z5" i="5"/>
  <c r="Y5" i="5"/>
  <c r="O5" i="5"/>
  <c r="G5" i="5"/>
  <c r="E5" i="5"/>
  <c r="F5" i="5" s="1"/>
  <c r="M50" i="4"/>
  <c r="C50" i="4"/>
  <c r="Z49" i="4"/>
  <c r="Y49" i="4"/>
  <c r="X49" i="4"/>
  <c r="R49" i="4"/>
  <c r="Q49" i="4"/>
  <c r="O49" i="4"/>
  <c r="P49" i="4" s="1"/>
  <c r="J49" i="4"/>
  <c r="I49" i="4"/>
  <c r="E49" i="4"/>
  <c r="F49" i="4" s="1"/>
  <c r="B49" i="4"/>
  <c r="Z48" i="4"/>
  <c r="Y48" i="4"/>
  <c r="X48" i="4"/>
  <c r="O48" i="4"/>
  <c r="Q48" i="4" s="1"/>
  <c r="E48" i="4"/>
  <c r="G48" i="4" s="1"/>
  <c r="Z47" i="4"/>
  <c r="I47" i="4" s="1"/>
  <c r="Y47" i="4"/>
  <c r="T47" i="4" s="1"/>
  <c r="O47" i="4"/>
  <c r="Q47" i="4" s="1"/>
  <c r="J47" i="4"/>
  <c r="G47" i="4"/>
  <c r="F47" i="4"/>
  <c r="E47" i="4"/>
  <c r="Z46" i="4"/>
  <c r="Y46" i="4"/>
  <c r="X46" i="4"/>
  <c r="W46" i="4"/>
  <c r="V46" i="4"/>
  <c r="U46" i="4"/>
  <c r="T46" i="4"/>
  <c r="S46" i="4"/>
  <c r="R46" i="4"/>
  <c r="O46" i="4"/>
  <c r="Q46" i="4" s="1"/>
  <c r="G46" i="4"/>
  <c r="F46" i="4"/>
  <c r="E46" i="4"/>
  <c r="B46" i="4"/>
  <c r="Z45" i="4"/>
  <c r="Y45" i="4"/>
  <c r="R45" i="4"/>
  <c r="Q45" i="4"/>
  <c r="P45" i="4"/>
  <c r="O45" i="4"/>
  <c r="E45" i="4"/>
  <c r="Z44" i="4"/>
  <c r="Y44" i="4"/>
  <c r="B44" i="4" s="1"/>
  <c r="W44" i="4"/>
  <c r="V44" i="4"/>
  <c r="U44" i="4"/>
  <c r="T44" i="4"/>
  <c r="S44" i="4"/>
  <c r="R44" i="4"/>
  <c r="Q44" i="4"/>
  <c r="O44" i="4"/>
  <c r="P44" i="4" s="1"/>
  <c r="G44" i="4"/>
  <c r="F44" i="4"/>
  <c r="E44" i="4"/>
  <c r="Z43" i="4"/>
  <c r="Y43" i="4"/>
  <c r="B43" i="4" s="1"/>
  <c r="X43" i="4"/>
  <c r="W43" i="4"/>
  <c r="V43" i="4"/>
  <c r="U43" i="4"/>
  <c r="T43" i="4"/>
  <c r="S43" i="4"/>
  <c r="R43" i="4"/>
  <c r="O43" i="4"/>
  <c r="G43" i="4"/>
  <c r="E43" i="4"/>
  <c r="F43" i="4" s="1"/>
  <c r="Z42" i="4"/>
  <c r="Y42" i="4"/>
  <c r="B42" i="4" s="1"/>
  <c r="X42" i="4"/>
  <c r="W42" i="4"/>
  <c r="V42" i="4"/>
  <c r="U42" i="4"/>
  <c r="T42" i="4"/>
  <c r="S42" i="4"/>
  <c r="R42" i="4"/>
  <c r="Q42" i="4"/>
  <c r="P42" i="4"/>
  <c r="O42" i="4"/>
  <c r="J42" i="4"/>
  <c r="I42" i="4"/>
  <c r="E42" i="4"/>
  <c r="Z41" i="4"/>
  <c r="Y41" i="4"/>
  <c r="X41" i="4" s="1"/>
  <c r="W41" i="4"/>
  <c r="V41" i="4"/>
  <c r="U41" i="4"/>
  <c r="T41" i="4"/>
  <c r="S41" i="4"/>
  <c r="R41" i="4"/>
  <c r="P41" i="4"/>
  <c r="O41" i="4"/>
  <c r="Q41" i="4" s="1"/>
  <c r="J41" i="4"/>
  <c r="I41" i="4"/>
  <c r="G41" i="4"/>
  <c r="F41" i="4"/>
  <c r="E41" i="4"/>
  <c r="B41" i="4"/>
  <c r="Z40" i="4"/>
  <c r="Y40" i="4"/>
  <c r="X40" i="4"/>
  <c r="W40" i="4"/>
  <c r="V40" i="4"/>
  <c r="U40" i="4"/>
  <c r="T40" i="4"/>
  <c r="S40" i="4"/>
  <c r="R40" i="4"/>
  <c r="Q40" i="4"/>
  <c r="P40" i="4"/>
  <c r="O40" i="4"/>
  <c r="J40" i="4"/>
  <c r="I40" i="4"/>
  <c r="E40" i="4"/>
  <c r="B40" i="4"/>
  <c r="Z39" i="4"/>
  <c r="Y39" i="4"/>
  <c r="X39" i="4" s="1"/>
  <c r="R39" i="4"/>
  <c r="Q39" i="4"/>
  <c r="P39" i="4"/>
  <c r="O39" i="4"/>
  <c r="F39" i="4"/>
  <c r="E39" i="4"/>
  <c r="G39" i="4" s="1"/>
  <c r="B39" i="4"/>
  <c r="Z38" i="4"/>
  <c r="Y38" i="4"/>
  <c r="X38" i="4"/>
  <c r="V38" i="4"/>
  <c r="P38" i="4"/>
  <c r="O38" i="4"/>
  <c r="Q38" i="4" s="1"/>
  <c r="J38" i="4"/>
  <c r="I38" i="4"/>
  <c r="E38" i="4"/>
  <c r="G38" i="4" s="1"/>
  <c r="Z37" i="4"/>
  <c r="Y37" i="4"/>
  <c r="X37" i="4" s="1"/>
  <c r="W37" i="4"/>
  <c r="V37" i="4"/>
  <c r="U37" i="4"/>
  <c r="T37" i="4"/>
  <c r="O37" i="4"/>
  <c r="Q37" i="4" s="1"/>
  <c r="J37" i="4"/>
  <c r="I37" i="4"/>
  <c r="G37" i="4"/>
  <c r="F37" i="4"/>
  <c r="E37" i="4"/>
  <c r="B37" i="4"/>
  <c r="Z36" i="4"/>
  <c r="Y36" i="4"/>
  <c r="X36" i="4"/>
  <c r="W36" i="4"/>
  <c r="O36" i="4"/>
  <c r="Q36" i="4" s="1"/>
  <c r="E36" i="4"/>
  <c r="G36" i="4" s="1"/>
  <c r="Z35" i="4"/>
  <c r="Y35" i="4"/>
  <c r="Q35" i="4"/>
  <c r="P35" i="4"/>
  <c r="O35" i="4"/>
  <c r="E35" i="4"/>
  <c r="Z34" i="4"/>
  <c r="I34" i="4" s="1"/>
  <c r="Y34" i="4"/>
  <c r="X34" i="4"/>
  <c r="W34" i="4"/>
  <c r="V34" i="4"/>
  <c r="U34" i="4"/>
  <c r="T34" i="4"/>
  <c r="S34" i="4"/>
  <c r="R34" i="4"/>
  <c r="Q34" i="4"/>
  <c r="P34" i="4"/>
  <c r="O34" i="4"/>
  <c r="J34" i="4"/>
  <c r="G34" i="4"/>
  <c r="F34" i="4"/>
  <c r="E34" i="4"/>
  <c r="B34" i="4"/>
  <c r="Z33" i="4"/>
  <c r="Y33" i="4"/>
  <c r="B33" i="4" s="1"/>
  <c r="X33" i="4"/>
  <c r="W33" i="4"/>
  <c r="V33" i="4"/>
  <c r="U33" i="4"/>
  <c r="T33" i="4"/>
  <c r="S33" i="4"/>
  <c r="R33" i="4"/>
  <c r="O33" i="4"/>
  <c r="J33" i="4"/>
  <c r="I33" i="4"/>
  <c r="G33" i="4"/>
  <c r="E33" i="4"/>
  <c r="F33" i="4" s="1"/>
  <c r="Z32" i="4"/>
  <c r="Y32" i="4"/>
  <c r="Q32" i="4"/>
  <c r="P32" i="4"/>
  <c r="O32" i="4"/>
  <c r="J32" i="4"/>
  <c r="I32" i="4"/>
  <c r="E32" i="4"/>
  <c r="G32" i="4" s="1"/>
  <c r="Z31" i="4"/>
  <c r="Y31" i="4"/>
  <c r="X31" i="4" s="1"/>
  <c r="W31" i="4"/>
  <c r="V31" i="4"/>
  <c r="U31" i="4"/>
  <c r="T31" i="4"/>
  <c r="S31" i="4"/>
  <c r="R31" i="4"/>
  <c r="P31" i="4"/>
  <c r="O31" i="4"/>
  <c r="Q31" i="4" s="1"/>
  <c r="J31" i="4"/>
  <c r="I31" i="4"/>
  <c r="G31" i="4"/>
  <c r="F31" i="4"/>
  <c r="E31" i="4"/>
  <c r="B31" i="4"/>
  <c r="Z30" i="4"/>
  <c r="Y30" i="4"/>
  <c r="X30" i="4"/>
  <c r="W30" i="4"/>
  <c r="V30" i="4"/>
  <c r="U30" i="4"/>
  <c r="T30" i="4"/>
  <c r="S30" i="4"/>
  <c r="R30" i="4"/>
  <c r="Q30" i="4"/>
  <c r="P30" i="4"/>
  <c r="O30" i="4"/>
  <c r="E30" i="4"/>
  <c r="G30" i="4" s="1"/>
  <c r="B30" i="4"/>
  <c r="Z29" i="4"/>
  <c r="Y29" i="4"/>
  <c r="Q29" i="4"/>
  <c r="P29" i="4"/>
  <c r="O29" i="4"/>
  <c r="J29" i="4"/>
  <c r="I29" i="4"/>
  <c r="G29" i="4"/>
  <c r="F29" i="4"/>
  <c r="E29" i="4"/>
  <c r="Z28" i="4"/>
  <c r="Y28" i="4"/>
  <c r="X28" i="4"/>
  <c r="W28" i="4"/>
  <c r="V28" i="4"/>
  <c r="O28" i="4"/>
  <c r="P28" i="4" s="1"/>
  <c r="J28" i="4"/>
  <c r="I28" i="4"/>
  <c r="G28" i="4"/>
  <c r="E28" i="4"/>
  <c r="F28" i="4" s="1"/>
  <c r="B28" i="4"/>
  <c r="Z27" i="4"/>
  <c r="J27" i="4" s="1"/>
  <c r="Y27" i="4"/>
  <c r="X27" i="4"/>
  <c r="W27" i="4"/>
  <c r="O27" i="4"/>
  <c r="I27" i="4"/>
  <c r="G27" i="4"/>
  <c r="F27" i="4"/>
  <c r="E27" i="4"/>
  <c r="B27" i="4"/>
  <c r="Z26" i="4"/>
  <c r="Y26" i="4"/>
  <c r="W26" i="4" s="1"/>
  <c r="X26" i="4"/>
  <c r="T26" i="4"/>
  <c r="O26" i="4"/>
  <c r="Q26" i="4" s="1"/>
  <c r="F26" i="4"/>
  <c r="E26" i="4"/>
  <c r="G26" i="4" s="1"/>
  <c r="Z25" i="4"/>
  <c r="Y25" i="4"/>
  <c r="W25" i="4" s="1"/>
  <c r="X25" i="4"/>
  <c r="V25" i="4"/>
  <c r="U25" i="4"/>
  <c r="T25" i="4"/>
  <c r="S25" i="4"/>
  <c r="R25" i="4"/>
  <c r="Q25" i="4"/>
  <c r="P25" i="4"/>
  <c r="O25" i="4"/>
  <c r="F25" i="4"/>
  <c r="E25" i="4"/>
  <c r="G25" i="4" s="1"/>
  <c r="B25" i="4"/>
  <c r="Z24" i="4"/>
  <c r="I24" i="4" s="1"/>
  <c r="Y24" i="4"/>
  <c r="X24" i="4"/>
  <c r="W24" i="4"/>
  <c r="V24" i="4"/>
  <c r="U24" i="4"/>
  <c r="T24" i="4"/>
  <c r="S24" i="4"/>
  <c r="R24" i="4"/>
  <c r="Q24" i="4"/>
  <c r="P24" i="4"/>
  <c r="O24" i="4"/>
  <c r="J24" i="4"/>
  <c r="G24" i="4"/>
  <c r="F24" i="4"/>
  <c r="E24" i="4"/>
  <c r="B24" i="4"/>
  <c r="Z23" i="4"/>
  <c r="Y23" i="4"/>
  <c r="X23" i="4"/>
  <c r="R23" i="4"/>
  <c r="Q23" i="4"/>
  <c r="P23" i="4"/>
  <c r="O23" i="4"/>
  <c r="G23" i="4"/>
  <c r="E23" i="4"/>
  <c r="F23" i="4" s="1"/>
  <c r="Z22" i="4"/>
  <c r="Y22" i="4"/>
  <c r="W22" i="4" s="1"/>
  <c r="X22" i="4"/>
  <c r="O22" i="4"/>
  <c r="Q22" i="4" s="1"/>
  <c r="J22" i="4"/>
  <c r="I22" i="4"/>
  <c r="E22" i="4"/>
  <c r="Z21" i="4"/>
  <c r="Y21" i="4"/>
  <c r="X21" i="4" s="1"/>
  <c r="W21" i="4"/>
  <c r="V21" i="4"/>
  <c r="U21" i="4"/>
  <c r="T21" i="4"/>
  <c r="S21" i="4"/>
  <c r="R21" i="4"/>
  <c r="Q21" i="4"/>
  <c r="P21" i="4"/>
  <c r="O21" i="4"/>
  <c r="J21" i="4"/>
  <c r="I21" i="4"/>
  <c r="E21" i="4"/>
  <c r="B21" i="4"/>
  <c r="Z20" i="4"/>
  <c r="Y20" i="4"/>
  <c r="X20" i="4"/>
  <c r="W20" i="4"/>
  <c r="V20" i="4"/>
  <c r="U20" i="4"/>
  <c r="T20" i="4"/>
  <c r="S20" i="4"/>
  <c r="R20" i="4"/>
  <c r="O20" i="4"/>
  <c r="Q20" i="4" s="1"/>
  <c r="F20" i="4"/>
  <c r="E20" i="4"/>
  <c r="G20" i="4" s="1"/>
  <c r="B20" i="4"/>
  <c r="Z19" i="4"/>
  <c r="J19" i="4" s="1"/>
  <c r="Y19" i="4"/>
  <c r="X19" i="4" s="1"/>
  <c r="Q19" i="4"/>
  <c r="P19" i="4"/>
  <c r="O19" i="4"/>
  <c r="I19" i="4"/>
  <c r="G19" i="4"/>
  <c r="E19" i="4"/>
  <c r="F19" i="4" s="1"/>
  <c r="B19" i="4"/>
  <c r="Z18" i="4"/>
  <c r="I18" i="4" s="1"/>
  <c r="Y18" i="4"/>
  <c r="X18" i="4" s="1"/>
  <c r="P18" i="4"/>
  <c r="O18" i="4"/>
  <c r="Q18" i="4" s="1"/>
  <c r="J18" i="4"/>
  <c r="G18" i="4"/>
  <c r="F18" i="4"/>
  <c r="E18" i="4"/>
  <c r="B18" i="4"/>
  <c r="Z17" i="4"/>
  <c r="Y17" i="4"/>
  <c r="U17" i="4" s="1"/>
  <c r="X17" i="4"/>
  <c r="W17" i="4"/>
  <c r="V17" i="4"/>
  <c r="T17" i="4"/>
  <c r="O17" i="4"/>
  <c r="E17" i="4"/>
  <c r="B17" i="4"/>
  <c r="Z16" i="4"/>
  <c r="Y16" i="4"/>
  <c r="B16" i="4" s="1"/>
  <c r="X16" i="4"/>
  <c r="W16" i="4"/>
  <c r="V16" i="4"/>
  <c r="U16" i="4"/>
  <c r="T16" i="4"/>
  <c r="S16" i="4"/>
  <c r="R16" i="4"/>
  <c r="O16" i="4"/>
  <c r="G16" i="4"/>
  <c r="F16" i="4"/>
  <c r="E16" i="4"/>
  <c r="Z15" i="4"/>
  <c r="J15" i="4" s="1"/>
  <c r="Y15" i="4"/>
  <c r="X15" i="4"/>
  <c r="W15" i="4"/>
  <c r="V15" i="4"/>
  <c r="U15" i="4"/>
  <c r="T15" i="4"/>
  <c r="S15" i="4"/>
  <c r="R15" i="4"/>
  <c r="Q15" i="4"/>
  <c r="P15" i="4"/>
  <c r="O15" i="4"/>
  <c r="I15" i="4"/>
  <c r="F15" i="4"/>
  <c r="E15" i="4"/>
  <c r="G15" i="4" s="1"/>
  <c r="B15" i="4"/>
  <c r="Z14" i="4"/>
  <c r="I14" i="4" s="1"/>
  <c r="Y14" i="4"/>
  <c r="S14" i="4"/>
  <c r="R14" i="4"/>
  <c r="Q14" i="4"/>
  <c r="O14" i="4"/>
  <c r="P14" i="4" s="1"/>
  <c r="J14" i="4"/>
  <c r="G14" i="4"/>
  <c r="F14" i="4"/>
  <c r="E14" i="4"/>
  <c r="B14" i="4"/>
  <c r="Z13" i="4"/>
  <c r="I13" i="4" s="1"/>
  <c r="Y13" i="4"/>
  <c r="X13" i="4"/>
  <c r="W13" i="4"/>
  <c r="V13" i="4"/>
  <c r="O13" i="4"/>
  <c r="J13" i="4"/>
  <c r="G13" i="4"/>
  <c r="E13" i="4"/>
  <c r="F13" i="4" s="1"/>
  <c r="B13" i="4"/>
  <c r="Z12" i="4"/>
  <c r="Y12" i="4"/>
  <c r="X12" i="4" s="1"/>
  <c r="U12" i="4"/>
  <c r="P12" i="4"/>
  <c r="O12" i="4"/>
  <c r="Q12" i="4" s="1"/>
  <c r="G12" i="4"/>
  <c r="F12" i="4"/>
  <c r="E12" i="4"/>
  <c r="Z11" i="4"/>
  <c r="Y11" i="4"/>
  <c r="R11" i="4" s="1"/>
  <c r="E11" i="4"/>
  <c r="Z10" i="4"/>
  <c r="Y10" i="4"/>
  <c r="G10" i="4"/>
  <c r="F10" i="4"/>
  <c r="E10" i="4"/>
  <c r="Z9" i="4"/>
  <c r="Y9" i="4"/>
  <c r="S9" i="4"/>
  <c r="X9" i="4" s="1"/>
  <c r="R9" i="4"/>
  <c r="U9" i="4" s="1"/>
  <c r="O9" i="4"/>
  <c r="Q9" i="4" s="1"/>
  <c r="F9" i="4"/>
  <c r="E9" i="4"/>
  <c r="G9" i="4" s="1"/>
  <c r="Z8" i="4"/>
  <c r="Y8" i="4"/>
  <c r="B8" i="4" s="1"/>
  <c r="O8" i="4"/>
  <c r="F8" i="4"/>
  <c r="E8" i="4"/>
  <c r="Z7" i="4"/>
  <c r="Y7" i="4"/>
  <c r="O10" i="4" s="1"/>
  <c r="E7" i="4"/>
  <c r="Z6" i="4"/>
  <c r="Y6" i="4"/>
  <c r="S6" i="4"/>
  <c r="X6" i="4" s="1"/>
  <c r="R6" i="4"/>
  <c r="F6" i="4"/>
  <c r="G6" i="4" s="1"/>
  <c r="E6" i="4"/>
  <c r="Z5" i="4"/>
  <c r="Y5" i="4"/>
  <c r="F5" i="4"/>
  <c r="E5" i="4"/>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B5" i="7" s="1"/>
  <c r="C4" i="3"/>
  <c r="C3" i="3"/>
  <c r="B6" i="9" s="1"/>
  <c r="B7" i="1"/>
  <c r="B6" i="1"/>
  <c r="B35" i="2" s="1"/>
  <c r="B5" i="1"/>
  <c r="A1" i="2" s="1"/>
  <c r="C21" i="2"/>
  <c r="B37" i="2" l="1"/>
  <c r="D1" i="4"/>
  <c r="F1" i="4" s="1"/>
  <c r="H1" i="4"/>
  <c r="B38" i="2"/>
  <c r="D1" i="5"/>
  <c r="F1" i="5" s="1"/>
  <c r="H1" i="6"/>
  <c r="D1" i="7"/>
  <c r="F1" i="7" s="1"/>
  <c r="H1" i="7"/>
  <c r="B9" i="2"/>
  <c r="B10" i="2"/>
  <c r="B12" i="2"/>
  <c r="B13" i="2"/>
  <c r="D1" i="8"/>
  <c r="F1" i="8" s="1"/>
  <c r="B14" i="2"/>
  <c r="B17" i="2"/>
  <c r="D1" i="12"/>
  <c r="F1" i="12" s="1"/>
  <c r="B24" i="2"/>
  <c r="B20" i="2"/>
  <c r="B21" i="2"/>
  <c r="B23" i="2"/>
  <c r="B27" i="2"/>
  <c r="B29" i="2"/>
  <c r="B32" i="2"/>
  <c r="F21" i="2"/>
  <c r="P10" i="4"/>
  <c r="Q10" i="4" s="1"/>
  <c r="O6" i="4"/>
  <c r="W29" i="4"/>
  <c r="V29" i="4"/>
  <c r="U29" i="4"/>
  <c r="T29" i="4"/>
  <c r="B29" i="4"/>
  <c r="S29" i="4"/>
  <c r="R29" i="4"/>
  <c r="B32" i="4"/>
  <c r="V32" i="4"/>
  <c r="U32" i="4"/>
  <c r="T32" i="4"/>
  <c r="S32" i="4"/>
  <c r="R32" i="4"/>
  <c r="W32" i="4"/>
  <c r="B35" i="4"/>
  <c r="X35" i="4"/>
  <c r="W35" i="4"/>
  <c r="V35" i="4"/>
  <c r="U35" i="4"/>
  <c r="G40" i="4"/>
  <c r="F40" i="4"/>
  <c r="J15" i="5"/>
  <c r="I15" i="5"/>
  <c r="F33" i="5"/>
  <c r="G33" i="5"/>
  <c r="Q7" i="6"/>
  <c r="T7" i="6"/>
  <c r="V7" i="6" s="1"/>
  <c r="W7" i="6" s="1"/>
  <c r="Q19" i="8"/>
  <c r="P19" i="8"/>
  <c r="G6" i="14"/>
  <c r="F6" i="14"/>
  <c r="B7" i="5"/>
  <c r="G8" i="5"/>
  <c r="U17" i="5"/>
  <c r="T17" i="5"/>
  <c r="S17" i="5"/>
  <c r="R17" i="5"/>
  <c r="B17" i="5"/>
  <c r="X17" i="5"/>
  <c r="J29" i="5"/>
  <c r="I29" i="5"/>
  <c r="J41" i="5"/>
  <c r="I41" i="5"/>
  <c r="P27" i="6"/>
  <c r="Q27" i="6"/>
  <c r="T40" i="7"/>
  <c r="X17" i="8"/>
  <c r="B17" i="8"/>
  <c r="T17" i="8"/>
  <c r="S17" i="8"/>
  <c r="R17" i="8"/>
  <c r="W17" i="8"/>
  <c r="V17" i="8"/>
  <c r="G39" i="10"/>
  <c r="F39" i="10"/>
  <c r="Q41" i="9"/>
  <c r="P41" i="9"/>
  <c r="B5" i="11"/>
  <c r="S5" i="11"/>
  <c r="X5" i="11" s="1"/>
  <c r="R5" i="11"/>
  <c r="U5" i="11" s="1"/>
  <c r="T5" i="11"/>
  <c r="W11" i="11"/>
  <c r="V11" i="11"/>
  <c r="U11" i="11"/>
  <c r="T11" i="11"/>
  <c r="R11" i="11"/>
  <c r="B11" i="11"/>
  <c r="S11" i="11"/>
  <c r="F30" i="13"/>
  <c r="G30" i="13"/>
  <c r="J17" i="5"/>
  <c r="I17" i="5"/>
  <c r="J5" i="5"/>
  <c r="T8" i="5"/>
  <c r="V8" i="5" s="1"/>
  <c r="W8" i="5" s="1"/>
  <c r="W31" i="5"/>
  <c r="V31" i="5"/>
  <c r="U31" i="5"/>
  <c r="T31" i="5"/>
  <c r="S31" i="5"/>
  <c r="B31" i="5"/>
  <c r="R31" i="5"/>
  <c r="P46" i="5"/>
  <c r="Q36" i="6"/>
  <c r="E50" i="7"/>
  <c r="F5" i="7"/>
  <c r="G15" i="7"/>
  <c r="F15" i="7"/>
  <c r="X40" i="7"/>
  <c r="V40" i="7"/>
  <c r="B40" i="7"/>
  <c r="W40" i="7"/>
  <c r="S40" i="7"/>
  <c r="R40" i="7"/>
  <c r="W25" i="8"/>
  <c r="T25" i="8"/>
  <c r="U25" i="8"/>
  <c r="S25" i="8"/>
  <c r="R25" i="8"/>
  <c r="X25" i="8"/>
  <c r="V25" i="8"/>
  <c r="B25" i="8"/>
  <c r="I31" i="8"/>
  <c r="J31" i="8"/>
  <c r="F37" i="8"/>
  <c r="G37" i="8"/>
  <c r="T7" i="9"/>
  <c r="V7" i="9" s="1"/>
  <c r="W7" i="9" s="1"/>
  <c r="R7" i="9"/>
  <c r="S7" i="9"/>
  <c r="B7" i="9"/>
  <c r="X7" i="9"/>
  <c r="U7" i="9"/>
  <c r="P15" i="9"/>
  <c r="Q15" i="9"/>
  <c r="B9" i="11"/>
  <c r="Q37" i="13"/>
  <c r="P37" i="13"/>
  <c r="V12" i="4"/>
  <c r="U26" i="4"/>
  <c r="F30" i="4"/>
  <c r="Q5" i="5"/>
  <c r="P5" i="5"/>
  <c r="J10" i="6"/>
  <c r="I10" i="6"/>
  <c r="X29" i="6"/>
  <c r="W29" i="6"/>
  <c r="V29" i="6"/>
  <c r="U29" i="6"/>
  <c r="T29" i="6"/>
  <c r="B29" i="6"/>
  <c r="R29" i="6"/>
  <c r="J16" i="10"/>
  <c r="I16" i="10"/>
  <c r="R11" i="10"/>
  <c r="U11" i="10" s="1"/>
  <c r="S6" i="10"/>
  <c r="X6" i="10" s="1"/>
  <c r="P34" i="11"/>
  <c r="Q34" i="11"/>
  <c r="R7" i="12"/>
  <c r="U7" i="12" s="1"/>
  <c r="F10" i="13"/>
  <c r="G10" i="13" s="1"/>
  <c r="B9" i="18"/>
  <c r="Q28" i="4"/>
  <c r="B5" i="5"/>
  <c r="U5" i="5"/>
  <c r="T5" i="5"/>
  <c r="S5" i="5"/>
  <c r="R5" i="5"/>
  <c r="O6" i="5"/>
  <c r="J6" i="5"/>
  <c r="J9" i="5"/>
  <c r="X5" i="5"/>
  <c r="V5" i="5"/>
  <c r="W5" i="5" s="1"/>
  <c r="I10" i="5"/>
  <c r="O50" i="6"/>
  <c r="Q5" i="6"/>
  <c r="B11" i="6"/>
  <c r="G41" i="7"/>
  <c r="F41" i="7"/>
  <c r="X37" i="8"/>
  <c r="S37" i="8"/>
  <c r="R37" i="8"/>
  <c r="T37" i="8"/>
  <c r="B37" i="8"/>
  <c r="W37" i="8"/>
  <c r="V37" i="8"/>
  <c r="U37" i="8"/>
  <c r="B12" i="4"/>
  <c r="R12" i="4"/>
  <c r="W12" i="4"/>
  <c r="T12" i="4"/>
  <c r="S12" i="4"/>
  <c r="Q33" i="4"/>
  <c r="P33" i="4"/>
  <c r="S7" i="5"/>
  <c r="X7" i="5" s="1"/>
  <c r="Q36" i="5"/>
  <c r="P36" i="5"/>
  <c r="F11" i="6"/>
  <c r="G11" i="6"/>
  <c r="J31" i="6"/>
  <c r="I31" i="6"/>
  <c r="T9" i="7"/>
  <c r="V9" i="7" s="1"/>
  <c r="Q8" i="7"/>
  <c r="J37" i="8"/>
  <c r="I37" i="8"/>
  <c r="J36" i="11"/>
  <c r="I36" i="11"/>
  <c r="W40" i="33"/>
  <c r="V40" i="33"/>
  <c r="B40" i="33"/>
  <c r="T40" i="33"/>
  <c r="S40" i="33"/>
  <c r="R40" i="33"/>
  <c r="U40" i="33"/>
  <c r="X40" i="33"/>
  <c r="J5" i="33"/>
  <c r="G19" i="34"/>
  <c r="F19" i="34"/>
  <c r="B26" i="4"/>
  <c r="V26" i="4"/>
  <c r="S26" i="4"/>
  <c r="R26" i="4"/>
  <c r="J36" i="4"/>
  <c r="I36" i="4"/>
  <c r="G49" i="4"/>
  <c r="R8" i="5"/>
  <c r="U8" i="5" s="1"/>
  <c r="B8" i="5"/>
  <c r="S8" i="5"/>
  <c r="X8" i="5" s="1"/>
  <c r="W38" i="5"/>
  <c r="V38" i="5"/>
  <c r="U38" i="5"/>
  <c r="T38" i="5"/>
  <c r="S38" i="5"/>
  <c r="B38" i="5"/>
  <c r="X38" i="5"/>
  <c r="R38" i="5"/>
  <c r="R5" i="6"/>
  <c r="S8" i="6"/>
  <c r="X8" i="6" s="1"/>
  <c r="I48" i="6"/>
  <c r="J48" i="6"/>
  <c r="P8" i="7"/>
  <c r="G38" i="8"/>
  <c r="F38" i="8"/>
  <c r="P9" i="10"/>
  <c r="P6" i="11"/>
  <c r="Q6" i="11"/>
  <c r="O50" i="11"/>
  <c r="P30" i="17"/>
  <c r="Q30" i="17"/>
  <c r="U40" i="31"/>
  <c r="B40" i="31"/>
  <c r="V40" i="31"/>
  <c r="T40" i="31"/>
  <c r="S40" i="31"/>
  <c r="R40" i="31"/>
  <c r="X40" i="31"/>
  <c r="W40" i="31"/>
  <c r="F7" i="33"/>
  <c r="G7" i="33" s="1"/>
  <c r="J23" i="4"/>
  <c r="I23" i="4"/>
  <c r="U38" i="4"/>
  <c r="T38" i="4"/>
  <c r="S38" i="4"/>
  <c r="R38" i="4"/>
  <c r="B38" i="4"/>
  <c r="W38" i="4"/>
  <c r="P43" i="4"/>
  <c r="Q43" i="4"/>
  <c r="J38" i="5"/>
  <c r="I38" i="5"/>
  <c r="Q40" i="5"/>
  <c r="P40" i="5"/>
  <c r="T5" i="6"/>
  <c r="F21" i="6"/>
  <c r="G21" i="6"/>
  <c r="G32" i="6"/>
  <c r="F32" i="6"/>
  <c r="R6" i="8"/>
  <c r="U6" i="8" s="1"/>
  <c r="T8" i="9"/>
  <c r="J5" i="9"/>
  <c r="I5" i="9"/>
  <c r="S8" i="9"/>
  <c r="X8" i="9" s="1"/>
  <c r="R8" i="9"/>
  <c r="U8" i="9" s="1"/>
  <c r="R5" i="9"/>
  <c r="U5" i="9" s="1"/>
  <c r="G29" i="9"/>
  <c r="F29" i="9"/>
  <c r="R6" i="11"/>
  <c r="U6" i="11" s="1"/>
  <c r="J35" i="16"/>
  <c r="I35" i="16"/>
  <c r="I37" i="16"/>
  <c r="J37" i="16"/>
  <c r="Q44" i="27"/>
  <c r="P44" i="27"/>
  <c r="S7" i="4"/>
  <c r="X7" i="4" s="1"/>
  <c r="R7" i="4"/>
  <c r="I9" i="4"/>
  <c r="I12" i="4"/>
  <c r="B7" i="4"/>
  <c r="I5" i="4"/>
  <c r="I6" i="4"/>
  <c r="G14" i="6"/>
  <c r="F14" i="6"/>
  <c r="B8" i="7"/>
  <c r="I30" i="7"/>
  <c r="J30" i="7"/>
  <c r="S6" i="8"/>
  <c r="X6" i="8" s="1"/>
  <c r="F23" i="11"/>
  <c r="G23" i="11"/>
  <c r="B32" i="12"/>
  <c r="S32" i="12"/>
  <c r="R32" i="12"/>
  <c r="W32" i="12"/>
  <c r="V32" i="12"/>
  <c r="U32" i="12"/>
  <c r="T32" i="12"/>
  <c r="X32" i="12"/>
  <c r="Q28" i="14"/>
  <c r="P28" i="14"/>
  <c r="J8" i="16"/>
  <c r="I8" i="16"/>
  <c r="R5" i="16"/>
  <c r="P25" i="21"/>
  <c r="Q25" i="21"/>
  <c r="J10" i="4"/>
  <c r="I9" i="5"/>
  <c r="G12" i="5"/>
  <c r="F12" i="5"/>
  <c r="I36" i="5"/>
  <c r="J36" i="5"/>
  <c r="G43" i="6"/>
  <c r="J6" i="7"/>
  <c r="R43" i="11"/>
  <c r="X43" i="11"/>
  <c r="W43" i="11"/>
  <c r="V43" i="11"/>
  <c r="U43" i="11"/>
  <c r="S43" i="11"/>
  <c r="B43" i="11"/>
  <c r="T43" i="11"/>
  <c r="I27" i="12"/>
  <c r="J27" i="12"/>
  <c r="B41" i="12"/>
  <c r="S41" i="12"/>
  <c r="R41" i="12"/>
  <c r="X41" i="12"/>
  <c r="W41" i="12"/>
  <c r="V41" i="12"/>
  <c r="U41" i="12"/>
  <c r="T41" i="12"/>
  <c r="B11" i="33"/>
  <c r="B9" i="32"/>
  <c r="B6" i="33"/>
  <c r="B14" i="32"/>
  <c r="B9" i="31"/>
  <c r="B8" i="32"/>
  <c r="B13" i="32"/>
  <c r="B10" i="31"/>
  <c r="B10" i="30"/>
  <c r="B11" i="29"/>
  <c r="B5" i="31"/>
  <c r="B6" i="30"/>
  <c r="B12" i="32"/>
  <c r="B8" i="31"/>
  <c r="B6" i="29"/>
  <c r="B10" i="28"/>
  <c r="B6" i="27"/>
  <c r="B7" i="30"/>
  <c r="B9" i="30"/>
  <c r="B12" i="25"/>
  <c r="B7" i="32"/>
  <c r="B5" i="33"/>
  <c r="B9" i="24"/>
  <c r="B6" i="31"/>
  <c r="B6" i="28"/>
  <c r="B11" i="25"/>
  <c r="B10" i="25"/>
  <c r="B10" i="24"/>
  <c r="B6" i="24"/>
  <c r="B10" i="19"/>
  <c r="B9" i="23"/>
  <c r="B7" i="23"/>
  <c r="B7" i="25"/>
  <c r="B5" i="24"/>
  <c r="B8" i="23"/>
  <c r="B10" i="29"/>
  <c r="B5" i="21"/>
  <c r="B5" i="19"/>
  <c r="B9" i="21"/>
  <c r="B8" i="18"/>
  <c r="B8" i="24"/>
  <c r="B8" i="22"/>
  <c r="B6" i="19"/>
  <c r="B7" i="15"/>
  <c r="B15" i="25"/>
  <c r="B11" i="28"/>
  <c r="B6" i="20"/>
  <c r="B7" i="19"/>
  <c r="B12" i="18"/>
  <c r="B8" i="15"/>
  <c r="B5" i="18"/>
  <c r="B10" i="10"/>
  <c r="B5" i="15"/>
  <c r="B5" i="14"/>
  <c r="B8" i="9"/>
  <c r="B10" i="14"/>
  <c r="B10" i="12"/>
  <c r="B12" i="15"/>
  <c r="B7" i="22"/>
  <c r="B11" i="14"/>
  <c r="B7" i="21"/>
  <c r="B8" i="16"/>
  <c r="B11" i="13"/>
  <c r="B6" i="7"/>
  <c r="B10" i="4"/>
  <c r="B6" i="12"/>
  <c r="B9" i="10"/>
  <c r="B9" i="8"/>
  <c r="B7" i="20"/>
  <c r="B7" i="10"/>
  <c r="B8" i="13"/>
  <c r="B11" i="10"/>
  <c r="B6" i="8"/>
  <c r="B9" i="12"/>
  <c r="B6" i="10"/>
  <c r="B9" i="4"/>
  <c r="B8" i="10"/>
  <c r="B9" i="5"/>
  <c r="B5" i="4"/>
  <c r="B7" i="13"/>
  <c r="B6" i="11"/>
  <c r="B5" i="6"/>
  <c r="G42" i="4"/>
  <c r="F42" i="4"/>
  <c r="G45" i="4"/>
  <c r="F45" i="4"/>
  <c r="B26" i="5"/>
  <c r="W26" i="5"/>
  <c r="V26" i="5"/>
  <c r="U26" i="5"/>
  <c r="T26" i="5"/>
  <c r="S26" i="5"/>
  <c r="X26" i="5"/>
  <c r="F39" i="5"/>
  <c r="I8" i="6"/>
  <c r="R6" i="6"/>
  <c r="R8" i="6"/>
  <c r="U8" i="6" s="1"/>
  <c r="O8" i="6"/>
  <c r="J8" i="6"/>
  <c r="S9" i="6"/>
  <c r="X9" i="6" s="1"/>
  <c r="R9" i="6"/>
  <c r="S7" i="6"/>
  <c r="X7" i="6" s="1"/>
  <c r="T8" i="6"/>
  <c r="V8" i="6" s="1"/>
  <c r="W8" i="6" s="1"/>
  <c r="W23" i="6"/>
  <c r="V23" i="6"/>
  <c r="U23" i="6"/>
  <c r="T23" i="6"/>
  <c r="S23" i="6"/>
  <c r="R23" i="6"/>
  <c r="X23" i="6"/>
  <c r="B23" i="6"/>
  <c r="G31" i="7"/>
  <c r="F31" i="7"/>
  <c r="J27" i="9"/>
  <c r="I27" i="9"/>
  <c r="F31" i="11"/>
  <c r="G8" i="4"/>
  <c r="O11" i="4"/>
  <c r="T11" i="4" s="1"/>
  <c r="Q13" i="4"/>
  <c r="P13" i="4"/>
  <c r="Q12" i="5"/>
  <c r="P12" i="5"/>
  <c r="Q14" i="6"/>
  <c r="P14" i="6"/>
  <c r="R6" i="7"/>
  <c r="J11" i="7"/>
  <c r="I11" i="7"/>
  <c r="R7" i="7"/>
  <c r="U7" i="7" s="1"/>
  <c r="T6" i="7"/>
  <c r="V6" i="7" s="1"/>
  <c r="W6" i="7" s="1"/>
  <c r="T11" i="7"/>
  <c r="V49" i="7"/>
  <c r="U49" i="7"/>
  <c r="T49" i="7"/>
  <c r="S49" i="7"/>
  <c r="R49" i="7"/>
  <c r="X49" i="7"/>
  <c r="B49" i="7"/>
  <c r="W49" i="7"/>
  <c r="S25" i="9"/>
  <c r="R25" i="9"/>
  <c r="W25" i="9"/>
  <c r="B25" i="9"/>
  <c r="T25" i="9"/>
  <c r="V25" i="9"/>
  <c r="U25" i="9"/>
  <c r="Q7" i="10"/>
  <c r="Q50" i="10" s="1"/>
  <c r="P7" i="10"/>
  <c r="O50" i="10"/>
  <c r="I48" i="12"/>
  <c r="J48" i="12"/>
  <c r="O50" i="13"/>
  <c r="Q5" i="13"/>
  <c r="U35" i="15"/>
  <c r="T35" i="15"/>
  <c r="S35" i="15"/>
  <c r="R35" i="15"/>
  <c r="B35" i="15"/>
  <c r="V35" i="15"/>
  <c r="X35" i="15"/>
  <c r="W35" i="15"/>
  <c r="T6" i="8"/>
  <c r="J25" i="9"/>
  <c r="I25" i="9"/>
  <c r="J37" i="10"/>
  <c r="I37" i="10"/>
  <c r="P40" i="10"/>
  <c r="Q40" i="10"/>
  <c r="J25" i="12"/>
  <c r="I25" i="12"/>
  <c r="R10" i="12"/>
  <c r="U10" i="12" s="1"/>
  <c r="F7" i="5"/>
  <c r="G7" i="5" s="1"/>
  <c r="E50" i="5"/>
  <c r="B28" i="5"/>
  <c r="X28" i="5"/>
  <c r="W28" i="5"/>
  <c r="V28" i="5"/>
  <c r="U28" i="5"/>
  <c r="Q25" i="6"/>
  <c r="P25" i="6"/>
  <c r="F12" i="7"/>
  <c r="F27" i="7"/>
  <c r="I20" i="8"/>
  <c r="J20" i="8"/>
  <c r="T9" i="8"/>
  <c r="G29" i="15"/>
  <c r="F29" i="15"/>
  <c r="I11" i="4"/>
  <c r="U8" i="4"/>
  <c r="T8" i="4"/>
  <c r="R8" i="4"/>
  <c r="V8" i="4"/>
  <c r="W8" i="4" s="1"/>
  <c r="S8" i="4"/>
  <c r="X8" i="4" s="1"/>
  <c r="S11" i="4"/>
  <c r="J10" i="5"/>
  <c r="B6" i="6"/>
  <c r="J40" i="6"/>
  <c r="I40" i="6"/>
  <c r="T8" i="7"/>
  <c r="V8" i="7" s="1"/>
  <c r="W8" i="7" s="1"/>
  <c r="W25" i="7"/>
  <c r="V25" i="7"/>
  <c r="U25" i="7"/>
  <c r="T25" i="7"/>
  <c r="S25" i="7"/>
  <c r="B25" i="7"/>
  <c r="Q42" i="7"/>
  <c r="P42" i="7"/>
  <c r="G42" i="8"/>
  <c r="F42" i="8"/>
  <c r="I45" i="8"/>
  <c r="J45" i="8"/>
  <c r="P16" i="9"/>
  <c r="Q16" i="9"/>
  <c r="J44" i="9"/>
  <c r="I44" i="9"/>
  <c r="T11" i="10"/>
  <c r="Q47" i="10"/>
  <c r="P47" i="10"/>
  <c r="U10" i="11"/>
  <c r="T10" i="11"/>
  <c r="S10" i="11"/>
  <c r="R10" i="11"/>
  <c r="W10" i="11"/>
  <c r="B10" i="11"/>
  <c r="X10" i="11"/>
  <c r="V10" i="11"/>
  <c r="Q25" i="11"/>
  <c r="P25" i="11"/>
  <c r="G12" i="15"/>
  <c r="F12" i="15"/>
  <c r="V12" i="15"/>
  <c r="W12" i="15" s="1"/>
  <c r="J8" i="4"/>
  <c r="X11" i="4"/>
  <c r="B11" i="4"/>
  <c r="J30" i="4"/>
  <c r="I30" i="4"/>
  <c r="W45" i="4"/>
  <c r="V45" i="4"/>
  <c r="U45" i="4"/>
  <c r="T45" i="4"/>
  <c r="S45" i="4"/>
  <c r="B45" i="4"/>
  <c r="X45" i="4"/>
  <c r="Q10" i="5"/>
  <c r="P10" i="5"/>
  <c r="P15" i="5"/>
  <c r="Q15" i="5"/>
  <c r="T9" i="6"/>
  <c r="V9" i="6" s="1"/>
  <c r="W9" i="6" s="1"/>
  <c r="F41" i="6"/>
  <c r="G41" i="6"/>
  <c r="B7" i="7"/>
  <c r="B22" i="7"/>
  <c r="T22" i="7"/>
  <c r="S22" i="7"/>
  <c r="U22" i="7"/>
  <c r="R22" i="7"/>
  <c r="J9" i="7"/>
  <c r="I9" i="7"/>
  <c r="I5" i="7"/>
  <c r="X22" i="7"/>
  <c r="I8" i="7"/>
  <c r="W22" i="7"/>
  <c r="U7" i="8"/>
  <c r="V22" i="8"/>
  <c r="B22" i="8"/>
  <c r="X22" i="8"/>
  <c r="U22" i="8"/>
  <c r="T22" i="8"/>
  <c r="G28" i="10"/>
  <c r="F28" i="10"/>
  <c r="B7" i="11"/>
  <c r="U7" i="11"/>
  <c r="T7" i="11"/>
  <c r="V7" i="11" s="1"/>
  <c r="W7" i="11" s="1"/>
  <c r="S7" i="11"/>
  <c r="X7" i="11" s="1"/>
  <c r="R7" i="11"/>
  <c r="G21" i="13"/>
  <c r="F21" i="13"/>
  <c r="J16" i="4"/>
  <c r="I16" i="4"/>
  <c r="I20" i="4"/>
  <c r="J20" i="4"/>
  <c r="R35" i="4"/>
  <c r="I43" i="4"/>
  <c r="J43" i="4"/>
  <c r="J45" i="4"/>
  <c r="I45" i="4"/>
  <c r="I12" i="6"/>
  <c r="J12" i="6"/>
  <c r="B17" i="6"/>
  <c r="W17" i="6"/>
  <c r="T17" i="6"/>
  <c r="S17" i="6"/>
  <c r="R17" i="6"/>
  <c r="X17" i="6"/>
  <c r="I6" i="6"/>
  <c r="V17" i="6"/>
  <c r="U17" i="6"/>
  <c r="J11" i="6"/>
  <c r="I11" i="6"/>
  <c r="J7" i="6"/>
  <c r="Q37" i="6"/>
  <c r="P37" i="6"/>
  <c r="I38" i="6"/>
  <c r="J38" i="6"/>
  <c r="J22" i="7"/>
  <c r="I22" i="7"/>
  <c r="S9" i="8"/>
  <c r="Q26" i="12"/>
  <c r="P26" i="12"/>
  <c r="F22" i="4"/>
  <c r="G22" i="4"/>
  <c r="S35" i="4"/>
  <c r="S47" i="4"/>
  <c r="R47" i="4"/>
  <c r="B47" i="4"/>
  <c r="X47" i="4"/>
  <c r="W47" i="4"/>
  <c r="V47" i="4"/>
  <c r="U47" i="4"/>
  <c r="T7" i="5"/>
  <c r="V7" i="5" s="1"/>
  <c r="W7" i="5" s="1"/>
  <c r="I19" i="5"/>
  <c r="I31" i="5"/>
  <c r="P24" i="6"/>
  <c r="J10" i="7"/>
  <c r="F23" i="7"/>
  <c r="G23" i="7"/>
  <c r="P44" i="8"/>
  <c r="Q44" i="8"/>
  <c r="J14" i="9"/>
  <c r="I14" i="9"/>
  <c r="T13" i="12"/>
  <c r="S13" i="12"/>
  <c r="R13" i="12"/>
  <c r="X13" i="12"/>
  <c r="W13" i="12"/>
  <c r="V13" i="12"/>
  <c r="U13" i="12"/>
  <c r="B13" i="12"/>
  <c r="J9" i="4"/>
  <c r="X29" i="4"/>
  <c r="X32" i="4"/>
  <c r="T35" i="4"/>
  <c r="T10" i="5"/>
  <c r="V10" i="5" s="1"/>
  <c r="W10" i="5" s="1"/>
  <c r="S10" i="5"/>
  <c r="R10" i="5"/>
  <c r="U10" i="5" s="1"/>
  <c r="X10" i="5"/>
  <c r="B10" i="5"/>
  <c r="V17" i="5"/>
  <c r="I7" i="6"/>
  <c r="F10" i="6"/>
  <c r="G10" i="6" s="1"/>
  <c r="G13" i="6"/>
  <c r="F13" i="6"/>
  <c r="J22" i="6"/>
  <c r="F14" i="8"/>
  <c r="G14" i="8"/>
  <c r="Q17" i="8"/>
  <c r="P17" i="8"/>
  <c r="B42" i="9"/>
  <c r="W42" i="9"/>
  <c r="X42" i="9"/>
  <c r="S42" i="9"/>
  <c r="R42" i="9"/>
  <c r="V42" i="9"/>
  <c r="U42" i="9"/>
  <c r="G16" i="10"/>
  <c r="F16" i="10"/>
  <c r="B31" i="2"/>
  <c r="S6" i="5"/>
  <c r="X6" i="5" s="1"/>
  <c r="U20" i="5"/>
  <c r="T20" i="5"/>
  <c r="S20" i="5"/>
  <c r="R20" i="5"/>
  <c r="J23" i="6"/>
  <c r="I23" i="6"/>
  <c r="B27" i="6"/>
  <c r="W27" i="6"/>
  <c r="U42" i="6"/>
  <c r="T42" i="6"/>
  <c r="S42" i="6"/>
  <c r="R42" i="6"/>
  <c r="B42" i="6"/>
  <c r="V42" i="6"/>
  <c r="Q6" i="7"/>
  <c r="T7" i="7"/>
  <c r="S13" i="8"/>
  <c r="T13" i="8"/>
  <c r="R13" i="8"/>
  <c r="V13" i="8"/>
  <c r="U13" i="8"/>
  <c r="I29" i="8"/>
  <c r="J29" i="8"/>
  <c r="X9" i="9"/>
  <c r="V9" i="9"/>
  <c r="W9" i="9" s="1"/>
  <c r="B9" i="9"/>
  <c r="T9" i="9"/>
  <c r="R9" i="9"/>
  <c r="U9" i="9" s="1"/>
  <c r="G34" i="9"/>
  <c r="F34" i="9"/>
  <c r="J15" i="10"/>
  <c r="I15" i="10"/>
  <c r="B15" i="11"/>
  <c r="V15" i="11"/>
  <c r="S15" i="11"/>
  <c r="R15" i="11"/>
  <c r="Q48" i="11"/>
  <c r="P48" i="11"/>
  <c r="W48" i="13"/>
  <c r="V48" i="13"/>
  <c r="U48" i="13"/>
  <c r="T48" i="13"/>
  <c r="R48" i="13"/>
  <c r="X48" i="13"/>
  <c r="S48" i="13"/>
  <c r="B48" i="13"/>
  <c r="Q8" i="14"/>
  <c r="P8" i="14"/>
  <c r="I43" i="16"/>
  <c r="J43" i="16"/>
  <c r="U48" i="4"/>
  <c r="T48" i="4"/>
  <c r="S48" i="4"/>
  <c r="R48" i="4"/>
  <c r="V48" i="4"/>
  <c r="B48" i="4"/>
  <c r="B45" i="5"/>
  <c r="W45" i="5"/>
  <c r="P9" i="4"/>
  <c r="G17" i="4"/>
  <c r="F17" i="4"/>
  <c r="U36" i="4"/>
  <c r="T36" i="4"/>
  <c r="S36" i="4"/>
  <c r="R36" i="4"/>
  <c r="B36" i="4"/>
  <c r="J48" i="4"/>
  <c r="I48" i="4"/>
  <c r="T6" i="5"/>
  <c r="V6" i="5" s="1"/>
  <c r="W6" i="5" s="1"/>
  <c r="B15" i="5"/>
  <c r="W15" i="5"/>
  <c r="J20" i="5"/>
  <c r="I20" i="5"/>
  <c r="S29" i="5"/>
  <c r="R29" i="5"/>
  <c r="U29" i="5"/>
  <c r="T29" i="5"/>
  <c r="B29" i="5"/>
  <c r="J32" i="5"/>
  <c r="I32" i="5"/>
  <c r="B36" i="5"/>
  <c r="W36" i="5"/>
  <c r="J45" i="5"/>
  <c r="I45" i="5"/>
  <c r="J19" i="6"/>
  <c r="I19" i="6"/>
  <c r="J34" i="6"/>
  <c r="I34" i="6"/>
  <c r="B40" i="6"/>
  <c r="X40" i="6"/>
  <c r="W40" i="6"/>
  <c r="V40" i="6"/>
  <c r="U40" i="6"/>
  <c r="T40" i="6"/>
  <c r="I42" i="6"/>
  <c r="J42" i="6"/>
  <c r="P44" i="6"/>
  <c r="P6" i="7"/>
  <c r="Q19" i="7"/>
  <c r="P19" i="7"/>
  <c r="J13" i="8"/>
  <c r="I13" i="8"/>
  <c r="P22" i="8"/>
  <c r="S31" i="8"/>
  <c r="R31" i="8"/>
  <c r="U31" i="8"/>
  <c r="T31" i="8"/>
  <c r="X31" i="8"/>
  <c r="W31" i="8"/>
  <c r="J36" i="8"/>
  <c r="I36" i="8"/>
  <c r="B40" i="8"/>
  <c r="V40" i="8"/>
  <c r="T40" i="8"/>
  <c r="S40" i="8"/>
  <c r="B23" i="9"/>
  <c r="Q27" i="9"/>
  <c r="P27" i="9"/>
  <c r="Q32" i="9"/>
  <c r="O50" i="9"/>
  <c r="G28" i="12"/>
  <c r="F28" i="12"/>
  <c r="G27" i="14"/>
  <c r="F27" i="14"/>
  <c r="J44" i="14"/>
  <c r="I44" i="14"/>
  <c r="U37" i="16"/>
  <c r="T37" i="16"/>
  <c r="S37" i="16"/>
  <c r="R37" i="16"/>
  <c r="B37" i="16"/>
  <c r="X37" i="16"/>
  <c r="V37" i="16"/>
  <c r="G44" i="16"/>
  <c r="F44" i="16"/>
  <c r="J30" i="11"/>
  <c r="I30" i="11"/>
  <c r="G47" i="11"/>
  <c r="F47" i="11"/>
  <c r="W48" i="11"/>
  <c r="V48" i="11"/>
  <c r="U48" i="11"/>
  <c r="T48" i="11"/>
  <c r="R48" i="11"/>
  <c r="B48" i="11"/>
  <c r="R17" i="13"/>
  <c r="B17" i="13"/>
  <c r="S17" i="13"/>
  <c r="W17" i="13"/>
  <c r="V17" i="13"/>
  <c r="X17" i="13"/>
  <c r="U17" i="13"/>
  <c r="T17" i="13"/>
  <c r="Q39" i="13"/>
  <c r="P39" i="13"/>
  <c r="I8" i="14"/>
  <c r="T10" i="14"/>
  <c r="S10" i="14"/>
  <c r="X10" i="14" s="1"/>
  <c r="T8" i="14"/>
  <c r="V8" i="14" s="1"/>
  <c r="W8" i="14" s="1"/>
  <c r="R8" i="14"/>
  <c r="U8" i="14" s="1"/>
  <c r="J8" i="14"/>
  <c r="S7" i="14"/>
  <c r="X7" i="14" s="1"/>
  <c r="T5" i="14"/>
  <c r="U27" i="16"/>
  <c r="T27" i="16"/>
  <c r="S27" i="16"/>
  <c r="R27" i="16"/>
  <c r="W27" i="16"/>
  <c r="V27" i="16"/>
  <c r="X27" i="16"/>
  <c r="B27" i="16"/>
  <c r="G38" i="16"/>
  <c r="F38" i="16"/>
  <c r="B44" i="20"/>
  <c r="S44" i="20"/>
  <c r="R44" i="20"/>
  <c r="W44" i="20"/>
  <c r="T44" i="20"/>
  <c r="X44" i="20"/>
  <c r="V44" i="20"/>
  <c r="U44" i="20"/>
  <c r="O7" i="4"/>
  <c r="J7" i="4"/>
  <c r="I7" i="4"/>
  <c r="B23" i="4"/>
  <c r="W23" i="4"/>
  <c r="V23" i="4"/>
  <c r="U23" i="4"/>
  <c r="T23" i="4"/>
  <c r="S23" i="4"/>
  <c r="B8" i="6"/>
  <c r="B10" i="6"/>
  <c r="X10" i="6"/>
  <c r="U10" i="6"/>
  <c r="T10" i="6"/>
  <c r="V10" i="6" s="1"/>
  <c r="W10" i="6" s="1"/>
  <c r="U12" i="6"/>
  <c r="T12" i="6"/>
  <c r="S12" i="6"/>
  <c r="R12" i="6"/>
  <c r="S20" i="6"/>
  <c r="J29" i="6"/>
  <c r="I29" i="6"/>
  <c r="S31" i="6"/>
  <c r="R31" i="6"/>
  <c r="B31" i="6"/>
  <c r="U31" i="6"/>
  <c r="S11" i="7"/>
  <c r="X11" i="7" s="1"/>
  <c r="R11" i="7"/>
  <c r="J8" i="7"/>
  <c r="J5" i="7"/>
  <c r="V11" i="7"/>
  <c r="W11" i="7" s="1"/>
  <c r="B19" i="7"/>
  <c r="W19" i="7"/>
  <c r="T19" i="7"/>
  <c r="S19" i="7"/>
  <c r="R19" i="7"/>
  <c r="X19" i="7"/>
  <c r="U34" i="7"/>
  <c r="T34" i="7"/>
  <c r="S34" i="7"/>
  <c r="R34" i="7"/>
  <c r="X34" i="7"/>
  <c r="W34" i="7"/>
  <c r="V34" i="7"/>
  <c r="B47" i="7"/>
  <c r="X47" i="7"/>
  <c r="G46" i="8"/>
  <c r="F46" i="8"/>
  <c r="S5" i="9"/>
  <c r="X5" i="9" s="1"/>
  <c r="B5" i="9"/>
  <c r="T5" i="9"/>
  <c r="U16" i="9"/>
  <c r="T16" i="9"/>
  <c r="R16" i="9"/>
  <c r="W16" i="9"/>
  <c r="B16" i="9"/>
  <c r="B30" i="9"/>
  <c r="X30" i="9"/>
  <c r="W30" i="9"/>
  <c r="U30" i="9"/>
  <c r="S30" i="9"/>
  <c r="Q45" i="9"/>
  <c r="P45" i="9"/>
  <c r="I47" i="9"/>
  <c r="P33" i="10"/>
  <c r="Q33" i="10"/>
  <c r="P49" i="10"/>
  <c r="G37" i="11"/>
  <c r="F37" i="11"/>
  <c r="Q34" i="13"/>
  <c r="P34" i="13"/>
  <c r="J17" i="16"/>
  <c r="Q41" i="28"/>
  <c r="P41" i="28"/>
  <c r="Q40" i="31"/>
  <c r="P40" i="31"/>
  <c r="F31" i="33"/>
  <c r="G31" i="33"/>
  <c r="I8" i="4"/>
  <c r="X14" i="4"/>
  <c r="W14" i="4"/>
  <c r="V14" i="4"/>
  <c r="U14" i="4"/>
  <c r="T14" i="4"/>
  <c r="S17" i="4"/>
  <c r="R17" i="4"/>
  <c r="R19" i="4"/>
  <c r="T22" i="4"/>
  <c r="J26" i="4"/>
  <c r="I26" i="4"/>
  <c r="J8" i="5"/>
  <c r="I8" i="5"/>
  <c r="G27" i="5"/>
  <c r="F27" i="5"/>
  <c r="U40" i="5"/>
  <c r="T40" i="5"/>
  <c r="S40" i="5"/>
  <c r="R40" i="5"/>
  <c r="B40" i="5"/>
  <c r="W49" i="5"/>
  <c r="T41" i="6"/>
  <c r="G46" i="6"/>
  <c r="F46" i="6"/>
  <c r="T47" i="6"/>
  <c r="G49" i="6"/>
  <c r="F49" i="6"/>
  <c r="G7" i="7"/>
  <c r="T10" i="7"/>
  <c r="V10" i="7" s="1"/>
  <c r="W10" i="7" s="1"/>
  <c r="S13" i="7"/>
  <c r="R13" i="7"/>
  <c r="X13" i="7"/>
  <c r="S23" i="7"/>
  <c r="R23" i="7"/>
  <c r="X23" i="7"/>
  <c r="W23" i="7"/>
  <c r="V23" i="7"/>
  <c r="U23" i="7"/>
  <c r="T23" i="7"/>
  <c r="J25" i="7"/>
  <c r="I25" i="7"/>
  <c r="J6" i="8"/>
  <c r="I6" i="8"/>
  <c r="R8" i="8"/>
  <c r="R5" i="8"/>
  <c r="U5" i="8" s="1"/>
  <c r="U12" i="8"/>
  <c r="V19" i="8"/>
  <c r="V30" i="8"/>
  <c r="J42" i="8"/>
  <c r="I42" i="8"/>
  <c r="J17" i="9"/>
  <c r="V23" i="9"/>
  <c r="W47" i="9"/>
  <c r="V47" i="9"/>
  <c r="U47" i="9"/>
  <c r="T47" i="9"/>
  <c r="R47" i="9"/>
  <c r="S47" i="9"/>
  <c r="B47" i="9"/>
  <c r="J18" i="10"/>
  <c r="I18" i="10"/>
  <c r="T45" i="10"/>
  <c r="S25" i="11"/>
  <c r="Q29" i="11"/>
  <c r="P29" i="11"/>
  <c r="F18" i="12"/>
  <c r="G18" i="12"/>
  <c r="G35" i="14"/>
  <c r="F35" i="14"/>
  <c r="I40" i="15"/>
  <c r="J40" i="15"/>
  <c r="G10" i="26"/>
  <c r="F10" i="26"/>
  <c r="E50" i="26"/>
  <c r="G12" i="26"/>
  <c r="F12" i="26"/>
  <c r="G5" i="4"/>
  <c r="E50" i="4"/>
  <c r="J17" i="4"/>
  <c r="I17" i="4"/>
  <c r="G21" i="4"/>
  <c r="F21" i="4"/>
  <c r="U22" i="4"/>
  <c r="G24" i="5"/>
  <c r="F24" i="5"/>
  <c r="Q17" i="6"/>
  <c r="P17" i="6"/>
  <c r="B19" i="6"/>
  <c r="B20" i="6"/>
  <c r="R20" i="6"/>
  <c r="U20" i="6"/>
  <c r="U41" i="6"/>
  <c r="J20" i="7"/>
  <c r="F7" i="8"/>
  <c r="G7" i="8"/>
  <c r="B10" i="9"/>
  <c r="X10" i="9"/>
  <c r="V10" i="9"/>
  <c r="U10" i="9"/>
  <c r="T10" i="9"/>
  <c r="S10" i="9"/>
  <c r="R10" i="9"/>
  <c r="V45" i="10"/>
  <c r="P13" i="11"/>
  <c r="Q13" i="11"/>
  <c r="T25" i="11"/>
  <c r="V41" i="11"/>
  <c r="U41" i="11"/>
  <c r="T41" i="11"/>
  <c r="S41" i="11"/>
  <c r="R41" i="11"/>
  <c r="B41" i="11"/>
  <c r="W41" i="11"/>
  <c r="S30" i="13"/>
  <c r="R30" i="13"/>
  <c r="B30" i="13"/>
  <c r="W30" i="13"/>
  <c r="X30" i="13"/>
  <c r="V30" i="13"/>
  <c r="U30" i="13"/>
  <c r="T30" i="13"/>
  <c r="S37" i="13"/>
  <c r="R37" i="13"/>
  <c r="X37" i="13"/>
  <c r="B37" i="13"/>
  <c r="V37" i="13"/>
  <c r="U37" i="13"/>
  <c r="W37" i="13"/>
  <c r="G7" i="15"/>
  <c r="F7" i="15"/>
  <c r="Q15" i="15"/>
  <c r="P15" i="15"/>
  <c r="I46" i="15"/>
  <c r="J46" i="15"/>
  <c r="J18" i="20"/>
  <c r="I18" i="20"/>
  <c r="Q8" i="4"/>
  <c r="P8" i="4"/>
  <c r="I10" i="4"/>
  <c r="Q16" i="4"/>
  <c r="P16" i="4"/>
  <c r="W19" i="4"/>
  <c r="V19" i="4"/>
  <c r="U19" i="4"/>
  <c r="T19" i="4"/>
  <c r="S19" i="4"/>
  <c r="V22" i="4"/>
  <c r="R7" i="5"/>
  <c r="U7" i="5" s="1"/>
  <c r="S49" i="5"/>
  <c r="R49" i="5"/>
  <c r="U49" i="5"/>
  <c r="T49" i="5"/>
  <c r="J20" i="6"/>
  <c r="I20" i="6"/>
  <c r="G34" i="6"/>
  <c r="F34" i="6"/>
  <c r="V41" i="6"/>
  <c r="T41" i="7"/>
  <c r="X12" i="8"/>
  <c r="V12" i="8"/>
  <c r="B12" i="8"/>
  <c r="T19" i="8"/>
  <c r="S19" i="8"/>
  <c r="R19" i="8"/>
  <c r="X19" i="8"/>
  <c r="B19" i="8"/>
  <c r="J34" i="9"/>
  <c r="I34" i="9"/>
  <c r="J38" i="9"/>
  <c r="I38" i="9"/>
  <c r="V10" i="10"/>
  <c r="W10" i="10" s="1"/>
  <c r="F10" i="10"/>
  <c r="G10" i="10" s="1"/>
  <c r="G19" i="10"/>
  <c r="F19" i="10"/>
  <c r="S18" i="11"/>
  <c r="U25" i="11"/>
  <c r="P21" i="12"/>
  <c r="Q21" i="12"/>
  <c r="B42" i="12"/>
  <c r="W42" i="12"/>
  <c r="V42" i="12"/>
  <c r="U42" i="12"/>
  <c r="T42" i="12"/>
  <c r="R42" i="12"/>
  <c r="X42" i="12"/>
  <c r="S42" i="12"/>
  <c r="I30" i="13"/>
  <c r="J30" i="13"/>
  <c r="X6" i="14"/>
  <c r="V6" i="14"/>
  <c r="W6" i="14" s="1"/>
  <c r="T6" i="14"/>
  <c r="R6" i="14"/>
  <c r="U6" i="14" s="1"/>
  <c r="S6" i="14"/>
  <c r="B6" i="14"/>
  <c r="B39" i="14"/>
  <c r="S39" i="14"/>
  <c r="R39" i="14"/>
  <c r="W39" i="14"/>
  <c r="V39" i="14"/>
  <c r="U39" i="14"/>
  <c r="T39" i="14"/>
  <c r="X39" i="14"/>
  <c r="Q48" i="15"/>
  <c r="P48" i="15"/>
  <c r="F9" i="5"/>
  <c r="G9" i="5" s="1"/>
  <c r="J49" i="5"/>
  <c r="I49" i="5"/>
  <c r="G6" i="6"/>
  <c r="S6" i="6"/>
  <c r="X6" i="6" s="1"/>
  <c r="P32" i="6"/>
  <c r="B47" i="6"/>
  <c r="W47" i="6"/>
  <c r="S47" i="6"/>
  <c r="R47" i="6"/>
  <c r="V47" i="6"/>
  <c r="P20" i="7"/>
  <c r="B30" i="8"/>
  <c r="S30" i="8"/>
  <c r="R30" i="8"/>
  <c r="J32" i="8"/>
  <c r="I32" i="8"/>
  <c r="P12" i="9"/>
  <c r="R23" i="9"/>
  <c r="U23" i="9"/>
  <c r="T23" i="9"/>
  <c r="Q28" i="9"/>
  <c r="P28" i="9"/>
  <c r="B43" i="9"/>
  <c r="T43" i="9"/>
  <c r="S43" i="9"/>
  <c r="R43" i="9"/>
  <c r="W43" i="9"/>
  <c r="V43" i="9"/>
  <c r="J7" i="10"/>
  <c r="I7" i="10"/>
  <c r="F41" i="10"/>
  <c r="B42" i="10"/>
  <c r="X42" i="10"/>
  <c r="T42" i="10"/>
  <c r="V42" i="10"/>
  <c r="U42" i="10"/>
  <c r="S42" i="10"/>
  <c r="R42" i="10"/>
  <c r="U45" i="10"/>
  <c r="B45" i="10"/>
  <c r="X45" i="10"/>
  <c r="G20" i="12"/>
  <c r="V28" i="13"/>
  <c r="U28" i="13"/>
  <c r="T28" i="13"/>
  <c r="S28" i="13"/>
  <c r="W28" i="13"/>
  <c r="B28" i="13"/>
  <c r="G21" i="14"/>
  <c r="F21" i="14"/>
  <c r="I16" i="18"/>
  <c r="J16" i="18"/>
  <c r="S41" i="6"/>
  <c r="R41" i="6"/>
  <c r="W41" i="6"/>
  <c r="B41" i="6"/>
  <c r="Q38" i="7"/>
  <c r="P38" i="7"/>
  <c r="S48" i="7"/>
  <c r="R48" i="7"/>
  <c r="U48" i="7"/>
  <c r="T48" i="7"/>
  <c r="X48" i="7"/>
  <c r="W48" i="7"/>
  <c r="S7" i="8"/>
  <c r="X7" i="8" s="1"/>
  <c r="R7" i="8"/>
  <c r="T7" i="8"/>
  <c r="V7" i="8" s="1"/>
  <c r="W7" i="8" s="1"/>
  <c r="B7" i="8"/>
  <c r="T6" i="9"/>
  <c r="V6" i="9" s="1"/>
  <c r="W6" i="9" s="1"/>
  <c r="R6" i="9"/>
  <c r="U6" i="9" s="1"/>
  <c r="S6" i="9"/>
  <c r="X6" i="9" s="1"/>
  <c r="J23" i="9"/>
  <c r="I23" i="9"/>
  <c r="G35" i="9"/>
  <c r="F35" i="9"/>
  <c r="J43" i="9"/>
  <c r="I43" i="9"/>
  <c r="Q32" i="10"/>
  <c r="P32" i="10"/>
  <c r="B25" i="11"/>
  <c r="V25" i="11"/>
  <c r="W25" i="11"/>
  <c r="J18" i="12"/>
  <c r="I18" i="12"/>
  <c r="G43" i="12"/>
  <c r="F43" i="12"/>
  <c r="Q49" i="12"/>
  <c r="P49" i="12"/>
  <c r="J28" i="13"/>
  <c r="I28" i="13"/>
  <c r="Q31" i="13"/>
  <c r="P31" i="13"/>
  <c r="R6" i="5"/>
  <c r="I5" i="5"/>
  <c r="B20" i="5"/>
  <c r="J28" i="5"/>
  <c r="I28" i="5"/>
  <c r="P38" i="6"/>
  <c r="P9" i="7"/>
  <c r="J21" i="7"/>
  <c r="I21" i="7"/>
  <c r="R41" i="7"/>
  <c r="B41" i="7"/>
  <c r="S41" i="7"/>
  <c r="V41" i="7"/>
  <c r="U41" i="7"/>
  <c r="T43" i="7"/>
  <c r="X43" i="7"/>
  <c r="W43" i="7"/>
  <c r="V43" i="7"/>
  <c r="U43" i="7"/>
  <c r="S43" i="7"/>
  <c r="B43" i="7"/>
  <c r="I48" i="7"/>
  <c r="J48" i="7"/>
  <c r="P5" i="8"/>
  <c r="O50" i="8"/>
  <c r="J7" i="8"/>
  <c r="I7" i="8"/>
  <c r="U34" i="8"/>
  <c r="R34" i="8"/>
  <c r="B34" i="8"/>
  <c r="W34" i="8"/>
  <c r="S34" i="8"/>
  <c r="X34" i="8"/>
  <c r="V34" i="8"/>
  <c r="P48" i="8"/>
  <c r="Q37" i="9"/>
  <c r="P37" i="9"/>
  <c r="J48" i="9"/>
  <c r="T5" i="10"/>
  <c r="S5" i="10"/>
  <c r="R5" i="10"/>
  <c r="U5" i="10" s="1"/>
  <c r="B5" i="10"/>
  <c r="X5" i="10"/>
  <c r="B12" i="10"/>
  <c r="X12" i="10"/>
  <c r="T12" i="10"/>
  <c r="S12" i="10"/>
  <c r="R12" i="10"/>
  <c r="W12" i="10"/>
  <c r="V12" i="10"/>
  <c r="Q17" i="10"/>
  <c r="P17" i="10"/>
  <c r="V35" i="10"/>
  <c r="U35" i="10"/>
  <c r="T35" i="10"/>
  <c r="S35" i="10"/>
  <c r="R35" i="10"/>
  <c r="B35" i="10"/>
  <c r="W39" i="10"/>
  <c r="V39" i="10"/>
  <c r="U39" i="10"/>
  <c r="T39" i="10"/>
  <c r="R39" i="10"/>
  <c r="S39" i="10"/>
  <c r="B39" i="10"/>
  <c r="S9" i="11"/>
  <c r="R9" i="11"/>
  <c r="U9" i="11" s="1"/>
  <c r="T9" i="11"/>
  <c r="V9" i="11" s="1"/>
  <c r="W9" i="11" s="1"/>
  <c r="X9" i="11"/>
  <c r="W18" i="11"/>
  <c r="R18" i="11"/>
  <c r="B18" i="11"/>
  <c r="U18" i="11"/>
  <c r="T18" i="11"/>
  <c r="G28" i="11"/>
  <c r="F28" i="11"/>
  <c r="U35" i="11"/>
  <c r="T35" i="11"/>
  <c r="B35" i="11"/>
  <c r="S35" i="11"/>
  <c r="R35" i="11"/>
  <c r="X35" i="11"/>
  <c r="W35" i="11"/>
  <c r="T10" i="12"/>
  <c r="G25" i="12"/>
  <c r="F25" i="12"/>
  <c r="Q43" i="12"/>
  <c r="P43" i="12"/>
  <c r="I14" i="19"/>
  <c r="J14" i="19"/>
  <c r="T5" i="19"/>
  <c r="V5" i="19" s="1"/>
  <c r="R5" i="19"/>
  <c r="P33" i="19"/>
  <c r="X46" i="19"/>
  <c r="W46" i="19"/>
  <c r="V46" i="19"/>
  <c r="U46" i="19"/>
  <c r="S46" i="19"/>
  <c r="T46" i="19"/>
  <c r="B46" i="19"/>
  <c r="J5" i="19"/>
  <c r="B18" i="2"/>
  <c r="B33" i="2"/>
  <c r="R5" i="4"/>
  <c r="J6" i="4"/>
  <c r="T9" i="5"/>
  <c r="V9" i="5" s="1"/>
  <c r="W9" i="5" s="1"/>
  <c r="G20" i="5"/>
  <c r="F20" i="5"/>
  <c r="B25" i="5"/>
  <c r="S25" i="5"/>
  <c r="R25" i="5"/>
  <c r="R45" i="5"/>
  <c r="R48" i="5"/>
  <c r="J6" i="6"/>
  <c r="R19" i="6"/>
  <c r="J21" i="6"/>
  <c r="G23" i="6"/>
  <c r="F23" i="6"/>
  <c r="F26" i="6"/>
  <c r="R27" i="6"/>
  <c r="B39" i="6"/>
  <c r="T39" i="6"/>
  <c r="I7" i="7"/>
  <c r="I10" i="7"/>
  <c r="F32" i="7"/>
  <c r="J41" i="7"/>
  <c r="I41" i="7"/>
  <c r="Q5" i="8"/>
  <c r="X9" i="8"/>
  <c r="G7" i="9"/>
  <c r="B31" i="9"/>
  <c r="S31" i="9"/>
  <c r="R31" i="9"/>
  <c r="U31" i="9"/>
  <c r="T31" i="9"/>
  <c r="J5" i="10"/>
  <c r="I5" i="10"/>
  <c r="T10" i="10"/>
  <c r="S9" i="10"/>
  <c r="X9" i="10" s="1"/>
  <c r="R6" i="10"/>
  <c r="U6" i="10" s="1"/>
  <c r="S10" i="10"/>
  <c r="X10" i="10" s="1"/>
  <c r="R10" i="10"/>
  <c r="U10" i="10" s="1"/>
  <c r="T6" i="10"/>
  <c r="S11" i="10"/>
  <c r="X11" i="10" s="1"/>
  <c r="T7" i="10"/>
  <c r="V7" i="10" s="1"/>
  <c r="W7" i="10" s="1"/>
  <c r="J18" i="11"/>
  <c r="I18" i="11"/>
  <c r="I35" i="12"/>
  <c r="J35" i="12"/>
  <c r="P47" i="12"/>
  <c r="R26" i="13"/>
  <c r="V26" i="13"/>
  <c r="U26" i="13"/>
  <c r="B26" i="13"/>
  <c r="B35" i="13"/>
  <c r="W35" i="13"/>
  <c r="U35" i="13"/>
  <c r="T35" i="13"/>
  <c r="X35" i="13"/>
  <c r="V35" i="13"/>
  <c r="S35" i="13"/>
  <c r="J21" i="14"/>
  <c r="I21" i="14"/>
  <c r="V31" i="14"/>
  <c r="U31" i="14"/>
  <c r="T31" i="14"/>
  <c r="S31" i="14"/>
  <c r="B31" i="14"/>
  <c r="W31" i="14"/>
  <c r="R31" i="14"/>
  <c r="G5" i="15"/>
  <c r="F8" i="15"/>
  <c r="F50" i="15" s="1"/>
  <c r="V8" i="15"/>
  <c r="W8" i="15" s="1"/>
  <c r="H1" i="34"/>
  <c r="D1" i="34"/>
  <c r="F1" i="34" s="1"/>
  <c r="H1" i="32"/>
  <c r="H1" i="31"/>
  <c r="D1" i="33"/>
  <c r="F1" i="33" s="1"/>
  <c r="D1" i="32"/>
  <c r="F1" i="32" s="1"/>
  <c r="D1" i="31"/>
  <c r="F1" i="31" s="1"/>
  <c r="H1" i="30"/>
  <c r="D1" i="30"/>
  <c r="F1" i="30" s="1"/>
  <c r="H1" i="27"/>
  <c r="D1" i="27"/>
  <c r="F1" i="27" s="1"/>
  <c r="H1" i="26"/>
  <c r="H1" i="23"/>
  <c r="D1" i="28"/>
  <c r="F1" i="28" s="1"/>
  <c r="H1" i="22"/>
  <c r="D1" i="22"/>
  <c r="F1" i="22" s="1"/>
  <c r="H1" i="33"/>
  <c r="D1" i="26"/>
  <c r="F1" i="26" s="1"/>
  <c r="H1" i="18"/>
  <c r="H1" i="28"/>
  <c r="D1" i="18"/>
  <c r="F1" i="18" s="1"/>
  <c r="D1" i="29"/>
  <c r="F1" i="29" s="1"/>
  <c r="D1" i="24"/>
  <c r="F1" i="24" s="1"/>
  <c r="H1" i="19"/>
  <c r="H1" i="24"/>
  <c r="D1" i="19"/>
  <c r="F1" i="19" s="1"/>
  <c r="H1" i="17"/>
  <c r="D1" i="17"/>
  <c r="F1" i="17" s="1"/>
  <c r="H1" i="21"/>
  <c r="H1" i="20"/>
  <c r="D1" i="21"/>
  <c r="F1" i="21" s="1"/>
  <c r="D1" i="20"/>
  <c r="F1" i="20" s="1"/>
  <c r="H1" i="16"/>
  <c r="H1" i="29"/>
  <c r="H1" i="14"/>
  <c r="H1" i="25"/>
  <c r="D1" i="15"/>
  <c r="F1" i="15" s="1"/>
  <c r="D1" i="13"/>
  <c r="F1" i="13" s="1"/>
  <c r="D1" i="25"/>
  <c r="F1" i="25" s="1"/>
  <c r="D1" i="23"/>
  <c r="F1" i="23" s="1"/>
  <c r="D1" i="14"/>
  <c r="F1" i="14" s="1"/>
  <c r="H1" i="11"/>
  <c r="D1" i="11"/>
  <c r="F1" i="11" s="1"/>
  <c r="H1" i="12"/>
  <c r="D1" i="6"/>
  <c r="F1" i="6" s="1"/>
  <c r="H1" i="15"/>
  <c r="H1" i="5"/>
  <c r="H1" i="8"/>
  <c r="B28" i="2"/>
  <c r="B8" i="2"/>
  <c r="B25" i="2"/>
  <c r="B22" i="2"/>
  <c r="B16" i="2"/>
  <c r="H1" i="9"/>
  <c r="B19" i="2"/>
  <c r="B36" i="2"/>
  <c r="D1" i="16"/>
  <c r="F1" i="16" s="1"/>
  <c r="D1" i="9"/>
  <c r="F1" i="9" s="1"/>
  <c r="H1" i="10"/>
  <c r="D1" i="10"/>
  <c r="F1" i="10" s="1"/>
  <c r="H1" i="13"/>
  <c r="S5" i="4"/>
  <c r="X5" i="4" s="1"/>
  <c r="R10" i="4"/>
  <c r="U10" i="4" s="1"/>
  <c r="F36" i="4"/>
  <c r="X44" i="4"/>
  <c r="F48" i="4"/>
  <c r="R15" i="5"/>
  <c r="X16" i="5"/>
  <c r="F29" i="5"/>
  <c r="R36" i="5"/>
  <c r="J37" i="5"/>
  <c r="I37" i="5"/>
  <c r="S45" i="5"/>
  <c r="S48" i="5"/>
  <c r="T6" i="6"/>
  <c r="Q6" i="6"/>
  <c r="P6" i="6"/>
  <c r="S11" i="6"/>
  <c r="R11" i="6"/>
  <c r="X11" i="6"/>
  <c r="S19" i="6"/>
  <c r="S27" i="6"/>
  <c r="I28" i="6"/>
  <c r="J28" i="6"/>
  <c r="B30" i="6"/>
  <c r="W30" i="6"/>
  <c r="J39" i="6"/>
  <c r="I39" i="6"/>
  <c r="U49" i="6"/>
  <c r="V7" i="7"/>
  <c r="W7" i="7" s="1"/>
  <c r="R9" i="7"/>
  <c r="U9" i="7" s="1"/>
  <c r="B11" i="7"/>
  <c r="P24" i="7"/>
  <c r="F47" i="7"/>
  <c r="G47" i="7"/>
  <c r="S5" i="8"/>
  <c r="X5" i="8" s="1"/>
  <c r="F8" i="8"/>
  <c r="G8" i="8" s="1"/>
  <c r="V23" i="8"/>
  <c r="B38" i="8"/>
  <c r="X38" i="8"/>
  <c r="W38" i="8"/>
  <c r="V38" i="8"/>
  <c r="U38" i="8"/>
  <c r="T38" i="8"/>
  <c r="S38" i="8"/>
  <c r="R38" i="8"/>
  <c r="J43" i="8"/>
  <c r="I43" i="8"/>
  <c r="P45" i="8"/>
  <c r="X19" i="9"/>
  <c r="V19" i="9"/>
  <c r="U19" i="9"/>
  <c r="T19" i="9"/>
  <c r="S19" i="9"/>
  <c r="R19" i="9"/>
  <c r="B19" i="9"/>
  <c r="P48" i="10"/>
  <c r="Q48" i="10"/>
  <c r="G10" i="11"/>
  <c r="F10" i="11"/>
  <c r="J26" i="13"/>
  <c r="I26" i="13"/>
  <c r="W14" i="14"/>
  <c r="V14" i="14"/>
  <c r="U14" i="14"/>
  <c r="T14" i="14"/>
  <c r="S14" i="14"/>
  <c r="B14" i="14"/>
  <c r="X14" i="14"/>
  <c r="R14" i="14"/>
  <c r="P16" i="14"/>
  <c r="W24" i="14"/>
  <c r="V24" i="14"/>
  <c r="U24" i="14"/>
  <c r="T24" i="14"/>
  <c r="S24" i="14"/>
  <c r="R24" i="14"/>
  <c r="X24" i="14"/>
  <c r="B24" i="14"/>
  <c r="Q7" i="19"/>
  <c r="P7" i="19"/>
  <c r="P50" i="19" s="1"/>
  <c r="J11" i="4"/>
  <c r="B22" i="4"/>
  <c r="S22" i="4"/>
  <c r="R22" i="4"/>
  <c r="J35" i="4"/>
  <c r="I35" i="4"/>
  <c r="B11" i="2"/>
  <c r="B26" i="2"/>
  <c r="G7" i="4"/>
  <c r="F7" i="4"/>
  <c r="S10" i="4"/>
  <c r="X10" i="4" s="1"/>
  <c r="J25" i="4"/>
  <c r="I25" i="4"/>
  <c r="W39" i="4"/>
  <c r="V39" i="4"/>
  <c r="U39" i="4"/>
  <c r="T39" i="4"/>
  <c r="S39" i="4"/>
  <c r="O9" i="5"/>
  <c r="O50" i="5" s="1"/>
  <c r="W11" i="5"/>
  <c r="V11" i="5"/>
  <c r="U11" i="5"/>
  <c r="T11" i="5"/>
  <c r="S11" i="5"/>
  <c r="S15" i="5"/>
  <c r="F22" i="5"/>
  <c r="S36" i="5"/>
  <c r="T45" i="5"/>
  <c r="T48" i="5"/>
  <c r="V6" i="6"/>
  <c r="W6" i="6" s="1"/>
  <c r="O11" i="6"/>
  <c r="T19" i="6"/>
  <c r="T27" i="6"/>
  <c r="J30" i="6"/>
  <c r="I30" i="6"/>
  <c r="W49" i="6"/>
  <c r="F11" i="7"/>
  <c r="G11" i="7" s="1"/>
  <c r="U14" i="7"/>
  <c r="T14" i="7"/>
  <c r="S14" i="7"/>
  <c r="R14" i="7"/>
  <c r="W14" i="7"/>
  <c r="P16" i="7"/>
  <c r="V24" i="7"/>
  <c r="S33" i="7"/>
  <c r="R33" i="7"/>
  <c r="B33" i="7"/>
  <c r="G42" i="7"/>
  <c r="F42" i="7"/>
  <c r="Q45" i="7"/>
  <c r="Q50" i="7" s="1"/>
  <c r="F49" i="7"/>
  <c r="W23" i="8"/>
  <c r="Q25" i="8"/>
  <c r="P25" i="8"/>
  <c r="J46" i="8"/>
  <c r="I46" i="8"/>
  <c r="B48" i="8"/>
  <c r="X48" i="8"/>
  <c r="V48" i="8"/>
  <c r="U48" i="8"/>
  <c r="T48" i="8"/>
  <c r="S48" i="8"/>
  <c r="R48" i="8"/>
  <c r="P21" i="9"/>
  <c r="S35" i="9"/>
  <c r="R35" i="9"/>
  <c r="T35" i="9"/>
  <c r="X35" i="9"/>
  <c r="V35" i="9"/>
  <c r="P46" i="9"/>
  <c r="Q46" i="9"/>
  <c r="V6" i="10"/>
  <c r="E50" i="10"/>
  <c r="J19" i="10"/>
  <c r="I19" i="10"/>
  <c r="S27" i="10"/>
  <c r="R27" i="10"/>
  <c r="T27" i="10"/>
  <c r="X27" i="10"/>
  <c r="W27" i="10"/>
  <c r="V27" i="10"/>
  <c r="U27" i="10"/>
  <c r="W29" i="10"/>
  <c r="V29" i="10"/>
  <c r="U29" i="10"/>
  <c r="T29" i="10"/>
  <c r="R29" i="10"/>
  <c r="B29" i="10"/>
  <c r="X29" i="10"/>
  <c r="S29" i="10"/>
  <c r="G36" i="10"/>
  <c r="F36" i="10"/>
  <c r="T15" i="11"/>
  <c r="G21" i="11"/>
  <c r="F21" i="11"/>
  <c r="X20" i="13"/>
  <c r="W20" i="13"/>
  <c r="V20" i="13"/>
  <c r="U20" i="13"/>
  <c r="S20" i="13"/>
  <c r="B20" i="13"/>
  <c r="R20" i="13"/>
  <c r="T7" i="14"/>
  <c r="W10" i="14"/>
  <c r="J14" i="14"/>
  <c r="I14" i="14"/>
  <c r="I21" i="15"/>
  <c r="J21" i="15"/>
  <c r="J24" i="16"/>
  <c r="I24" i="16"/>
  <c r="Q17" i="18"/>
  <c r="Q50" i="18" s="1"/>
  <c r="P17" i="18"/>
  <c r="I33" i="22"/>
  <c r="J33" i="22"/>
  <c r="B34" i="2"/>
  <c r="T10" i="4"/>
  <c r="U13" i="4"/>
  <c r="T13" i="4"/>
  <c r="S13" i="4"/>
  <c r="R13" i="4"/>
  <c r="P20" i="4"/>
  <c r="S27" i="4"/>
  <c r="R27" i="4"/>
  <c r="V27" i="4"/>
  <c r="U27" i="4"/>
  <c r="T27" i="4"/>
  <c r="F32" i="4"/>
  <c r="F38" i="4"/>
  <c r="J39" i="4"/>
  <c r="I39" i="4"/>
  <c r="I44" i="4"/>
  <c r="J44" i="4"/>
  <c r="J7" i="5"/>
  <c r="I7" i="5"/>
  <c r="J11" i="5"/>
  <c r="I11" i="5"/>
  <c r="T15" i="5"/>
  <c r="I16" i="5"/>
  <c r="J16" i="5"/>
  <c r="V20" i="5"/>
  <c r="T36" i="5"/>
  <c r="U45" i="5"/>
  <c r="U48" i="5"/>
  <c r="J5" i="6"/>
  <c r="I5" i="6"/>
  <c r="B9" i="6"/>
  <c r="B12" i="6"/>
  <c r="J18" i="6"/>
  <c r="U19" i="6"/>
  <c r="U27" i="6"/>
  <c r="G29" i="6"/>
  <c r="F29" i="6"/>
  <c r="F40" i="6"/>
  <c r="P42" i="6"/>
  <c r="G44" i="6"/>
  <c r="F6" i="7"/>
  <c r="G6" i="7" s="1"/>
  <c r="J12" i="7"/>
  <c r="I12" i="7"/>
  <c r="I14" i="7"/>
  <c r="J14" i="7"/>
  <c r="X45" i="7"/>
  <c r="B45" i="7"/>
  <c r="U45" i="7"/>
  <c r="W45" i="7"/>
  <c r="V45" i="7"/>
  <c r="T45" i="7"/>
  <c r="S45" i="7"/>
  <c r="R45" i="7"/>
  <c r="R40" i="8"/>
  <c r="Q11" i="9"/>
  <c r="F6" i="10"/>
  <c r="J29" i="10"/>
  <c r="I29" i="10"/>
  <c r="U15" i="11"/>
  <c r="J22" i="11"/>
  <c r="I22" i="11"/>
  <c r="G36" i="12"/>
  <c r="F38" i="12"/>
  <c r="Q14" i="18"/>
  <c r="P14" i="18"/>
  <c r="F47" i="21"/>
  <c r="G47" i="21"/>
  <c r="B15" i="2"/>
  <c r="B30" i="2"/>
  <c r="V36" i="4"/>
  <c r="W48" i="4"/>
  <c r="U15" i="5"/>
  <c r="G17" i="5"/>
  <c r="F17" i="5"/>
  <c r="W20" i="5"/>
  <c r="V29" i="5"/>
  <c r="U36" i="5"/>
  <c r="W41" i="5"/>
  <c r="V41" i="5"/>
  <c r="U41" i="5"/>
  <c r="T41" i="5"/>
  <c r="S41" i="5"/>
  <c r="R41" i="5"/>
  <c r="V45" i="5"/>
  <c r="G47" i="5"/>
  <c r="F47" i="5"/>
  <c r="V48" i="5"/>
  <c r="J9" i="6"/>
  <c r="I9" i="6"/>
  <c r="V19" i="6"/>
  <c r="V27" i="6"/>
  <c r="W42" i="6"/>
  <c r="V49" i="6"/>
  <c r="B49" i="6"/>
  <c r="I6" i="7"/>
  <c r="B13" i="7"/>
  <c r="U24" i="7"/>
  <c r="T24" i="7"/>
  <c r="S24" i="7"/>
  <c r="R24" i="7"/>
  <c r="X24" i="7"/>
  <c r="B24" i="7"/>
  <c r="B34" i="7"/>
  <c r="R47" i="7"/>
  <c r="W13" i="8"/>
  <c r="G22" i="8"/>
  <c r="F22" i="8"/>
  <c r="S23" i="8"/>
  <c r="B23" i="8"/>
  <c r="U23" i="8"/>
  <c r="T23" i="8"/>
  <c r="U40" i="8"/>
  <c r="S9" i="9"/>
  <c r="X24" i="9"/>
  <c r="W24" i="9"/>
  <c r="V24" i="9"/>
  <c r="U24" i="9"/>
  <c r="T24" i="9"/>
  <c r="S24" i="9"/>
  <c r="G20" i="10"/>
  <c r="F20" i="10"/>
  <c r="W15" i="11"/>
  <c r="Q19" i="11"/>
  <c r="P19" i="11"/>
  <c r="Q6" i="12"/>
  <c r="Q50" i="12" s="1"/>
  <c r="O50" i="12"/>
  <c r="W9" i="12"/>
  <c r="F9" i="12"/>
  <c r="G9" i="12" s="1"/>
  <c r="V9" i="12"/>
  <c r="T16" i="12"/>
  <c r="S16" i="12"/>
  <c r="R16" i="12"/>
  <c r="W16" i="12"/>
  <c r="U16" i="12"/>
  <c r="B16" i="12"/>
  <c r="X16" i="12"/>
  <c r="V16" i="12"/>
  <c r="V27" i="12"/>
  <c r="U27" i="12"/>
  <c r="T27" i="12"/>
  <c r="S27" i="12"/>
  <c r="R27" i="12"/>
  <c r="B27" i="12"/>
  <c r="X27" i="12"/>
  <c r="W27" i="12"/>
  <c r="Q22" i="13"/>
  <c r="P22" i="13"/>
  <c r="P50" i="13" s="1"/>
  <c r="T8" i="15"/>
  <c r="G35" i="16"/>
  <c r="F35" i="16"/>
  <c r="J8" i="18"/>
  <c r="I8" i="18"/>
  <c r="S6" i="18"/>
  <c r="Q23" i="19"/>
  <c r="P23" i="19"/>
  <c r="Q25" i="9"/>
  <c r="P25" i="9"/>
  <c r="J27" i="10"/>
  <c r="I27" i="10"/>
  <c r="B8" i="11"/>
  <c r="T8" i="11"/>
  <c r="V8" i="11" s="1"/>
  <c r="W8" i="11" s="1"/>
  <c r="X26" i="11"/>
  <c r="B26" i="11"/>
  <c r="R26" i="11"/>
  <c r="Q32" i="11"/>
  <c r="P32" i="11"/>
  <c r="J13" i="12"/>
  <c r="I13" i="12"/>
  <c r="B31" i="12"/>
  <c r="X31" i="12"/>
  <c r="R31" i="12"/>
  <c r="B6" i="13"/>
  <c r="T6" i="13"/>
  <c r="Q39" i="14"/>
  <c r="P39" i="14"/>
  <c r="B11" i="15"/>
  <c r="Q39" i="16"/>
  <c r="P39" i="16"/>
  <c r="F48" i="19"/>
  <c r="G48" i="19"/>
  <c r="G19" i="6"/>
  <c r="F19" i="6"/>
  <c r="G21" i="7"/>
  <c r="F21" i="7"/>
  <c r="J31" i="7"/>
  <c r="I31" i="7"/>
  <c r="B35" i="7"/>
  <c r="P36" i="7"/>
  <c r="F6" i="8"/>
  <c r="F19" i="8"/>
  <c r="G19" i="8"/>
  <c r="W20" i="8"/>
  <c r="V20" i="8"/>
  <c r="U20" i="8"/>
  <c r="T20" i="8"/>
  <c r="S20" i="8"/>
  <c r="F25" i="8"/>
  <c r="Q33" i="8"/>
  <c r="S43" i="8"/>
  <c r="W43" i="8"/>
  <c r="V43" i="8"/>
  <c r="U43" i="8"/>
  <c r="T43" i="8"/>
  <c r="R43" i="8"/>
  <c r="S14" i="9"/>
  <c r="R14" i="9"/>
  <c r="F11" i="10"/>
  <c r="G11" i="10" s="1"/>
  <c r="X24" i="10"/>
  <c r="U24" i="10"/>
  <c r="T24" i="10"/>
  <c r="S24" i="10"/>
  <c r="R24" i="10"/>
  <c r="F49" i="10"/>
  <c r="J8" i="11"/>
  <c r="I8" i="11"/>
  <c r="I26" i="11"/>
  <c r="J26" i="11"/>
  <c r="Q43" i="11"/>
  <c r="P43" i="11"/>
  <c r="T8" i="12"/>
  <c r="E50" i="13"/>
  <c r="F5" i="13"/>
  <c r="S11" i="13"/>
  <c r="X11" i="13" s="1"/>
  <c r="F33" i="13"/>
  <c r="I11" i="15"/>
  <c r="J11" i="15"/>
  <c r="S14" i="15"/>
  <c r="R14" i="15"/>
  <c r="V14" i="15"/>
  <c r="U14" i="15"/>
  <c r="T14" i="15"/>
  <c r="X14" i="15"/>
  <c r="W14" i="15"/>
  <c r="B14" i="15"/>
  <c r="F8" i="17"/>
  <c r="J36" i="19"/>
  <c r="I36" i="19"/>
  <c r="I30" i="8"/>
  <c r="J30" i="8"/>
  <c r="G6" i="9"/>
  <c r="F8" i="10"/>
  <c r="G8" i="10" s="1"/>
  <c r="S47" i="10"/>
  <c r="R47" i="10"/>
  <c r="V47" i="10"/>
  <c r="B47" i="10"/>
  <c r="J11" i="11"/>
  <c r="I11" i="11"/>
  <c r="X18" i="12"/>
  <c r="W18" i="12"/>
  <c r="V18" i="12"/>
  <c r="U18" i="12"/>
  <c r="T18" i="12"/>
  <c r="S18" i="12"/>
  <c r="R18" i="12"/>
  <c r="B22" i="12"/>
  <c r="S22" i="12"/>
  <c r="R22" i="12"/>
  <c r="W22" i="12"/>
  <c r="X43" i="12"/>
  <c r="T43" i="12"/>
  <c r="U43" i="12"/>
  <c r="S43" i="12"/>
  <c r="R43" i="12"/>
  <c r="B43" i="12"/>
  <c r="X7" i="13"/>
  <c r="Q11" i="14"/>
  <c r="P11" i="14"/>
  <c r="G32" i="14"/>
  <c r="F32" i="14"/>
  <c r="I7" i="15"/>
  <c r="T10" i="15"/>
  <c r="S10" i="15"/>
  <c r="R10" i="15"/>
  <c r="U10" i="15" s="1"/>
  <c r="R8" i="15"/>
  <c r="U8" i="15" s="1"/>
  <c r="J7" i="15"/>
  <c r="F47" i="15"/>
  <c r="G47" i="15"/>
  <c r="Q35" i="17"/>
  <c r="P35" i="17"/>
  <c r="S48" i="21"/>
  <c r="R48" i="21"/>
  <c r="B48" i="21"/>
  <c r="W48" i="21"/>
  <c r="T48" i="21"/>
  <c r="X48" i="21"/>
  <c r="V48" i="21"/>
  <c r="U48" i="21"/>
  <c r="F24" i="26"/>
  <c r="G24" i="26"/>
  <c r="S19" i="5"/>
  <c r="R19" i="5"/>
  <c r="J48" i="5"/>
  <c r="I48" i="5"/>
  <c r="U22" i="6"/>
  <c r="T22" i="6"/>
  <c r="S22" i="6"/>
  <c r="R22" i="6"/>
  <c r="W33" i="6"/>
  <c r="V33" i="6"/>
  <c r="U33" i="6"/>
  <c r="T33" i="6"/>
  <c r="S33" i="6"/>
  <c r="S9" i="7"/>
  <c r="X9" i="7" s="1"/>
  <c r="B10" i="7"/>
  <c r="B29" i="7"/>
  <c r="W29" i="7"/>
  <c r="J47" i="7"/>
  <c r="I47" i="7"/>
  <c r="V6" i="8"/>
  <c r="W6" i="8" s="1"/>
  <c r="W42" i="8"/>
  <c r="W19" i="10"/>
  <c r="V19" i="10"/>
  <c r="U19" i="10"/>
  <c r="T19" i="10"/>
  <c r="R19" i="10"/>
  <c r="B23" i="10"/>
  <c r="V23" i="10"/>
  <c r="U23" i="10"/>
  <c r="S37" i="10"/>
  <c r="R37" i="10"/>
  <c r="B37" i="10"/>
  <c r="T27" i="11"/>
  <c r="S27" i="11"/>
  <c r="R27" i="11"/>
  <c r="B27" i="11"/>
  <c r="X27" i="11"/>
  <c r="W36" i="11"/>
  <c r="V36" i="11"/>
  <c r="S36" i="11"/>
  <c r="R36" i="11"/>
  <c r="U36" i="11"/>
  <c r="T36" i="11"/>
  <c r="G33" i="12"/>
  <c r="F33" i="12"/>
  <c r="G15" i="13"/>
  <c r="F15" i="13"/>
  <c r="I37" i="13"/>
  <c r="J37" i="13"/>
  <c r="J35" i="14"/>
  <c r="I35" i="14"/>
  <c r="B45" i="17"/>
  <c r="X45" i="17"/>
  <c r="W45" i="17"/>
  <c r="S45" i="17"/>
  <c r="V45" i="17"/>
  <c r="T45" i="17"/>
  <c r="R45" i="17"/>
  <c r="J19" i="22"/>
  <c r="I19" i="22"/>
  <c r="G23" i="12"/>
  <c r="F23" i="12"/>
  <c r="X34" i="12"/>
  <c r="T34" i="12"/>
  <c r="B34" i="12"/>
  <c r="R34" i="12"/>
  <c r="R45" i="12"/>
  <c r="B45" i="12"/>
  <c r="U45" i="12"/>
  <c r="V8" i="13"/>
  <c r="W8" i="13" s="1"/>
  <c r="G8" i="13"/>
  <c r="I23" i="13"/>
  <c r="J23" i="13"/>
  <c r="I15" i="15"/>
  <c r="J15" i="15"/>
  <c r="Q11" i="17"/>
  <c r="P11" i="17"/>
  <c r="I35" i="22"/>
  <c r="J35" i="22"/>
  <c r="W35" i="7"/>
  <c r="V35" i="7"/>
  <c r="U35" i="7"/>
  <c r="T35" i="7"/>
  <c r="S35" i="7"/>
  <c r="J40" i="7"/>
  <c r="I40" i="7"/>
  <c r="J12" i="8"/>
  <c r="I12" i="8"/>
  <c r="W32" i="8"/>
  <c r="V32" i="8"/>
  <c r="U32" i="8"/>
  <c r="T32" i="8"/>
  <c r="S32" i="8"/>
  <c r="P6" i="9"/>
  <c r="Q6" i="9"/>
  <c r="V44" i="9"/>
  <c r="U44" i="9"/>
  <c r="T44" i="9"/>
  <c r="S44" i="9"/>
  <c r="R44" i="9"/>
  <c r="W8" i="10"/>
  <c r="G46" i="10"/>
  <c r="F46" i="10"/>
  <c r="B14" i="11"/>
  <c r="X14" i="11"/>
  <c r="T14" i="11"/>
  <c r="V14" i="11"/>
  <c r="Q41" i="12"/>
  <c r="P41" i="12"/>
  <c r="J45" i="12"/>
  <c r="I45" i="12"/>
  <c r="F42" i="13"/>
  <c r="G42" i="13"/>
  <c r="Q13" i="14"/>
  <c r="P13" i="14"/>
  <c r="J32" i="16"/>
  <c r="I32" i="16"/>
  <c r="Q7" i="22"/>
  <c r="P7" i="22"/>
  <c r="O50" i="22"/>
  <c r="J12" i="4"/>
  <c r="W49" i="4"/>
  <c r="V49" i="4"/>
  <c r="U49" i="4"/>
  <c r="T49" i="4"/>
  <c r="S49" i="4"/>
  <c r="S39" i="5"/>
  <c r="R39" i="5"/>
  <c r="J49" i="6"/>
  <c r="I49" i="6"/>
  <c r="R5" i="7"/>
  <c r="R8" i="7"/>
  <c r="U8" i="7" s="1"/>
  <c r="S31" i="7"/>
  <c r="B8" i="8"/>
  <c r="U8" i="8"/>
  <c r="T8" i="8"/>
  <c r="V8" i="8" s="1"/>
  <c r="W8" i="8" s="1"/>
  <c r="S8" i="8"/>
  <c r="X8" i="8" s="1"/>
  <c r="U14" i="8"/>
  <c r="R14" i="8"/>
  <c r="X14" i="8"/>
  <c r="W14" i="8"/>
  <c r="V14" i="8"/>
  <c r="T14" i="8"/>
  <c r="S14" i="8"/>
  <c r="B43" i="8"/>
  <c r="G14" i="9"/>
  <c r="F14" i="9"/>
  <c r="J24" i="9"/>
  <c r="I24" i="9"/>
  <c r="J35" i="9"/>
  <c r="I35" i="9"/>
  <c r="U8" i="10"/>
  <c r="T8" i="10"/>
  <c r="V8" i="10" s="1"/>
  <c r="S8" i="10"/>
  <c r="X8" i="10" s="1"/>
  <c r="R8" i="10"/>
  <c r="X34" i="10"/>
  <c r="T34" i="10"/>
  <c r="S6" i="11"/>
  <c r="R8" i="11"/>
  <c r="S19" i="11"/>
  <c r="R19" i="11"/>
  <c r="B19" i="11"/>
  <c r="V19" i="11"/>
  <c r="B40" i="11"/>
  <c r="V40" i="11"/>
  <c r="S40" i="11"/>
  <c r="R5" i="12"/>
  <c r="U5" i="12" s="1"/>
  <c r="T5" i="12"/>
  <c r="S5" i="12"/>
  <c r="X5" i="12" s="1"/>
  <c r="B5" i="12"/>
  <c r="W10" i="12"/>
  <c r="V10" i="12"/>
  <c r="F46" i="12"/>
  <c r="G46" i="12"/>
  <c r="R6" i="13"/>
  <c r="B15" i="13"/>
  <c r="X15" i="13"/>
  <c r="W15" i="13"/>
  <c r="V15" i="13"/>
  <c r="U15" i="13"/>
  <c r="S15" i="13"/>
  <c r="T15" i="13"/>
  <c r="R15" i="13"/>
  <c r="S47" i="13"/>
  <c r="R47" i="13"/>
  <c r="U47" i="13"/>
  <c r="T47" i="13"/>
  <c r="B47" i="13"/>
  <c r="X47" i="13"/>
  <c r="W47" i="13"/>
  <c r="V47" i="13"/>
  <c r="W26" i="15"/>
  <c r="V26" i="15"/>
  <c r="U26" i="15"/>
  <c r="T26" i="15"/>
  <c r="S26" i="15"/>
  <c r="B26" i="15"/>
  <c r="X26" i="15"/>
  <c r="G14" i="16"/>
  <c r="F14" i="16"/>
  <c r="G24" i="16"/>
  <c r="F24" i="16"/>
  <c r="B25" i="17"/>
  <c r="V25" i="17"/>
  <c r="U25" i="17"/>
  <c r="T25" i="17"/>
  <c r="S25" i="17"/>
  <c r="R25" i="17"/>
  <c r="X25" i="17"/>
  <c r="G34" i="18"/>
  <c r="F34" i="18"/>
  <c r="P22" i="22"/>
  <c r="Q22" i="22"/>
  <c r="W9" i="4"/>
  <c r="V9" i="4"/>
  <c r="T9" i="4"/>
  <c r="F11" i="4"/>
  <c r="G11" i="4" s="1"/>
  <c r="V18" i="4"/>
  <c r="P22" i="4"/>
  <c r="Q27" i="4"/>
  <c r="P27" i="4"/>
  <c r="U28" i="4"/>
  <c r="T28" i="4"/>
  <c r="S28" i="4"/>
  <c r="R28" i="4"/>
  <c r="J46" i="4"/>
  <c r="I46" i="4"/>
  <c r="F8" i="5"/>
  <c r="F11" i="5"/>
  <c r="P25" i="5"/>
  <c r="J27" i="5"/>
  <c r="I27" i="5"/>
  <c r="U30" i="5"/>
  <c r="T30" i="5"/>
  <c r="S30" i="5"/>
  <c r="R30" i="5"/>
  <c r="P33" i="5"/>
  <c r="X35" i="5"/>
  <c r="G37" i="5"/>
  <c r="F37" i="5"/>
  <c r="F5" i="6"/>
  <c r="F50" i="6" s="1"/>
  <c r="F9" i="6"/>
  <c r="G9" i="6" s="1"/>
  <c r="F12" i="6"/>
  <c r="F20" i="6"/>
  <c r="V21" i="6"/>
  <c r="G39" i="6"/>
  <c r="F39" i="6"/>
  <c r="P47" i="6"/>
  <c r="S8" i="7"/>
  <c r="X8" i="7" s="1"/>
  <c r="B9" i="7"/>
  <c r="W9" i="7"/>
  <c r="V12" i="7"/>
  <c r="F14" i="7"/>
  <c r="F22" i="7"/>
  <c r="F25" i="7"/>
  <c r="T31" i="7"/>
  <c r="J32" i="7"/>
  <c r="I32" i="7"/>
  <c r="P34" i="7"/>
  <c r="R42" i="7"/>
  <c r="U42" i="7"/>
  <c r="T42" i="7"/>
  <c r="S42" i="7"/>
  <c r="P10" i="8"/>
  <c r="U11" i="8"/>
  <c r="V18" i="8"/>
  <c r="W35" i="8"/>
  <c r="T35" i="8"/>
  <c r="B35" i="8"/>
  <c r="P49" i="8"/>
  <c r="J15" i="9"/>
  <c r="I15" i="9"/>
  <c r="S17" i="9"/>
  <c r="B21" i="9"/>
  <c r="V21" i="9"/>
  <c r="U26" i="9"/>
  <c r="T26" i="9"/>
  <c r="S26" i="9"/>
  <c r="R26" i="9"/>
  <c r="B26" i="9"/>
  <c r="P48" i="9"/>
  <c r="J8" i="10"/>
  <c r="I8" i="10"/>
  <c r="F12" i="10"/>
  <c r="V16" i="10"/>
  <c r="I34" i="10"/>
  <c r="J34" i="10"/>
  <c r="X44" i="10"/>
  <c r="B44" i="10"/>
  <c r="W44" i="10"/>
  <c r="S8" i="11"/>
  <c r="X8" i="11" s="1"/>
  <c r="Q12" i="11"/>
  <c r="G18" i="11"/>
  <c r="F18" i="11"/>
  <c r="J19" i="11"/>
  <c r="I19" i="11"/>
  <c r="W21" i="11"/>
  <c r="V21" i="11"/>
  <c r="U21" i="11"/>
  <c r="T21" i="11"/>
  <c r="R21" i="11"/>
  <c r="S26" i="11"/>
  <c r="S33" i="11"/>
  <c r="Q38" i="11"/>
  <c r="F48" i="11"/>
  <c r="T9" i="12"/>
  <c r="S9" i="12"/>
  <c r="X9" i="12" s="1"/>
  <c r="R9" i="12"/>
  <c r="U9" i="12" s="1"/>
  <c r="J5" i="12"/>
  <c r="S10" i="12"/>
  <c r="X10" i="12" s="1"/>
  <c r="I5" i="12"/>
  <c r="R8" i="12"/>
  <c r="U8" i="12" s="1"/>
  <c r="F10" i="12"/>
  <c r="G17" i="12"/>
  <c r="F17" i="12"/>
  <c r="U23" i="12"/>
  <c r="T23" i="12"/>
  <c r="S23" i="12"/>
  <c r="R23" i="12"/>
  <c r="W23" i="12"/>
  <c r="V23" i="12"/>
  <c r="S31" i="12"/>
  <c r="Q48" i="12"/>
  <c r="P48" i="12"/>
  <c r="S6" i="13"/>
  <c r="X6" i="13" s="1"/>
  <c r="J15" i="13"/>
  <c r="I15" i="13"/>
  <c r="W42" i="13"/>
  <c r="V42" i="13"/>
  <c r="T42" i="13"/>
  <c r="U42" i="13"/>
  <c r="S42" i="13"/>
  <c r="R42" i="13"/>
  <c r="X42" i="13"/>
  <c r="B42" i="13"/>
  <c r="Q44" i="13"/>
  <c r="I47" i="13"/>
  <c r="J47" i="13"/>
  <c r="J23" i="14"/>
  <c r="I23" i="14"/>
  <c r="G45" i="14"/>
  <c r="F45" i="14"/>
  <c r="I14" i="17"/>
  <c r="J14" i="17"/>
  <c r="G17" i="17"/>
  <c r="F17" i="17"/>
  <c r="J25" i="17"/>
  <c r="I25" i="17"/>
  <c r="X41" i="17"/>
  <c r="W41" i="17"/>
  <c r="V41" i="17"/>
  <c r="U41" i="17"/>
  <c r="T41" i="17"/>
  <c r="S41" i="17"/>
  <c r="R41" i="17"/>
  <c r="J38" i="18"/>
  <c r="I38" i="18"/>
  <c r="Q50" i="19"/>
  <c r="G28" i="21"/>
  <c r="F28" i="21"/>
  <c r="O5" i="4"/>
  <c r="J5" i="4"/>
  <c r="W18" i="4"/>
  <c r="S37" i="4"/>
  <c r="R37" i="4"/>
  <c r="W21" i="5"/>
  <c r="V21" i="5"/>
  <c r="U21" i="5"/>
  <c r="T21" i="5"/>
  <c r="S21" i="5"/>
  <c r="W13" i="6"/>
  <c r="V13" i="6"/>
  <c r="U13" i="6"/>
  <c r="T13" i="6"/>
  <c r="S13" i="6"/>
  <c r="B37" i="6"/>
  <c r="W37" i="6"/>
  <c r="E50" i="6"/>
  <c r="V5" i="7"/>
  <c r="U5" i="7"/>
  <c r="T5" i="7"/>
  <c r="S5" i="7"/>
  <c r="X5" i="7" s="1"/>
  <c r="J7" i="7"/>
  <c r="W15" i="7"/>
  <c r="V15" i="7"/>
  <c r="U15" i="7"/>
  <c r="T15" i="7"/>
  <c r="S15" i="7"/>
  <c r="U31" i="7"/>
  <c r="I16" i="8"/>
  <c r="X47" i="8"/>
  <c r="V47" i="8"/>
  <c r="B47" i="8"/>
  <c r="T14" i="9"/>
  <c r="V32" i="9"/>
  <c r="U32" i="9"/>
  <c r="T32" i="9"/>
  <c r="S32" i="9"/>
  <c r="R32" i="9"/>
  <c r="U46" i="9"/>
  <c r="T46" i="9"/>
  <c r="S46" i="9"/>
  <c r="R46" i="9"/>
  <c r="B46" i="9"/>
  <c r="W16" i="10"/>
  <c r="I20" i="10"/>
  <c r="I6" i="11"/>
  <c r="T6" i="11"/>
  <c r="V6" i="11" s="1"/>
  <c r="W6" i="11" s="1"/>
  <c r="U8" i="11"/>
  <c r="T26" i="11"/>
  <c r="X46" i="11"/>
  <c r="W46" i="11"/>
  <c r="V46" i="11"/>
  <c r="T46" i="11"/>
  <c r="S46" i="11"/>
  <c r="R46" i="11"/>
  <c r="G10" i="12"/>
  <c r="Q19" i="12"/>
  <c r="P19" i="12"/>
  <c r="T31" i="12"/>
  <c r="G37" i="12"/>
  <c r="F37" i="12"/>
  <c r="U6" i="13"/>
  <c r="T10" i="13"/>
  <c r="G18" i="13"/>
  <c r="F18" i="13"/>
  <c r="J42" i="13"/>
  <c r="I42" i="13"/>
  <c r="Q17" i="14"/>
  <c r="P17" i="14"/>
  <c r="B13" i="15"/>
  <c r="R13" i="15"/>
  <c r="U13" i="15"/>
  <c r="T13" i="15"/>
  <c r="V13" i="15" s="1"/>
  <c r="W13" i="15" s="1"/>
  <c r="S13" i="15"/>
  <c r="X13" i="15" s="1"/>
  <c r="G5" i="16"/>
  <c r="R18" i="17"/>
  <c r="B18" i="17"/>
  <c r="W18" i="17"/>
  <c r="U18" i="17"/>
  <c r="V18" i="17"/>
  <c r="T18" i="17"/>
  <c r="S18" i="17"/>
  <c r="J28" i="18"/>
  <c r="I28" i="18"/>
  <c r="U9" i="19"/>
  <c r="X24" i="21"/>
  <c r="W24" i="21"/>
  <c r="V24" i="21"/>
  <c r="U24" i="21"/>
  <c r="T24" i="21"/>
  <c r="S24" i="21"/>
  <c r="R24" i="21"/>
  <c r="B24" i="21"/>
  <c r="B43" i="21"/>
  <c r="T43" i="21"/>
  <c r="X43" i="21"/>
  <c r="W43" i="21"/>
  <c r="V43" i="21"/>
  <c r="U43" i="21"/>
  <c r="R43" i="21"/>
  <c r="S43" i="21"/>
  <c r="T42" i="22"/>
  <c r="S42" i="22"/>
  <c r="R42" i="22"/>
  <c r="B42" i="22"/>
  <c r="W42" i="22"/>
  <c r="V42" i="22"/>
  <c r="U42" i="22"/>
  <c r="X42" i="22"/>
  <c r="J30" i="23"/>
  <c r="I30" i="23"/>
  <c r="R8" i="23"/>
  <c r="U8" i="23" s="1"/>
  <c r="B6" i="4"/>
  <c r="G35" i="4"/>
  <c r="F35" i="4"/>
  <c r="P48" i="4"/>
  <c r="B6" i="5"/>
  <c r="J18" i="5"/>
  <c r="I18" i="5"/>
  <c r="P32" i="5"/>
  <c r="F44" i="5"/>
  <c r="J47" i="5"/>
  <c r="I47" i="5"/>
  <c r="B7" i="6"/>
  <c r="F15" i="6"/>
  <c r="U32" i="6"/>
  <c r="T32" i="6"/>
  <c r="S32" i="6"/>
  <c r="R32" i="6"/>
  <c r="W43" i="6"/>
  <c r="V43" i="6"/>
  <c r="U43" i="6"/>
  <c r="T43" i="6"/>
  <c r="S43" i="6"/>
  <c r="S7" i="7"/>
  <c r="X7" i="7" s="1"/>
  <c r="X12" i="7"/>
  <c r="F17" i="7"/>
  <c r="P30" i="7"/>
  <c r="V31" i="7"/>
  <c r="B39" i="7"/>
  <c r="X39" i="7"/>
  <c r="T5" i="8"/>
  <c r="B5" i="8"/>
  <c r="F9" i="8"/>
  <c r="G9" i="8" s="1"/>
  <c r="V9" i="8"/>
  <c r="W9" i="8" s="1"/>
  <c r="X18" i="8"/>
  <c r="U24" i="8"/>
  <c r="R24" i="8"/>
  <c r="B28" i="8"/>
  <c r="V28" i="8"/>
  <c r="G39" i="8"/>
  <c r="P40" i="8"/>
  <c r="J47" i="8"/>
  <c r="I47" i="8"/>
  <c r="E50" i="9"/>
  <c r="F5" i="9"/>
  <c r="F7" i="9"/>
  <c r="U14" i="9"/>
  <c r="F19" i="9"/>
  <c r="F25" i="9"/>
  <c r="I32" i="9"/>
  <c r="J32" i="9"/>
  <c r="F36" i="9"/>
  <c r="U38" i="10"/>
  <c r="T38" i="10"/>
  <c r="S38" i="10"/>
  <c r="R38" i="10"/>
  <c r="W38" i="10"/>
  <c r="V38" i="10"/>
  <c r="B38" i="10"/>
  <c r="W46" i="10"/>
  <c r="V46" i="10"/>
  <c r="U46" i="10"/>
  <c r="T46" i="10"/>
  <c r="S46" i="10"/>
  <c r="U48" i="10"/>
  <c r="T48" i="10"/>
  <c r="S48" i="10"/>
  <c r="R48" i="10"/>
  <c r="B48" i="10"/>
  <c r="V48" i="10"/>
  <c r="X16" i="11"/>
  <c r="S16" i="11"/>
  <c r="R16" i="11"/>
  <c r="W16" i="11"/>
  <c r="U26" i="11"/>
  <c r="J46" i="11"/>
  <c r="I46" i="11"/>
  <c r="E50" i="12"/>
  <c r="V6" i="12"/>
  <c r="W6" i="12" s="1"/>
  <c r="P17" i="12"/>
  <c r="U31" i="12"/>
  <c r="V6" i="13"/>
  <c r="W6" i="13" s="1"/>
  <c r="W32" i="13"/>
  <c r="V32" i="13"/>
  <c r="T32" i="13"/>
  <c r="S32" i="13"/>
  <c r="R32" i="13"/>
  <c r="X32" i="13"/>
  <c r="U32" i="13"/>
  <c r="B32" i="13"/>
  <c r="W38" i="13"/>
  <c r="V38" i="13"/>
  <c r="U38" i="13"/>
  <c r="T38" i="13"/>
  <c r="R38" i="13"/>
  <c r="S38" i="13"/>
  <c r="X38" i="13"/>
  <c r="I9" i="14"/>
  <c r="J9" i="14"/>
  <c r="G26" i="14"/>
  <c r="F26" i="14"/>
  <c r="P45" i="14"/>
  <c r="B12" i="16"/>
  <c r="W12" i="16"/>
  <c r="T12" i="16"/>
  <c r="S12" i="16"/>
  <c r="R12" i="16"/>
  <c r="X12" i="16"/>
  <c r="G26" i="17"/>
  <c r="F26" i="17"/>
  <c r="P22" i="18"/>
  <c r="Q22" i="18"/>
  <c r="B15" i="21"/>
  <c r="X15" i="21"/>
  <c r="S15" i="21"/>
  <c r="R15" i="21"/>
  <c r="V15" i="21"/>
  <c r="U15" i="21"/>
  <c r="T15" i="21"/>
  <c r="I10" i="21"/>
  <c r="V10" i="4"/>
  <c r="W10" i="4" s="1"/>
  <c r="Q17" i="4"/>
  <c r="P17" i="4"/>
  <c r="U18" i="4"/>
  <c r="T18" i="4"/>
  <c r="S18" i="4"/>
  <c r="R18" i="4"/>
  <c r="I6" i="5"/>
  <c r="S9" i="5"/>
  <c r="X9" i="5" s="1"/>
  <c r="R9" i="5"/>
  <c r="U9" i="5" s="1"/>
  <c r="B19" i="5"/>
  <c r="S5" i="6"/>
  <c r="X5" i="6" s="1"/>
  <c r="S21" i="6"/>
  <c r="R21" i="6"/>
  <c r="R9" i="8"/>
  <c r="U9" i="8" s="1"/>
  <c r="B11" i="8"/>
  <c r="X11" i="8"/>
  <c r="J24" i="8"/>
  <c r="I24" i="8"/>
  <c r="V14" i="9"/>
  <c r="W17" i="9"/>
  <c r="V17" i="9"/>
  <c r="T17" i="9"/>
  <c r="R17" i="9"/>
  <c r="B17" i="9"/>
  <c r="W37" i="9"/>
  <c r="V37" i="9"/>
  <c r="U37" i="9"/>
  <c r="T37" i="9"/>
  <c r="R37" i="9"/>
  <c r="B37" i="9"/>
  <c r="B40" i="9"/>
  <c r="X40" i="9"/>
  <c r="W40" i="9"/>
  <c r="V40" i="9"/>
  <c r="U40" i="9"/>
  <c r="T40" i="9"/>
  <c r="S40" i="9"/>
  <c r="Q12" i="10"/>
  <c r="P12" i="10"/>
  <c r="S16" i="10"/>
  <c r="R16" i="10"/>
  <c r="V26" i="11"/>
  <c r="G30" i="11"/>
  <c r="F30" i="11"/>
  <c r="X33" i="11"/>
  <c r="T33" i="11"/>
  <c r="R33" i="11"/>
  <c r="B33" i="11"/>
  <c r="W33" i="11"/>
  <c r="V31" i="12"/>
  <c r="I13" i="13"/>
  <c r="R11" i="13"/>
  <c r="U11" i="13" s="1"/>
  <c r="J32" i="13"/>
  <c r="I32" i="13"/>
  <c r="J7" i="17"/>
  <c r="I7" i="17"/>
  <c r="Q9" i="17"/>
  <c r="P9" i="17"/>
  <c r="P50" i="17" s="1"/>
  <c r="Q21" i="17"/>
  <c r="P21" i="17"/>
  <c r="F29" i="18"/>
  <c r="G29" i="18"/>
  <c r="J7" i="21"/>
  <c r="I7" i="21"/>
  <c r="R7" i="21"/>
  <c r="U7" i="21" s="1"/>
  <c r="S10" i="21"/>
  <c r="X10" i="21" s="1"/>
  <c r="Q49" i="13"/>
  <c r="P49" i="13"/>
  <c r="O50" i="14"/>
  <c r="Q5" i="14"/>
  <c r="Q50" i="14" s="1"/>
  <c r="P5" i="14"/>
  <c r="B18" i="14"/>
  <c r="T18" i="14"/>
  <c r="S18" i="14"/>
  <c r="R18" i="14"/>
  <c r="S22" i="14"/>
  <c r="R22" i="14"/>
  <c r="B22" i="14"/>
  <c r="X22" i="14"/>
  <c r="Q17" i="15"/>
  <c r="P17" i="15"/>
  <c r="I25" i="15"/>
  <c r="J25" i="15"/>
  <c r="J33" i="15"/>
  <c r="I33" i="15"/>
  <c r="I35" i="15"/>
  <c r="J35" i="15"/>
  <c r="Q17" i="16"/>
  <c r="P17" i="16"/>
  <c r="X11" i="17"/>
  <c r="W11" i="17"/>
  <c r="V11" i="17"/>
  <c r="U11" i="17"/>
  <c r="T11" i="17"/>
  <c r="S11" i="17"/>
  <c r="R11" i="17"/>
  <c r="R10" i="18"/>
  <c r="B10" i="18"/>
  <c r="T10" i="18"/>
  <c r="I6" i="18"/>
  <c r="G40" i="21"/>
  <c r="F40" i="21"/>
  <c r="V35" i="25"/>
  <c r="T35" i="25"/>
  <c r="S35" i="25"/>
  <c r="R35" i="25"/>
  <c r="X35" i="25"/>
  <c r="U35" i="25"/>
  <c r="B35" i="25"/>
  <c r="W35" i="25"/>
  <c r="V9" i="13"/>
  <c r="W9" i="13" s="1"/>
  <c r="U9" i="13"/>
  <c r="T9" i="13"/>
  <c r="S9" i="13"/>
  <c r="X9" i="13" s="1"/>
  <c r="B9" i="13"/>
  <c r="G25" i="13"/>
  <c r="F25" i="13"/>
  <c r="S40" i="13"/>
  <c r="R40" i="13"/>
  <c r="B40" i="13"/>
  <c r="X40" i="13"/>
  <c r="P7" i="14"/>
  <c r="F16" i="14"/>
  <c r="J22" i="14"/>
  <c r="I22" i="14"/>
  <c r="B41" i="14"/>
  <c r="G26" i="15"/>
  <c r="F26" i="15"/>
  <c r="G39" i="15"/>
  <c r="F39" i="15"/>
  <c r="F44" i="15"/>
  <c r="G44" i="15"/>
  <c r="Q7" i="16"/>
  <c r="O50" i="16"/>
  <c r="Q29" i="16"/>
  <c r="P29" i="16"/>
  <c r="P37" i="16"/>
  <c r="B5" i="17"/>
  <c r="X5" i="17"/>
  <c r="T5" i="17"/>
  <c r="S5" i="17"/>
  <c r="R5" i="17"/>
  <c r="F9" i="17"/>
  <c r="I20" i="17"/>
  <c r="J20" i="17"/>
  <c r="W38" i="20"/>
  <c r="T38" i="20"/>
  <c r="V38" i="20"/>
  <c r="B38" i="20"/>
  <c r="X38" i="20"/>
  <c r="S38" i="20"/>
  <c r="R38" i="20"/>
  <c r="P14" i="25"/>
  <c r="Q14" i="25"/>
  <c r="J35" i="25"/>
  <c r="I35" i="25"/>
  <c r="Q37" i="10"/>
  <c r="P37" i="10"/>
  <c r="U30" i="11"/>
  <c r="T30" i="11"/>
  <c r="S30" i="11"/>
  <c r="R30" i="11"/>
  <c r="J41" i="11"/>
  <c r="I41" i="11"/>
  <c r="I14" i="13"/>
  <c r="P7" i="16"/>
  <c r="Q19" i="16"/>
  <c r="P19" i="16"/>
  <c r="B35" i="16"/>
  <c r="U35" i="16"/>
  <c r="T35" i="16"/>
  <c r="S35" i="16"/>
  <c r="R35" i="16"/>
  <c r="W35" i="16"/>
  <c r="V35" i="16"/>
  <c r="G46" i="16"/>
  <c r="J16" i="17"/>
  <c r="I16" i="17"/>
  <c r="J28" i="17"/>
  <c r="I28" i="17"/>
  <c r="G37" i="17"/>
  <c r="F37" i="17"/>
  <c r="Q45" i="17"/>
  <c r="P45" i="17"/>
  <c r="I5" i="19"/>
  <c r="I38" i="19"/>
  <c r="J38" i="19"/>
  <c r="Q11" i="22"/>
  <c r="P11" i="22"/>
  <c r="B40" i="23"/>
  <c r="T40" i="23"/>
  <c r="S40" i="23"/>
  <c r="R40" i="23"/>
  <c r="V40" i="23"/>
  <c r="W40" i="23"/>
  <c r="U40" i="23"/>
  <c r="X40" i="23"/>
  <c r="V7" i="12"/>
  <c r="T7" i="12"/>
  <c r="S7" i="12"/>
  <c r="X7" i="12" s="1"/>
  <c r="W7" i="12"/>
  <c r="U12" i="12"/>
  <c r="R5" i="13"/>
  <c r="U5" i="13" s="1"/>
  <c r="J6" i="13"/>
  <c r="I6" i="13"/>
  <c r="S16" i="13"/>
  <c r="G29" i="13"/>
  <c r="F29" i="13"/>
  <c r="G31" i="13"/>
  <c r="F31" i="13"/>
  <c r="B9" i="14"/>
  <c r="V11" i="14"/>
  <c r="W11" i="14" s="1"/>
  <c r="U11" i="14"/>
  <c r="T11" i="14"/>
  <c r="R11" i="14"/>
  <c r="I29" i="14"/>
  <c r="J29" i="14"/>
  <c r="U33" i="14"/>
  <c r="T33" i="14"/>
  <c r="S33" i="14"/>
  <c r="R33" i="14"/>
  <c r="B33" i="14"/>
  <c r="X33" i="14"/>
  <c r="I39" i="14"/>
  <c r="J39" i="14"/>
  <c r="T41" i="14"/>
  <c r="B15" i="16"/>
  <c r="S15" i="16"/>
  <c r="R15" i="16"/>
  <c r="P30" i="19"/>
  <c r="Q30" i="19"/>
  <c r="X42" i="19"/>
  <c r="S42" i="19"/>
  <c r="R42" i="19"/>
  <c r="V42" i="19"/>
  <c r="U42" i="19"/>
  <c r="T42" i="19"/>
  <c r="B42" i="19"/>
  <c r="J10" i="20"/>
  <c r="I10" i="20"/>
  <c r="R9" i="20"/>
  <c r="T7" i="20"/>
  <c r="V7" i="20" s="1"/>
  <c r="W7" i="20" s="1"/>
  <c r="R7" i="20"/>
  <c r="U7" i="20" s="1"/>
  <c r="Q15" i="20"/>
  <c r="P15" i="20"/>
  <c r="I23" i="20"/>
  <c r="J23" i="20"/>
  <c r="X9" i="25"/>
  <c r="O50" i="7"/>
  <c r="W45" i="8"/>
  <c r="T45" i="8"/>
  <c r="R45" i="8"/>
  <c r="S7" i="10"/>
  <c r="X7" i="10" s="1"/>
  <c r="R7" i="10"/>
  <c r="U7" i="10" s="1"/>
  <c r="U18" i="10"/>
  <c r="T18" i="10"/>
  <c r="S18" i="10"/>
  <c r="R18" i="10"/>
  <c r="B22" i="10"/>
  <c r="X22" i="10"/>
  <c r="T22" i="10"/>
  <c r="B33" i="10"/>
  <c r="V33" i="10"/>
  <c r="S29" i="11"/>
  <c r="R29" i="11"/>
  <c r="J35" i="11"/>
  <c r="I35" i="11"/>
  <c r="G8" i="12"/>
  <c r="F8" i="12"/>
  <c r="F50" i="12" s="1"/>
  <c r="V17" i="12"/>
  <c r="U17" i="12"/>
  <c r="T17" i="12"/>
  <c r="S17" i="12"/>
  <c r="B17" i="12"/>
  <c r="B21" i="12"/>
  <c r="V21" i="12"/>
  <c r="J24" i="12"/>
  <c r="I24" i="12"/>
  <c r="T36" i="12"/>
  <c r="S36" i="12"/>
  <c r="R36" i="12"/>
  <c r="T5" i="13"/>
  <c r="T8" i="13"/>
  <c r="S8" i="13"/>
  <c r="R8" i="13"/>
  <c r="U8" i="13" s="1"/>
  <c r="X8" i="13"/>
  <c r="X14" i="13"/>
  <c r="V16" i="13"/>
  <c r="T34" i="13"/>
  <c r="U41" i="13"/>
  <c r="T41" i="13"/>
  <c r="R41" i="13"/>
  <c r="W41" i="13"/>
  <c r="V41" i="13"/>
  <c r="S41" i="13"/>
  <c r="B19" i="14"/>
  <c r="T19" i="14"/>
  <c r="S19" i="14"/>
  <c r="R19" i="14"/>
  <c r="X19" i="14"/>
  <c r="V21" i="14"/>
  <c r="G40" i="14"/>
  <c r="F40" i="14"/>
  <c r="W41" i="14"/>
  <c r="Q19" i="15"/>
  <c r="P19" i="15"/>
  <c r="J12" i="16"/>
  <c r="I12" i="16"/>
  <c r="W24" i="16"/>
  <c r="X44" i="16"/>
  <c r="T44" i="16"/>
  <c r="U44" i="16"/>
  <c r="S44" i="16"/>
  <c r="R44" i="16"/>
  <c r="B44" i="16"/>
  <c r="T49" i="17"/>
  <c r="S49" i="17"/>
  <c r="R49" i="17"/>
  <c r="B49" i="17"/>
  <c r="U49" i="17"/>
  <c r="X15" i="19"/>
  <c r="W15" i="19"/>
  <c r="V15" i="19"/>
  <c r="U15" i="19"/>
  <c r="S15" i="19"/>
  <c r="T15" i="19"/>
  <c r="B15" i="19"/>
  <c r="V20" i="20"/>
  <c r="U20" i="20"/>
  <c r="S20" i="20"/>
  <c r="B20" i="20"/>
  <c r="W20" i="20"/>
  <c r="X20" i="20"/>
  <c r="T20" i="20"/>
  <c r="R20" i="20"/>
  <c r="B12" i="12"/>
  <c r="V12" i="12"/>
  <c r="J17" i="12"/>
  <c r="I17" i="12"/>
  <c r="J36" i="12"/>
  <c r="I36" i="12"/>
  <c r="W10" i="13"/>
  <c r="V10" i="13"/>
  <c r="U10" i="13"/>
  <c r="S10" i="13"/>
  <c r="X10" i="13" s="1"/>
  <c r="R10" i="13"/>
  <c r="B10" i="13"/>
  <c r="B25" i="13"/>
  <c r="X25" i="13"/>
  <c r="J41" i="13"/>
  <c r="I41" i="13"/>
  <c r="G10" i="14"/>
  <c r="F10" i="14"/>
  <c r="X41" i="14"/>
  <c r="J20" i="15"/>
  <c r="I20" i="15"/>
  <c r="Q31" i="15"/>
  <c r="P31" i="15"/>
  <c r="F16" i="16"/>
  <c r="G16" i="16"/>
  <c r="J18" i="18"/>
  <c r="I18" i="18"/>
  <c r="B27" i="18"/>
  <c r="W27" i="18"/>
  <c r="U27" i="18"/>
  <c r="J15" i="19"/>
  <c r="I15" i="19"/>
  <c r="W30" i="19"/>
  <c r="U30" i="19"/>
  <c r="T30" i="19"/>
  <c r="S30" i="19"/>
  <c r="R30" i="19"/>
  <c r="B30" i="19"/>
  <c r="G5" i="22"/>
  <c r="F5" i="22"/>
  <c r="E50" i="22"/>
  <c r="Q16" i="24"/>
  <c r="P16" i="24"/>
  <c r="R25" i="24"/>
  <c r="B25" i="24"/>
  <c r="V25" i="24"/>
  <c r="W25" i="24"/>
  <c r="U25" i="24"/>
  <c r="T25" i="24"/>
  <c r="S25" i="24"/>
  <c r="X25" i="24"/>
  <c r="X16" i="13"/>
  <c r="T16" i="13"/>
  <c r="J25" i="13"/>
  <c r="I25" i="13"/>
  <c r="X34" i="13"/>
  <c r="W34" i="13"/>
  <c r="S34" i="13"/>
  <c r="B34" i="13"/>
  <c r="V34" i="13"/>
  <c r="W21" i="14"/>
  <c r="U21" i="14"/>
  <c r="T21" i="14"/>
  <c r="S21" i="14"/>
  <c r="R21" i="14"/>
  <c r="G37" i="15"/>
  <c r="F37" i="15"/>
  <c r="W8" i="16"/>
  <c r="V8" i="16"/>
  <c r="U8" i="16"/>
  <c r="T8" i="16"/>
  <c r="S8" i="16"/>
  <c r="X8" i="16" s="1"/>
  <c r="R8" i="16"/>
  <c r="U24" i="16"/>
  <c r="T24" i="16"/>
  <c r="S24" i="16"/>
  <c r="R24" i="16"/>
  <c r="V24" i="16"/>
  <c r="B24" i="16"/>
  <c r="Q31" i="16"/>
  <c r="P31" i="16"/>
  <c r="W38" i="16"/>
  <c r="V38" i="16"/>
  <c r="U38" i="16"/>
  <c r="T38" i="16"/>
  <c r="S38" i="16"/>
  <c r="R38" i="16"/>
  <c r="B38" i="16"/>
  <c r="X38" i="16"/>
  <c r="G19" i="18"/>
  <c r="F19" i="18"/>
  <c r="B9" i="19"/>
  <c r="W9" i="19"/>
  <c r="X9" i="19"/>
  <c r="V9" i="19"/>
  <c r="J8" i="19"/>
  <c r="T9" i="19"/>
  <c r="S9" i="19"/>
  <c r="R9" i="19"/>
  <c r="J9" i="19"/>
  <c r="I9" i="19"/>
  <c r="I8" i="19"/>
  <c r="J30" i="19"/>
  <c r="I30" i="19"/>
  <c r="F17" i="20"/>
  <c r="G17" i="20"/>
  <c r="J8" i="21"/>
  <c r="I8" i="21"/>
  <c r="T36" i="22"/>
  <c r="S36" i="22"/>
  <c r="R36" i="22"/>
  <c r="W36" i="22"/>
  <c r="V36" i="22"/>
  <c r="U36" i="22"/>
  <c r="X36" i="22"/>
  <c r="B36" i="22"/>
  <c r="J21" i="24"/>
  <c r="I21" i="24"/>
  <c r="I38" i="24"/>
  <c r="J38" i="24"/>
  <c r="V27" i="26"/>
  <c r="R27" i="26"/>
  <c r="B27" i="26"/>
  <c r="U27" i="26"/>
  <c r="T27" i="26"/>
  <c r="S27" i="26"/>
  <c r="X27" i="26"/>
  <c r="W27" i="26"/>
  <c r="I9" i="27"/>
  <c r="J9" i="27"/>
  <c r="S45" i="9"/>
  <c r="R45" i="9"/>
  <c r="Q9" i="11"/>
  <c r="P9" i="11"/>
  <c r="W31" i="11"/>
  <c r="V31" i="11"/>
  <c r="U31" i="11"/>
  <c r="T31" i="11"/>
  <c r="R31" i="11"/>
  <c r="S42" i="11"/>
  <c r="R42" i="11"/>
  <c r="B42" i="11"/>
  <c r="I16" i="12"/>
  <c r="J23" i="12"/>
  <c r="I23" i="12"/>
  <c r="Q32" i="12"/>
  <c r="P32" i="12"/>
  <c r="J33" i="12"/>
  <c r="I33" i="12"/>
  <c r="B44" i="12"/>
  <c r="X44" i="12"/>
  <c r="B5" i="13"/>
  <c r="I9" i="13"/>
  <c r="W11" i="13"/>
  <c r="R27" i="13"/>
  <c r="X27" i="13"/>
  <c r="W27" i="13"/>
  <c r="V27" i="13"/>
  <c r="U27" i="13"/>
  <c r="S27" i="13"/>
  <c r="B36" i="13"/>
  <c r="X36" i="13"/>
  <c r="W36" i="13"/>
  <c r="V36" i="13"/>
  <c r="U36" i="13"/>
  <c r="S36" i="13"/>
  <c r="J38" i="13"/>
  <c r="I38" i="13"/>
  <c r="G22" i="14"/>
  <c r="F22" i="14"/>
  <c r="Q47" i="14"/>
  <c r="P47" i="14"/>
  <c r="V22" i="15"/>
  <c r="U22" i="15"/>
  <c r="T22" i="15"/>
  <c r="S22" i="15"/>
  <c r="B22" i="15"/>
  <c r="V10" i="17"/>
  <c r="U10" i="17"/>
  <c r="T10" i="17"/>
  <c r="S10" i="17"/>
  <c r="B10" i="17"/>
  <c r="X10" i="17"/>
  <c r="W10" i="17"/>
  <c r="R10" i="17"/>
  <c r="Q26" i="18"/>
  <c r="P26" i="18"/>
  <c r="S28" i="19"/>
  <c r="U28" i="19"/>
  <c r="T28" i="19"/>
  <c r="R28" i="19"/>
  <c r="B28" i="19"/>
  <c r="W28" i="19"/>
  <c r="V28" i="19"/>
  <c r="I6" i="20"/>
  <c r="G24" i="23"/>
  <c r="F24" i="23"/>
  <c r="R9" i="24"/>
  <c r="U9" i="24" s="1"/>
  <c r="S8" i="24"/>
  <c r="J6" i="24"/>
  <c r="R10" i="24"/>
  <c r="U10" i="24" s="1"/>
  <c r="P37" i="4"/>
  <c r="P47" i="4"/>
  <c r="P19" i="5"/>
  <c r="P29" i="5"/>
  <c r="P39" i="5"/>
  <c r="P49" i="5"/>
  <c r="P21" i="6"/>
  <c r="P31" i="6"/>
  <c r="P41" i="6"/>
  <c r="P13" i="7"/>
  <c r="P23" i="7"/>
  <c r="P50" i="7" s="1"/>
  <c r="P33" i="7"/>
  <c r="F40" i="7"/>
  <c r="P48" i="7"/>
  <c r="P7" i="8"/>
  <c r="F12" i="8"/>
  <c r="W15" i="8"/>
  <c r="T15" i="8"/>
  <c r="W21" i="8"/>
  <c r="P37" i="8"/>
  <c r="U44" i="8"/>
  <c r="R44" i="8"/>
  <c r="W49" i="8"/>
  <c r="W11" i="9"/>
  <c r="P18" i="9"/>
  <c r="F30" i="9"/>
  <c r="P31" i="9"/>
  <c r="W6" i="10"/>
  <c r="W17" i="10"/>
  <c r="U28" i="10"/>
  <c r="T28" i="10"/>
  <c r="S28" i="10"/>
  <c r="R28" i="10"/>
  <c r="B32" i="10"/>
  <c r="X32" i="10"/>
  <c r="T32" i="10"/>
  <c r="B43" i="10"/>
  <c r="V43" i="10"/>
  <c r="S49" i="10"/>
  <c r="P5" i="11"/>
  <c r="P16" i="11"/>
  <c r="W20" i="11"/>
  <c r="P23" i="11"/>
  <c r="V24" i="11"/>
  <c r="W28" i="11"/>
  <c r="J42" i="11"/>
  <c r="I42" i="11"/>
  <c r="S8" i="12"/>
  <c r="X8" i="12" s="1"/>
  <c r="U14" i="12"/>
  <c r="T14" i="12"/>
  <c r="S14" i="12"/>
  <c r="R14" i="12"/>
  <c r="T26" i="12"/>
  <c r="S26" i="12"/>
  <c r="R26" i="12"/>
  <c r="B26" i="12"/>
  <c r="X38" i="12"/>
  <c r="W38" i="12"/>
  <c r="V38" i="12"/>
  <c r="U38" i="12"/>
  <c r="S38" i="12"/>
  <c r="G40" i="12"/>
  <c r="J44" i="12"/>
  <c r="I44" i="12"/>
  <c r="T46" i="12"/>
  <c r="S46" i="12"/>
  <c r="R46" i="12"/>
  <c r="X46" i="12"/>
  <c r="W46" i="12"/>
  <c r="V46" i="12"/>
  <c r="U46" i="12"/>
  <c r="J5" i="13"/>
  <c r="I5" i="13"/>
  <c r="T11" i="13"/>
  <c r="V11" i="13" s="1"/>
  <c r="S7" i="13"/>
  <c r="F11" i="13"/>
  <c r="G11" i="13" s="1"/>
  <c r="T18" i="13"/>
  <c r="S18" i="13"/>
  <c r="R18" i="13"/>
  <c r="U18" i="13"/>
  <c r="B46" i="13"/>
  <c r="W46" i="13"/>
  <c r="V7" i="14"/>
  <c r="W7" i="14"/>
  <c r="B30" i="14"/>
  <c r="X30" i="14"/>
  <c r="W30" i="14"/>
  <c r="V30" i="14"/>
  <c r="U30" i="14"/>
  <c r="S30" i="14"/>
  <c r="J45" i="14"/>
  <c r="I45" i="14"/>
  <c r="R6" i="15"/>
  <c r="J22" i="15"/>
  <c r="I22" i="15"/>
  <c r="S24" i="15"/>
  <c r="R24" i="15"/>
  <c r="B24" i="15"/>
  <c r="S6" i="16"/>
  <c r="X6" i="16" s="1"/>
  <c r="R6" i="16"/>
  <c r="T6" i="16"/>
  <c r="V6" i="16"/>
  <c r="W6" i="16" s="1"/>
  <c r="U6" i="16"/>
  <c r="B6" i="16"/>
  <c r="F25" i="16"/>
  <c r="Q45" i="16"/>
  <c r="G47" i="16"/>
  <c r="F47" i="16"/>
  <c r="J10" i="17"/>
  <c r="I10" i="17"/>
  <c r="Q14" i="17"/>
  <c r="P14" i="17"/>
  <c r="I19" i="17"/>
  <c r="J19" i="17"/>
  <c r="R46" i="17"/>
  <c r="B46" i="17"/>
  <c r="V46" i="17"/>
  <c r="F25" i="18"/>
  <c r="I13" i="19"/>
  <c r="J13" i="19"/>
  <c r="J28" i="19"/>
  <c r="I28" i="19"/>
  <c r="J6" i="20"/>
  <c r="Q29" i="20"/>
  <c r="J18" i="22"/>
  <c r="I18" i="22"/>
  <c r="R8" i="22"/>
  <c r="U8" i="22" s="1"/>
  <c r="F21" i="22"/>
  <c r="G21" i="22"/>
  <c r="Q44" i="23"/>
  <c r="P44" i="23"/>
  <c r="J18" i="25"/>
  <c r="T5" i="25"/>
  <c r="R9" i="25"/>
  <c r="S11" i="25"/>
  <c r="X11" i="25" s="1"/>
  <c r="I18" i="25"/>
  <c r="S5" i="25"/>
  <c r="X5" i="25" s="1"/>
  <c r="R5" i="25"/>
  <c r="U5" i="25" s="1"/>
  <c r="E50" i="8"/>
  <c r="V8" i="9"/>
  <c r="W8" i="9" s="1"/>
  <c r="Q14" i="9"/>
  <c r="P14" i="9"/>
  <c r="B20" i="9"/>
  <c r="X20" i="9"/>
  <c r="U36" i="9"/>
  <c r="T36" i="9"/>
  <c r="S36" i="9"/>
  <c r="R36" i="9"/>
  <c r="W9" i="10"/>
  <c r="V9" i="10"/>
  <c r="T9" i="10"/>
  <c r="R9" i="10"/>
  <c r="U9" i="10" s="1"/>
  <c r="Q30" i="10"/>
  <c r="Q38" i="10"/>
  <c r="G8" i="11"/>
  <c r="S34" i="11"/>
  <c r="R34" i="11"/>
  <c r="B34" i="11"/>
  <c r="X34" i="11"/>
  <c r="Q36" i="11"/>
  <c r="P36" i="11"/>
  <c r="T44" i="11"/>
  <c r="S44" i="11"/>
  <c r="R44" i="11"/>
  <c r="X44" i="11"/>
  <c r="G5" i="12"/>
  <c r="G50" i="12" s="1"/>
  <c r="J14" i="12"/>
  <c r="I14" i="12"/>
  <c r="F6" i="13"/>
  <c r="G6" i="13" s="1"/>
  <c r="Q40" i="13"/>
  <c r="F44" i="13"/>
  <c r="E50" i="14"/>
  <c r="F7" i="14"/>
  <c r="G7" i="14" s="1"/>
  <c r="P12" i="14"/>
  <c r="Q12" i="14"/>
  <c r="U18" i="14"/>
  <c r="T22" i="14"/>
  <c r="J30" i="14"/>
  <c r="I30" i="14"/>
  <c r="W34" i="14"/>
  <c r="V34" i="14"/>
  <c r="U34" i="14"/>
  <c r="T34" i="14"/>
  <c r="S34" i="14"/>
  <c r="B34" i="14"/>
  <c r="J24" i="15"/>
  <c r="I24" i="15"/>
  <c r="P37" i="15"/>
  <c r="F9" i="16"/>
  <c r="I16" i="16"/>
  <c r="J16" i="16"/>
  <c r="P43" i="16"/>
  <c r="Q43" i="16"/>
  <c r="B11" i="17"/>
  <c r="J15" i="17"/>
  <c r="I15" i="17"/>
  <c r="I40" i="17"/>
  <c r="J46" i="17"/>
  <c r="I46" i="17"/>
  <c r="S10" i="18"/>
  <c r="X10" i="18" s="1"/>
  <c r="G13" i="18"/>
  <c r="F24" i="19"/>
  <c r="G24" i="19"/>
  <c r="I9" i="20"/>
  <c r="I27" i="20"/>
  <c r="J27" i="20"/>
  <c r="G9" i="23"/>
  <c r="P26" i="4"/>
  <c r="P36" i="4"/>
  <c r="P46" i="4"/>
  <c r="P8" i="5"/>
  <c r="P18" i="5"/>
  <c r="P28" i="5"/>
  <c r="P38" i="5"/>
  <c r="P48" i="5"/>
  <c r="P10" i="6"/>
  <c r="P20" i="6"/>
  <c r="P30" i="6"/>
  <c r="P40" i="6"/>
  <c r="B45" i="8"/>
  <c r="J33" i="9"/>
  <c r="I33" i="9"/>
  <c r="Q35" i="9"/>
  <c r="P35" i="9"/>
  <c r="S17" i="10"/>
  <c r="R17" i="10"/>
  <c r="Q27" i="10"/>
  <c r="P27" i="10"/>
  <c r="W49" i="10"/>
  <c r="V49" i="10"/>
  <c r="U49" i="10"/>
  <c r="T49" i="10"/>
  <c r="R49" i="10"/>
  <c r="U20" i="11"/>
  <c r="T20" i="11"/>
  <c r="S20" i="11"/>
  <c r="R20" i="11"/>
  <c r="B24" i="11"/>
  <c r="X24" i="11"/>
  <c r="T24" i="11"/>
  <c r="B7" i="12"/>
  <c r="V8" i="12"/>
  <c r="W8" i="12" s="1"/>
  <c r="B8" i="12"/>
  <c r="R7" i="13"/>
  <c r="U7" i="13"/>
  <c r="T7" i="13"/>
  <c r="V7" i="13" s="1"/>
  <c r="W7" i="13" s="1"/>
  <c r="J31" i="13"/>
  <c r="I31" i="13"/>
  <c r="T40" i="13"/>
  <c r="V18" i="14"/>
  <c r="U22" i="14"/>
  <c r="V6" i="15"/>
  <c r="W6" i="15" s="1"/>
  <c r="U6" i="15"/>
  <c r="T6" i="15"/>
  <c r="S6" i="15"/>
  <c r="X6" i="15" s="1"/>
  <c r="B6" i="15"/>
  <c r="G25" i="15"/>
  <c r="F25" i="15"/>
  <c r="I41" i="15"/>
  <c r="J41" i="15"/>
  <c r="S26" i="16"/>
  <c r="R26" i="16"/>
  <c r="B26" i="16"/>
  <c r="G11" i="17"/>
  <c r="F11" i="17"/>
  <c r="F20" i="17"/>
  <c r="G20" i="17"/>
  <c r="Q40" i="17"/>
  <c r="P40" i="17"/>
  <c r="V7" i="18"/>
  <c r="U10" i="18"/>
  <c r="J13" i="18"/>
  <c r="R19" i="18"/>
  <c r="V19" i="18"/>
  <c r="U19" i="18"/>
  <c r="T19" i="18"/>
  <c r="S19" i="18"/>
  <c r="B19" i="18"/>
  <c r="B36" i="18"/>
  <c r="U36" i="18"/>
  <c r="X36" i="18"/>
  <c r="W36" i="18"/>
  <c r="V36" i="18"/>
  <c r="T36" i="18"/>
  <c r="S36" i="18"/>
  <c r="R36" i="18"/>
  <c r="P34" i="19"/>
  <c r="Q34" i="19"/>
  <c r="G38" i="19"/>
  <c r="F38" i="19"/>
  <c r="J9" i="20"/>
  <c r="F39" i="7"/>
  <c r="G5" i="8"/>
  <c r="F11" i="8"/>
  <c r="Q5" i="9"/>
  <c r="G8" i="9"/>
  <c r="S15" i="9"/>
  <c r="R15" i="9"/>
  <c r="W27" i="9"/>
  <c r="V27" i="9"/>
  <c r="U27" i="9"/>
  <c r="T27" i="9"/>
  <c r="R27" i="9"/>
  <c r="X6" i="11"/>
  <c r="Q22" i="11"/>
  <c r="Q30" i="11"/>
  <c r="F43" i="11"/>
  <c r="J8" i="12"/>
  <c r="I8" i="12"/>
  <c r="G39" i="12"/>
  <c r="F39" i="12"/>
  <c r="X48" i="12"/>
  <c r="W48" i="12"/>
  <c r="V48" i="12"/>
  <c r="U48" i="12"/>
  <c r="S48" i="12"/>
  <c r="B48" i="12"/>
  <c r="R9" i="13"/>
  <c r="P23" i="13"/>
  <c r="F28" i="13"/>
  <c r="U40" i="13"/>
  <c r="G5" i="14"/>
  <c r="V10" i="14"/>
  <c r="W18" i="14"/>
  <c r="V22" i="14"/>
  <c r="E50" i="15"/>
  <c r="S12" i="15"/>
  <c r="X12" i="15" s="1"/>
  <c r="R11" i="15"/>
  <c r="U11" i="15" s="1"/>
  <c r="J6" i="15"/>
  <c r="S9" i="15"/>
  <c r="X9" i="15" s="1"/>
  <c r="T12" i="15"/>
  <c r="X10" i="15"/>
  <c r="Q47" i="16"/>
  <c r="P47" i="16"/>
  <c r="U5" i="17"/>
  <c r="I11" i="17"/>
  <c r="R38" i="17"/>
  <c r="U38" i="17"/>
  <c r="T38" i="17"/>
  <c r="S38" i="17"/>
  <c r="X38" i="17"/>
  <c r="J7" i="18"/>
  <c r="I7" i="18"/>
  <c r="V10" i="18"/>
  <c r="W10" i="18" s="1"/>
  <c r="J7" i="19"/>
  <c r="G14" i="19"/>
  <c r="G28" i="20"/>
  <c r="F28" i="20"/>
  <c r="U6" i="21"/>
  <c r="T6" i="21"/>
  <c r="V6" i="21" s="1"/>
  <c r="W6" i="21" s="1"/>
  <c r="R6" i="21"/>
  <c r="B6" i="21"/>
  <c r="S6" i="21"/>
  <c r="X6" i="21" s="1"/>
  <c r="J6" i="21"/>
  <c r="I6" i="21"/>
  <c r="J5" i="21"/>
  <c r="J11" i="21"/>
  <c r="I11" i="21"/>
  <c r="J12" i="23"/>
  <c r="I12" i="23"/>
  <c r="G37" i="27"/>
  <c r="F37" i="27"/>
  <c r="S11" i="29"/>
  <c r="X11" i="29" s="1"/>
  <c r="R11" i="29"/>
  <c r="U11" i="29" s="1"/>
  <c r="T8" i="29"/>
  <c r="V8" i="29" s="1"/>
  <c r="W8" i="29" s="1"/>
  <c r="J14" i="29"/>
  <c r="T11" i="29"/>
  <c r="V11" i="29" s="1"/>
  <c r="W11" i="29" s="1"/>
  <c r="I14" i="29"/>
  <c r="T6" i="29"/>
  <c r="V6" i="29" s="1"/>
  <c r="W6" i="29" s="1"/>
  <c r="S6" i="29"/>
  <c r="X6" i="29" s="1"/>
  <c r="P6" i="20"/>
  <c r="Q6" i="20"/>
  <c r="X10" i="20"/>
  <c r="G37" i="21"/>
  <c r="F37" i="21"/>
  <c r="B19" i="22"/>
  <c r="U19" i="22"/>
  <c r="X19" i="22"/>
  <c r="W19" i="22"/>
  <c r="V19" i="22"/>
  <c r="T19" i="22"/>
  <c r="R19" i="22"/>
  <c r="B32" i="16"/>
  <c r="W32" i="16"/>
  <c r="X32" i="16"/>
  <c r="V32" i="16"/>
  <c r="U32" i="16"/>
  <c r="T32" i="16"/>
  <c r="R32" i="16"/>
  <c r="W7" i="17"/>
  <c r="V7" i="17"/>
  <c r="V50" i="17" s="1"/>
  <c r="U7" i="17"/>
  <c r="T7" i="17"/>
  <c r="S7" i="17"/>
  <c r="B7" i="17"/>
  <c r="R28" i="17"/>
  <c r="T28" i="17"/>
  <c r="S28" i="17"/>
  <c r="J36" i="17"/>
  <c r="I36" i="17"/>
  <c r="I12" i="18"/>
  <c r="O50" i="19"/>
  <c r="T13" i="19"/>
  <c r="S13" i="19"/>
  <c r="R13" i="19"/>
  <c r="B13" i="19"/>
  <c r="V13" i="19"/>
  <c r="U13" i="19"/>
  <c r="J18" i="19"/>
  <c r="I18" i="19"/>
  <c r="J31" i="19"/>
  <c r="I31" i="19"/>
  <c r="W18" i="20"/>
  <c r="V18" i="20"/>
  <c r="U18" i="20"/>
  <c r="T18" i="20"/>
  <c r="R18" i="20"/>
  <c r="B18" i="20"/>
  <c r="J8" i="20"/>
  <c r="J26" i="20"/>
  <c r="I26" i="20"/>
  <c r="T7" i="22"/>
  <c r="V7" i="22" s="1"/>
  <c r="W7" i="22" s="1"/>
  <c r="S7" i="22"/>
  <c r="X7" i="22"/>
  <c r="R7" i="22"/>
  <c r="J6" i="22"/>
  <c r="I6" i="22"/>
  <c r="Q38" i="22"/>
  <c r="P38" i="22"/>
  <c r="J16" i="23"/>
  <c r="I16" i="23"/>
  <c r="I46" i="23"/>
  <c r="J46" i="23"/>
  <c r="F6" i="24"/>
  <c r="G6" i="24"/>
  <c r="V10" i="15"/>
  <c r="U45" i="15"/>
  <c r="T45" i="15"/>
  <c r="S45" i="15"/>
  <c r="R45" i="15"/>
  <c r="V45" i="15"/>
  <c r="B5" i="16"/>
  <c r="V5" i="16"/>
  <c r="U5" i="16"/>
  <c r="T5" i="16"/>
  <c r="S5" i="16"/>
  <c r="X5" i="16" s="1"/>
  <c r="G23" i="17"/>
  <c r="F23" i="17"/>
  <c r="G41" i="17"/>
  <c r="F41" i="17"/>
  <c r="X6" i="18"/>
  <c r="J10" i="18"/>
  <c r="I10" i="18"/>
  <c r="J19" i="18"/>
  <c r="I19" i="18"/>
  <c r="U39" i="18"/>
  <c r="T39" i="18"/>
  <c r="S39" i="18"/>
  <c r="R39" i="18"/>
  <c r="B39" i="18"/>
  <c r="W39" i="18"/>
  <c r="V39" i="18"/>
  <c r="S44" i="19"/>
  <c r="R44" i="19"/>
  <c r="B44" i="19"/>
  <c r="T44" i="19"/>
  <c r="J35" i="20"/>
  <c r="I35" i="20"/>
  <c r="J44" i="20"/>
  <c r="I44" i="20"/>
  <c r="R6" i="23"/>
  <c r="V6" i="23"/>
  <c r="W6" i="23" s="1"/>
  <c r="U6" i="23"/>
  <c r="T6" i="23"/>
  <c r="S6" i="23"/>
  <c r="X6" i="23" s="1"/>
  <c r="B6" i="23"/>
  <c r="I9" i="23"/>
  <c r="J10" i="23"/>
  <c r="J9" i="23"/>
  <c r="J6" i="23"/>
  <c r="I6" i="23"/>
  <c r="I22" i="23"/>
  <c r="J22" i="23"/>
  <c r="J39" i="23"/>
  <c r="I39" i="23"/>
  <c r="V45" i="11"/>
  <c r="U45" i="11"/>
  <c r="T45" i="11"/>
  <c r="U31" i="13"/>
  <c r="T31" i="13"/>
  <c r="R31" i="13"/>
  <c r="B31" i="13"/>
  <c r="S5" i="14"/>
  <c r="X5" i="14" s="1"/>
  <c r="R5" i="14"/>
  <c r="U5" i="14" s="1"/>
  <c r="J5" i="14"/>
  <c r="R7" i="14"/>
  <c r="U7" i="14" s="1"/>
  <c r="B8" i="14"/>
  <c r="J31" i="14"/>
  <c r="I31" i="14"/>
  <c r="T5" i="15"/>
  <c r="S5" i="15"/>
  <c r="R5" i="15"/>
  <c r="U5" i="15" s="1"/>
  <c r="X5" i="15"/>
  <c r="V7" i="15"/>
  <c r="W7" i="15" s="1"/>
  <c r="G14" i="15"/>
  <c r="X32" i="15"/>
  <c r="V40" i="15"/>
  <c r="G42" i="15"/>
  <c r="F42" i="15"/>
  <c r="X43" i="15"/>
  <c r="J5" i="16"/>
  <c r="I5" i="16"/>
  <c r="P9" i="16"/>
  <c r="P13" i="16"/>
  <c r="F21" i="16"/>
  <c r="P22" i="16"/>
  <c r="V45" i="16"/>
  <c r="U45" i="16"/>
  <c r="T45" i="16"/>
  <c r="S45" i="16"/>
  <c r="R45" i="16"/>
  <c r="B45" i="16"/>
  <c r="V48" i="16"/>
  <c r="T48" i="16"/>
  <c r="S48" i="16"/>
  <c r="B48" i="16"/>
  <c r="G12" i="17"/>
  <c r="F12" i="17"/>
  <c r="R16" i="17"/>
  <c r="W19" i="17"/>
  <c r="P26" i="17"/>
  <c r="S5" i="18"/>
  <c r="X5" i="18" s="1"/>
  <c r="T8" i="18"/>
  <c r="V8" i="18" s="1"/>
  <c r="W8" i="18" s="1"/>
  <c r="R12" i="18"/>
  <c r="S8" i="18"/>
  <c r="X8" i="18" s="1"/>
  <c r="R8" i="18"/>
  <c r="U8" i="18" s="1"/>
  <c r="S9" i="18"/>
  <c r="R5" i="18"/>
  <c r="U5" i="18" s="1"/>
  <c r="T6" i="18"/>
  <c r="R6" i="18"/>
  <c r="T9" i="18"/>
  <c r="V9" i="18" s="1"/>
  <c r="W9" i="18" s="1"/>
  <c r="J6" i="18"/>
  <c r="F9" i="18"/>
  <c r="G9" i="18" s="1"/>
  <c r="J39" i="18"/>
  <c r="I39" i="18"/>
  <c r="Q8" i="19"/>
  <c r="P8" i="19"/>
  <c r="J10" i="19"/>
  <c r="I10" i="19"/>
  <c r="Q14" i="19"/>
  <c r="P14" i="19"/>
  <c r="Q19" i="19"/>
  <c r="F29" i="19"/>
  <c r="Q32" i="19"/>
  <c r="P32" i="19"/>
  <c r="J44" i="19"/>
  <c r="I44" i="19"/>
  <c r="P9" i="20"/>
  <c r="F12" i="21"/>
  <c r="J47" i="21"/>
  <c r="I47" i="21"/>
  <c r="T5" i="23"/>
  <c r="J12" i="24"/>
  <c r="I12" i="24"/>
  <c r="T16" i="24"/>
  <c r="S16" i="24"/>
  <c r="R16" i="24"/>
  <c r="B16" i="24"/>
  <c r="W16" i="24"/>
  <c r="V7" i="26"/>
  <c r="W7" i="26" s="1"/>
  <c r="R7" i="26"/>
  <c r="U7" i="26" s="1"/>
  <c r="B7" i="26"/>
  <c r="T7" i="26"/>
  <c r="S7" i="26"/>
  <c r="X7" i="26" s="1"/>
  <c r="B10" i="15"/>
  <c r="W10" i="15"/>
  <c r="Q25" i="15"/>
  <c r="P25" i="15"/>
  <c r="U7" i="16"/>
  <c r="T7" i="16"/>
  <c r="V7" i="16" s="1"/>
  <c r="W7" i="16" s="1"/>
  <c r="S7" i="16"/>
  <c r="X7" i="16" s="1"/>
  <c r="R7" i="16"/>
  <c r="B7" i="16"/>
  <c r="J45" i="16"/>
  <c r="I45" i="16"/>
  <c r="I48" i="16"/>
  <c r="J48" i="16"/>
  <c r="R37" i="17"/>
  <c r="V37" i="17"/>
  <c r="U37" i="17"/>
  <c r="T37" i="17"/>
  <c r="S37" i="17"/>
  <c r="E50" i="18"/>
  <c r="F5" i="18"/>
  <c r="X23" i="18"/>
  <c r="W23" i="18"/>
  <c r="V23" i="18"/>
  <c r="U23" i="18"/>
  <c r="R23" i="18"/>
  <c r="B23" i="18"/>
  <c r="F31" i="18"/>
  <c r="G31" i="18"/>
  <c r="B47" i="18"/>
  <c r="W47" i="18"/>
  <c r="X47" i="18"/>
  <c r="V47" i="18"/>
  <c r="U47" i="18"/>
  <c r="T47" i="18"/>
  <c r="S47" i="18"/>
  <c r="G34" i="20"/>
  <c r="F34" i="20"/>
  <c r="F36" i="20"/>
  <c r="G36" i="20"/>
  <c r="B33" i="21"/>
  <c r="T33" i="21"/>
  <c r="R33" i="21"/>
  <c r="W33" i="21"/>
  <c r="V33" i="21"/>
  <c r="U33" i="21"/>
  <c r="S33" i="21"/>
  <c r="T35" i="21"/>
  <c r="S35" i="21"/>
  <c r="R35" i="21"/>
  <c r="B35" i="21"/>
  <c r="U35" i="21"/>
  <c r="V35" i="21"/>
  <c r="G7" i="23"/>
  <c r="F7" i="23"/>
  <c r="X17" i="23"/>
  <c r="W17" i="23"/>
  <c r="V17" i="23"/>
  <c r="U17" i="23"/>
  <c r="T17" i="23"/>
  <c r="R17" i="23"/>
  <c r="S17" i="23"/>
  <c r="G23" i="23"/>
  <c r="F23" i="23"/>
  <c r="J7" i="26"/>
  <c r="I7" i="26"/>
  <c r="T8" i="26"/>
  <c r="S5" i="26"/>
  <c r="S6" i="26"/>
  <c r="X6" i="26" s="1"/>
  <c r="R6" i="26"/>
  <c r="U6" i="26" s="1"/>
  <c r="S8" i="26"/>
  <c r="R8" i="26"/>
  <c r="U8" i="26" s="1"/>
  <c r="T9" i="26"/>
  <c r="T5" i="26"/>
  <c r="V5" i="26" s="1"/>
  <c r="J10" i="15"/>
  <c r="I10" i="15"/>
  <c r="U25" i="15"/>
  <c r="T25" i="15"/>
  <c r="S25" i="15"/>
  <c r="R25" i="15"/>
  <c r="X25" i="15"/>
  <c r="W25" i="15"/>
  <c r="V25" i="15"/>
  <c r="B25" i="15"/>
  <c r="J32" i="15"/>
  <c r="I32" i="15"/>
  <c r="B40" i="15"/>
  <c r="W40" i="15"/>
  <c r="R40" i="15"/>
  <c r="J43" i="15"/>
  <c r="I43" i="15"/>
  <c r="W16" i="17"/>
  <c r="V16" i="17"/>
  <c r="U16" i="17"/>
  <c r="T16" i="17"/>
  <c r="S16" i="17"/>
  <c r="B16" i="17"/>
  <c r="T19" i="17"/>
  <c r="S19" i="17"/>
  <c r="R19" i="17"/>
  <c r="B19" i="17"/>
  <c r="J37" i="17"/>
  <c r="I37" i="17"/>
  <c r="J15" i="20"/>
  <c r="I15" i="20"/>
  <c r="Q19" i="20"/>
  <c r="P19" i="20"/>
  <c r="Q21" i="23"/>
  <c r="P21" i="23"/>
  <c r="I44" i="23"/>
  <c r="J44" i="23"/>
  <c r="G35" i="28"/>
  <c r="F35" i="28"/>
  <c r="V29" i="9"/>
  <c r="V39" i="9"/>
  <c r="V49" i="9"/>
  <c r="V11" i="10"/>
  <c r="W11" i="10" s="1"/>
  <c r="V21" i="10"/>
  <c r="V31" i="10"/>
  <c r="V41" i="10"/>
  <c r="V13" i="11"/>
  <c r="V23" i="11"/>
  <c r="U32" i="11"/>
  <c r="U49" i="11"/>
  <c r="U6" i="12"/>
  <c r="V11" i="12"/>
  <c r="U15" i="12"/>
  <c r="V47" i="12"/>
  <c r="U47" i="12"/>
  <c r="T47" i="12"/>
  <c r="S47" i="12"/>
  <c r="U24" i="13"/>
  <c r="J48" i="13"/>
  <c r="I48" i="13"/>
  <c r="U13" i="14"/>
  <c r="T13" i="14"/>
  <c r="R13" i="14"/>
  <c r="B13" i="14"/>
  <c r="X13" i="14"/>
  <c r="J40" i="14"/>
  <c r="I40" i="14"/>
  <c r="V42" i="14"/>
  <c r="B23" i="15"/>
  <c r="X23" i="15"/>
  <c r="T23" i="15"/>
  <c r="O50" i="15"/>
  <c r="S16" i="16"/>
  <c r="R16" i="16"/>
  <c r="V16" i="16"/>
  <c r="U16" i="16"/>
  <c r="T16" i="16"/>
  <c r="T22" i="16"/>
  <c r="J34" i="16"/>
  <c r="I34" i="16"/>
  <c r="J27" i="17"/>
  <c r="I27" i="17"/>
  <c r="T29" i="17"/>
  <c r="S29" i="17"/>
  <c r="R29" i="17"/>
  <c r="V29" i="17"/>
  <c r="U29" i="17"/>
  <c r="X29" i="17"/>
  <c r="Q31" i="17"/>
  <c r="P31" i="17"/>
  <c r="R9" i="18"/>
  <c r="U9" i="18" s="1"/>
  <c r="B16" i="18"/>
  <c r="U16" i="18"/>
  <c r="V16" i="18"/>
  <c r="T16" i="18"/>
  <c r="S16" i="18"/>
  <c r="R16" i="18"/>
  <c r="G45" i="18"/>
  <c r="F45" i="18"/>
  <c r="G48" i="18"/>
  <c r="F48" i="18"/>
  <c r="S6" i="19"/>
  <c r="X6" i="19" s="1"/>
  <c r="O50" i="20"/>
  <c r="Q5" i="20"/>
  <c r="P5" i="20"/>
  <c r="F16" i="20"/>
  <c r="G16" i="20"/>
  <c r="B44" i="21"/>
  <c r="R44" i="21"/>
  <c r="X44" i="21"/>
  <c r="U44" i="21"/>
  <c r="T44" i="21"/>
  <c r="G45" i="27"/>
  <c r="F45" i="27"/>
  <c r="W49" i="11"/>
  <c r="X11" i="12"/>
  <c r="G13" i="12"/>
  <c r="F13" i="12"/>
  <c r="W15" i="12"/>
  <c r="X28" i="12"/>
  <c r="W28" i="12"/>
  <c r="V28" i="12"/>
  <c r="U28" i="12"/>
  <c r="J34" i="12"/>
  <c r="I34" i="12"/>
  <c r="J43" i="12"/>
  <c r="I43" i="12"/>
  <c r="J16" i="13"/>
  <c r="I16" i="13"/>
  <c r="V19" i="13"/>
  <c r="U19" i="13"/>
  <c r="T19" i="13"/>
  <c r="S19" i="13"/>
  <c r="W24" i="13"/>
  <c r="B45" i="13"/>
  <c r="X45" i="13"/>
  <c r="G25" i="14"/>
  <c r="F25" i="14"/>
  <c r="G22" i="15"/>
  <c r="F22" i="15"/>
  <c r="W18" i="16"/>
  <c r="V18" i="16"/>
  <c r="U18" i="16"/>
  <c r="T18" i="16"/>
  <c r="S18" i="16"/>
  <c r="B18" i="16"/>
  <c r="I5" i="17"/>
  <c r="B24" i="17"/>
  <c r="R24" i="17"/>
  <c r="V24" i="17"/>
  <c r="X31" i="17"/>
  <c r="W31" i="17"/>
  <c r="V31" i="17"/>
  <c r="U31" i="17"/>
  <c r="B31" i="17"/>
  <c r="S31" i="17"/>
  <c r="R31" i="17"/>
  <c r="B34" i="17"/>
  <c r="W34" i="17"/>
  <c r="V34" i="17"/>
  <c r="U34" i="17"/>
  <c r="T34" i="17"/>
  <c r="S34" i="17"/>
  <c r="J41" i="17"/>
  <c r="I41" i="17"/>
  <c r="T5" i="18"/>
  <c r="R7" i="18"/>
  <c r="U7" i="18" s="1"/>
  <c r="X9" i="18"/>
  <c r="J36" i="18"/>
  <c r="I36" i="18"/>
  <c r="G15" i="19"/>
  <c r="F15" i="19"/>
  <c r="J24" i="19"/>
  <c r="I24" i="19"/>
  <c r="T6" i="20"/>
  <c r="S7" i="20"/>
  <c r="X7" i="20" s="1"/>
  <c r="I5" i="20"/>
  <c r="T8" i="20"/>
  <c r="V8" i="20" s="1"/>
  <c r="W8" i="20" s="1"/>
  <c r="S8" i="20"/>
  <c r="X8" i="20" s="1"/>
  <c r="R8" i="20"/>
  <c r="U8" i="20" s="1"/>
  <c r="R5" i="20"/>
  <c r="T9" i="20"/>
  <c r="V9" i="20" s="1"/>
  <c r="W9" i="20" s="1"/>
  <c r="J5" i="20"/>
  <c r="R10" i="20"/>
  <c r="S6" i="20"/>
  <c r="X6" i="20" s="1"/>
  <c r="R6" i="20"/>
  <c r="U6" i="20" s="1"/>
  <c r="V32" i="20"/>
  <c r="U32" i="20"/>
  <c r="T32" i="20"/>
  <c r="S32" i="20"/>
  <c r="W32" i="20"/>
  <c r="B32" i="20"/>
  <c r="Q49" i="20"/>
  <c r="P49" i="20"/>
  <c r="Q15" i="21"/>
  <c r="P15" i="21"/>
  <c r="J29" i="21"/>
  <c r="I29" i="21"/>
  <c r="Q39" i="22"/>
  <c r="P39" i="22"/>
  <c r="G19" i="25"/>
  <c r="F19" i="25"/>
  <c r="I25" i="10"/>
  <c r="I35" i="10"/>
  <c r="I45" i="10"/>
  <c r="I7" i="11"/>
  <c r="I17" i="11"/>
  <c r="I27" i="11"/>
  <c r="B45" i="11"/>
  <c r="I22" i="12"/>
  <c r="I31" i="12"/>
  <c r="B35" i="12"/>
  <c r="Q32" i="13"/>
  <c r="P32" i="13"/>
  <c r="Q47" i="13"/>
  <c r="P47" i="13"/>
  <c r="R9" i="14"/>
  <c r="U9" i="14" s="1"/>
  <c r="S42" i="14"/>
  <c r="R42" i="14"/>
  <c r="W16" i="15"/>
  <c r="V16" i="15"/>
  <c r="U16" i="15"/>
  <c r="T16" i="15"/>
  <c r="S16" i="15"/>
  <c r="B16" i="15"/>
  <c r="B22" i="16"/>
  <c r="W22" i="16"/>
  <c r="U22" i="16"/>
  <c r="B42" i="16"/>
  <c r="W42" i="16"/>
  <c r="Q33" i="17"/>
  <c r="P33" i="17"/>
  <c r="S7" i="18"/>
  <c r="X7" i="18" s="1"/>
  <c r="J31" i="18"/>
  <c r="I31" i="18"/>
  <c r="B34" i="19"/>
  <c r="W34" i="19"/>
  <c r="U34" i="19"/>
  <c r="T34" i="19"/>
  <c r="S34" i="19"/>
  <c r="R34" i="19"/>
  <c r="Q13" i="20"/>
  <c r="P13" i="20"/>
  <c r="U34" i="20"/>
  <c r="T34" i="20"/>
  <c r="R34" i="20"/>
  <c r="W34" i="20"/>
  <c r="X34" i="20"/>
  <c r="V34" i="20"/>
  <c r="S34" i="20"/>
  <c r="B25" i="23"/>
  <c r="U25" i="23"/>
  <c r="T25" i="23"/>
  <c r="S25" i="23"/>
  <c r="R25" i="23"/>
  <c r="V25" i="23"/>
  <c r="G27" i="24"/>
  <c r="F27" i="24"/>
  <c r="P24" i="9"/>
  <c r="P34" i="9"/>
  <c r="P44" i="9"/>
  <c r="P6" i="10"/>
  <c r="P16" i="10"/>
  <c r="P26" i="10"/>
  <c r="P36" i="10"/>
  <c r="P46" i="10"/>
  <c r="E50" i="11"/>
  <c r="P8" i="11"/>
  <c r="P18" i="11"/>
  <c r="P28" i="11"/>
  <c r="T6" i="12"/>
  <c r="S6" i="12"/>
  <c r="X6" i="12" s="1"/>
  <c r="R6" i="12"/>
  <c r="P13" i="12"/>
  <c r="F26" i="12"/>
  <c r="F30" i="12"/>
  <c r="V37" i="12"/>
  <c r="U37" i="12"/>
  <c r="T37" i="12"/>
  <c r="S37" i="12"/>
  <c r="F48" i="12"/>
  <c r="P14" i="13"/>
  <c r="P21" i="13"/>
  <c r="P35" i="13"/>
  <c r="P6" i="14"/>
  <c r="S9" i="14"/>
  <c r="X9" i="14" s="1"/>
  <c r="R10" i="14"/>
  <c r="U10" i="14" s="1"/>
  <c r="G20" i="14"/>
  <c r="F20" i="14"/>
  <c r="P25" i="14"/>
  <c r="P29" i="14"/>
  <c r="B9" i="15"/>
  <c r="P35" i="15"/>
  <c r="P38" i="15"/>
  <c r="P41" i="15"/>
  <c r="S44" i="15"/>
  <c r="R44" i="15"/>
  <c r="W44" i="15"/>
  <c r="V44" i="15"/>
  <c r="U44" i="15"/>
  <c r="T44" i="15"/>
  <c r="B44" i="15"/>
  <c r="F17" i="16"/>
  <c r="J42" i="16"/>
  <c r="I42" i="16"/>
  <c r="T47" i="16"/>
  <c r="R47" i="16"/>
  <c r="W47" i="16"/>
  <c r="U47" i="16"/>
  <c r="T7" i="18"/>
  <c r="R20" i="18"/>
  <c r="B20" i="18"/>
  <c r="V20" i="18"/>
  <c r="U20" i="18"/>
  <c r="T20" i="18"/>
  <c r="S20" i="18"/>
  <c r="X20" i="18"/>
  <c r="Q35" i="18"/>
  <c r="P35" i="18"/>
  <c r="P40" i="19"/>
  <c r="F18" i="20"/>
  <c r="F42" i="20"/>
  <c r="G42" i="20"/>
  <c r="P8" i="21"/>
  <c r="P50" i="21" s="1"/>
  <c r="Q8" i="21"/>
  <c r="W20" i="21"/>
  <c r="T20" i="21"/>
  <c r="B20" i="21"/>
  <c r="U20" i="21"/>
  <c r="S20" i="21"/>
  <c r="R20" i="21"/>
  <c r="V20" i="21"/>
  <c r="Q29" i="22"/>
  <c r="P29" i="22"/>
  <c r="X37" i="22"/>
  <c r="W37" i="22"/>
  <c r="V37" i="22"/>
  <c r="U37" i="22"/>
  <c r="B37" i="22"/>
  <c r="S37" i="22"/>
  <c r="R37" i="22"/>
  <c r="U39" i="22"/>
  <c r="T39" i="22"/>
  <c r="B39" i="22"/>
  <c r="W39" i="22"/>
  <c r="V39" i="22"/>
  <c r="S39" i="22"/>
  <c r="R39" i="22"/>
  <c r="J25" i="23"/>
  <c r="I25" i="23"/>
  <c r="F5" i="11"/>
  <c r="P36" i="12"/>
  <c r="Q29" i="13"/>
  <c r="P29" i="13"/>
  <c r="T9" i="14"/>
  <c r="V9" i="14" s="1"/>
  <c r="W9" i="14" s="1"/>
  <c r="F34" i="14"/>
  <c r="W44" i="14"/>
  <c r="V44" i="14"/>
  <c r="U44" i="14"/>
  <c r="T44" i="14"/>
  <c r="S44" i="14"/>
  <c r="R44" i="14"/>
  <c r="Q8" i="15"/>
  <c r="Q50" i="15" s="1"/>
  <c r="B20" i="15"/>
  <c r="W20" i="15"/>
  <c r="V20" i="15"/>
  <c r="B33" i="15"/>
  <c r="W33" i="15"/>
  <c r="V33" i="15"/>
  <c r="U33" i="15"/>
  <c r="T33" i="15"/>
  <c r="R33" i="15"/>
  <c r="X42" i="15"/>
  <c r="T42" i="15"/>
  <c r="W46" i="15"/>
  <c r="V46" i="15"/>
  <c r="U46" i="15"/>
  <c r="T46" i="15"/>
  <c r="S46" i="15"/>
  <c r="F12" i="18"/>
  <c r="G12" i="18" s="1"/>
  <c r="J33" i="18"/>
  <c r="I33" i="18"/>
  <c r="F7" i="19"/>
  <c r="G7" i="19" s="1"/>
  <c r="P9" i="19"/>
  <c r="F25" i="19"/>
  <c r="G35" i="19"/>
  <c r="F35" i="19"/>
  <c r="S38" i="19"/>
  <c r="W38" i="19"/>
  <c r="V38" i="19"/>
  <c r="U38" i="19"/>
  <c r="T38" i="19"/>
  <c r="I45" i="19"/>
  <c r="J45" i="19"/>
  <c r="G6" i="20"/>
  <c r="J21" i="20"/>
  <c r="I21" i="20"/>
  <c r="Q17" i="21"/>
  <c r="P17" i="21"/>
  <c r="J20" i="21"/>
  <c r="I20" i="21"/>
  <c r="F30" i="21"/>
  <c r="I37" i="22"/>
  <c r="J37" i="22"/>
  <c r="J11" i="23"/>
  <c r="I11" i="23"/>
  <c r="T8" i="23"/>
  <c r="S8" i="23"/>
  <c r="X8" i="23" s="1"/>
  <c r="T10" i="23"/>
  <c r="V10" i="23" s="1"/>
  <c r="W10" i="23" s="1"/>
  <c r="J49" i="27"/>
  <c r="I49" i="27"/>
  <c r="G11" i="28"/>
  <c r="F11" i="28"/>
  <c r="U7" i="28"/>
  <c r="P32" i="23"/>
  <c r="Q32" i="23"/>
  <c r="V35" i="23"/>
  <c r="U35" i="23"/>
  <c r="B35" i="23"/>
  <c r="V45" i="23"/>
  <c r="U45" i="23"/>
  <c r="T45" i="23"/>
  <c r="S45" i="23"/>
  <c r="R45" i="23"/>
  <c r="X45" i="23"/>
  <c r="W45" i="23"/>
  <c r="B45" i="23"/>
  <c r="J46" i="24"/>
  <c r="I46" i="24"/>
  <c r="J27" i="18"/>
  <c r="I27" i="18"/>
  <c r="S7" i="19"/>
  <c r="X7" i="19" s="1"/>
  <c r="S10" i="19"/>
  <c r="X10" i="19" s="1"/>
  <c r="R10" i="19"/>
  <c r="T7" i="19"/>
  <c r="V7" i="19" s="1"/>
  <c r="W7" i="19" s="1"/>
  <c r="R7" i="19"/>
  <c r="R8" i="19"/>
  <c r="U8" i="19" s="1"/>
  <c r="B30" i="20"/>
  <c r="W30" i="20"/>
  <c r="S36" i="20"/>
  <c r="V36" i="20"/>
  <c r="U36" i="20"/>
  <c r="T36" i="20"/>
  <c r="R36" i="20"/>
  <c r="W48" i="20"/>
  <c r="T48" i="20"/>
  <c r="X48" i="20"/>
  <c r="V48" i="20"/>
  <c r="U48" i="20"/>
  <c r="S48" i="20"/>
  <c r="R48" i="20"/>
  <c r="B48" i="20"/>
  <c r="I7" i="22"/>
  <c r="J7" i="22"/>
  <c r="T8" i="22"/>
  <c r="V8" i="22" s="1"/>
  <c r="W8" i="22" s="1"/>
  <c r="T6" i="22"/>
  <c r="V6" i="22" s="1"/>
  <c r="W6" i="22" s="1"/>
  <c r="S8" i="22"/>
  <c r="X8" i="22" s="1"/>
  <c r="J9" i="22"/>
  <c r="I9" i="22"/>
  <c r="E50" i="23"/>
  <c r="J16" i="24"/>
  <c r="I16" i="24"/>
  <c r="G33" i="24"/>
  <c r="F33" i="24"/>
  <c r="S6" i="27"/>
  <c r="X6" i="27" s="1"/>
  <c r="J6" i="27"/>
  <c r="I6" i="27"/>
  <c r="R6" i="27"/>
  <c r="U6" i="27" s="1"/>
  <c r="T6" i="27"/>
  <c r="V6" i="27" s="1"/>
  <c r="W6" i="27" s="1"/>
  <c r="R8" i="27"/>
  <c r="U8" i="27" s="1"/>
  <c r="Q15" i="30"/>
  <c r="P15" i="30"/>
  <c r="J13" i="15"/>
  <c r="I13" i="15"/>
  <c r="J15" i="16"/>
  <c r="I15" i="16"/>
  <c r="G50" i="17"/>
  <c r="P37" i="18"/>
  <c r="P48" i="18"/>
  <c r="X49" i="18"/>
  <c r="F39" i="19"/>
  <c r="Q45" i="19"/>
  <c r="P45" i="19"/>
  <c r="Q40" i="21"/>
  <c r="P40" i="21"/>
  <c r="R5" i="22"/>
  <c r="U5" i="22" s="1"/>
  <c r="G18" i="22"/>
  <c r="F18" i="22"/>
  <c r="V35" i="22"/>
  <c r="F49" i="22"/>
  <c r="F5" i="23"/>
  <c r="F39" i="24"/>
  <c r="G15" i="25"/>
  <c r="F15" i="25"/>
  <c r="V15" i="25"/>
  <c r="W15" i="25"/>
  <c r="G42" i="25"/>
  <c r="T6" i="28"/>
  <c r="I5" i="28"/>
  <c r="J5" i="28"/>
  <c r="T10" i="28"/>
  <c r="V10" i="28" s="1"/>
  <c r="W10" i="28" s="1"/>
  <c r="S6" i="28"/>
  <c r="S10" i="28"/>
  <c r="X10" i="28" s="1"/>
  <c r="R10" i="28"/>
  <c r="U10" i="28" s="1"/>
  <c r="R7" i="28"/>
  <c r="R6" i="28"/>
  <c r="U6" i="28" s="1"/>
  <c r="T11" i="28"/>
  <c r="V11" i="28" s="1"/>
  <c r="W11" i="28" s="1"/>
  <c r="T7" i="28"/>
  <c r="T9" i="28"/>
  <c r="V9" i="28" s="1"/>
  <c r="W9" i="28" s="1"/>
  <c r="S9" i="28"/>
  <c r="X9" i="28" s="1"/>
  <c r="R12" i="28"/>
  <c r="U12" i="28" s="1"/>
  <c r="B13" i="31"/>
  <c r="U13" i="31"/>
  <c r="T13" i="31"/>
  <c r="W13" i="31"/>
  <c r="V13" i="31"/>
  <c r="S13" i="31"/>
  <c r="R13" i="31"/>
  <c r="X13" i="31"/>
  <c r="G28" i="18"/>
  <c r="F28" i="18"/>
  <c r="G42" i="18"/>
  <c r="F42" i="18"/>
  <c r="G6" i="19"/>
  <c r="G50" i="19" s="1"/>
  <c r="F6" i="19"/>
  <c r="B27" i="19"/>
  <c r="X27" i="19"/>
  <c r="B35" i="19"/>
  <c r="U35" i="19"/>
  <c r="T35" i="19"/>
  <c r="S35" i="19"/>
  <c r="R35" i="19"/>
  <c r="G35" i="20"/>
  <c r="F35" i="20"/>
  <c r="J36" i="21"/>
  <c r="I36" i="21"/>
  <c r="S5" i="22"/>
  <c r="X5" i="22" s="1"/>
  <c r="G8" i="22"/>
  <c r="F8" i="22"/>
  <c r="G10" i="22"/>
  <c r="F10" i="22"/>
  <c r="J31" i="22"/>
  <c r="I31" i="22"/>
  <c r="P14" i="23"/>
  <c r="Q14" i="23"/>
  <c r="Q34" i="23"/>
  <c r="P34" i="23"/>
  <c r="F8" i="24"/>
  <c r="G8" i="24"/>
  <c r="J14" i="24"/>
  <c r="I14" i="24"/>
  <c r="B41" i="24"/>
  <c r="X41" i="24"/>
  <c r="W41" i="24"/>
  <c r="V41" i="24"/>
  <c r="U41" i="24"/>
  <c r="S41" i="24"/>
  <c r="V47" i="24"/>
  <c r="U47" i="24"/>
  <c r="T47" i="24"/>
  <c r="S47" i="24"/>
  <c r="B47" i="24"/>
  <c r="X47" i="24"/>
  <c r="W47" i="24"/>
  <c r="R47" i="24"/>
  <c r="X40" i="25"/>
  <c r="W40" i="25"/>
  <c r="V40" i="25"/>
  <c r="U40" i="25"/>
  <c r="R40" i="25"/>
  <c r="B40" i="25"/>
  <c r="S40" i="25"/>
  <c r="T40" i="25"/>
  <c r="J25" i="28"/>
  <c r="I25" i="28"/>
  <c r="Q27" i="28"/>
  <c r="P27" i="28"/>
  <c r="V45" i="29"/>
  <c r="U45" i="29"/>
  <c r="T45" i="29"/>
  <c r="R45" i="29"/>
  <c r="S45" i="29"/>
  <c r="B45" i="29"/>
  <c r="X45" i="29"/>
  <c r="W45" i="29"/>
  <c r="B7" i="18"/>
  <c r="W7" i="18"/>
  <c r="J49" i="18"/>
  <c r="I49" i="18"/>
  <c r="R12" i="19"/>
  <c r="B12" i="19"/>
  <c r="V12" i="19"/>
  <c r="B23" i="19"/>
  <c r="V23" i="19"/>
  <c r="U23" i="19"/>
  <c r="T23" i="19"/>
  <c r="S23" i="19"/>
  <c r="B23" i="20"/>
  <c r="X23" i="20"/>
  <c r="W23" i="20"/>
  <c r="V23" i="20"/>
  <c r="U23" i="20"/>
  <c r="S23" i="20"/>
  <c r="S26" i="20"/>
  <c r="R26" i="20"/>
  <c r="B26" i="20"/>
  <c r="F40" i="20"/>
  <c r="G49" i="20"/>
  <c r="F49" i="20"/>
  <c r="P45" i="21"/>
  <c r="T5" i="22"/>
  <c r="B33" i="22"/>
  <c r="U33" i="22"/>
  <c r="X33" i="22"/>
  <c r="W33" i="22"/>
  <c r="V33" i="22"/>
  <c r="T33" i="22"/>
  <c r="S33" i="22"/>
  <c r="R33" i="22"/>
  <c r="B35" i="22"/>
  <c r="W35" i="22"/>
  <c r="S35" i="22"/>
  <c r="R35" i="22"/>
  <c r="T35" i="22"/>
  <c r="G33" i="23"/>
  <c r="F33" i="23"/>
  <c r="T9" i="24"/>
  <c r="T26" i="24"/>
  <c r="S26" i="24"/>
  <c r="R26" i="24"/>
  <c r="W26" i="24"/>
  <c r="V26" i="24"/>
  <c r="U26" i="24"/>
  <c r="F37" i="24"/>
  <c r="J47" i="24"/>
  <c r="I47" i="24"/>
  <c r="J28" i="25"/>
  <c r="I28" i="25"/>
  <c r="J41" i="30"/>
  <c r="I41" i="30"/>
  <c r="J41" i="14"/>
  <c r="I41" i="14"/>
  <c r="U15" i="15"/>
  <c r="T15" i="15"/>
  <c r="S15" i="15"/>
  <c r="R15" i="15"/>
  <c r="S34" i="15"/>
  <c r="R34" i="15"/>
  <c r="Q50" i="16"/>
  <c r="U17" i="16"/>
  <c r="T17" i="16"/>
  <c r="S17" i="16"/>
  <c r="R17" i="16"/>
  <c r="W28" i="16"/>
  <c r="V28" i="16"/>
  <c r="U28" i="16"/>
  <c r="T28" i="16"/>
  <c r="S28" i="16"/>
  <c r="O50" i="17"/>
  <c r="T9" i="17"/>
  <c r="S9" i="17"/>
  <c r="R9" i="17"/>
  <c r="X9" i="17"/>
  <c r="V20" i="17"/>
  <c r="U20" i="17"/>
  <c r="T20" i="17"/>
  <c r="S20" i="17"/>
  <c r="W20" i="17"/>
  <c r="R20" i="17"/>
  <c r="G28" i="17"/>
  <c r="F28" i="17"/>
  <c r="R6" i="19"/>
  <c r="U6" i="19" s="1"/>
  <c r="W20" i="19"/>
  <c r="B20" i="19"/>
  <c r="Q37" i="19"/>
  <c r="P37" i="19"/>
  <c r="P39" i="19"/>
  <c r="Q39" i="19"/>
  <c r="B26" i="21"/>
  <c r="T26" i="21"/>
  <c r="S26" i="21"/>
  <c r="R26" i="21"/>
  <c r="I48" i="21"/>
  <c r="J48" i="21"/>
  <c r="Q19" i="23"/>
  <c r="P19" i="23"/>
  <c r="Q49" i="23"/>
  <c r="P49" i="23"/>
  <c r="Q39" i="24"/>
  <c r="P39" i="24"/>
  <c r="P9" i="28"/>
  <c r="Q9" i="28"/>
  <c r="S12" i="14"/>
  <c r="R12" i="14"/>
  <c r="S32" i="14"/>
  <c r="R32" i="14"/>
  <c r="S8" i="15"/>
  <c r="X8" i="15" s="1"/>
  <c r="I5" i="15"/>
  <c r="S11" i="15"/>
  <c r="X11" i="15" s="1"/>
  <c r="J23" i="15"/>
  <c r="I23" i="15"/>
  <c r="J42" i="15"/>
  <c r="I42" i="15"/>
  <c r="S36" i="16"/>
  <c r="R36" i="16"/>
  <c r="J44" i="16"/>
  <c r="I44" i="16"/>
  <c r="Q5" i="17"/>
  <c r="Q50" i="17" s="1"/>
  <c r="I5" i="18"/>
  <c r="V42" i="18"/>
  <c r="U42" i="18"/>
  <c r="T42" i="18"/>
  <c r="S42" i="18"/>
  <c r="T6" i="19"/>
  <c r="V6" i="19" s="1"/>
  <c r="W6" i="19" s="1"/>
  <c r="Q22" i="19"/>
  <c r="P22" i="19"/>
  <c r="F7" i="20"/>
  <c r="G7" i="20" s="1"/>
  <c r="B8" i="20"/>
  <c r="B43" i="20"/>
  <c r="X43" i="20"/>
  <c r="V43" i="20"/>
  <c r="U43" i="20"/>
  <c r="T43" i="20"/>
  <c r="S43" i="20"/>
  <c r="R43" i="20"/>
  <c r="R16" i="21"/>
  <c r="T16" i="21"/>
  <c r="S16" i="21"/>
  <c r="U45" i="21"/>
  <c r="T45" i="21"/>
  <c r="S45" i="21"/>
  <c r="R45" i="21"/>
  <c r="B45" i="21"/>
  <c r="W30" i="22"/>
  <c r="V30" i="22"/>
  <c r="U30" i="22"/>
  <c r="T30" i="22"/>
  <c r="S30" i="22"/>
  <c r="X30" i="22"/>
  <c r="R30" i="22"/>
  <c r="B30" i="22"/>
  <c r="V19" i="23"/>
  <c r="U19" i="23"/>
  <c r="T19" i="23"/>
  <c r="S19" i="23"/>
  <c r="B19" i="23"/>
  <c r="W19" i="23"/>
  <c r="R19" i="23"/>
  <c r="Q23" i="24"/>
  <c r="P23" i="24"/>
  <c r="V7" i="25"/>
  <c r="W7" i="25" s="1"/>
  <c r="G22" i="25"/>
  <c r="F22" i="25"/>
  <c r="T38" i="25"/>
  <c r="S38" i="25"/>
  <c r="R38" i="25"/>
  <c r="V38" i="25"/>
  <c r="U38" i="25"/>
  <c r="B38" i="25"/>
  <c r="W38" i="25"/>
  <c r="X38" i="25"/>
  <c r="T40" i="26"/>
  <c r="S40" i="26"/>
  <c r="R40" i="26"/>
  <c r="B40" i="26"/>
  <c r="W40" i="26"/>
  <c r="V40" i="26"/>
  <c r="U40" i="26"/>
  <c r="Q17" i="27"/>
  <c r="P17" i="27"/>
  <c r="P5" i="12"/>
  <c r="P15" i="12"/>
  <c r="P25" i="12"/>
  <c r="P35" i="12"/>
  <c r="P45" i="12"/>
  <c r="P7" i="13"/>
  <c r="P17" i="13"/>
  <c r="P27" i="13"/>
  <c r="I36" i="13"/>
  <c r="F45" i="13"/>
  <c r="I46" i="13"/>
  <c r="B7" i="14"/>
  <c r="I18" i="14"/>
  <c r="W23" i="14"/>
  <c r="G30" i="14"/>
  <c r="F30" i="14"/>
  <c r="I38" i="14"/>
  <c r="W40" i="14"/>
  <c r="F42" i="14"/>
  <c r="W43" i="14"/>
  <c r="P46" i="14"/>
  <c r="B48" i="14"/>
  <c r="W48" i="14"/>
  <c r="P7" i="15"/>
  <c r="T11" i="15"/>
  <c r="V11" i="15" s="1"/>
  <c r="W11" i="15" s="1"/>
  <c r="J12" i="15"/>
  <c r="I12" i="15"/>
  <c r="F27" i="15"/>
  <c r="G32" i="15"/>
  <c r="F32" i="15"/>
  <c r="R36" i="15"/>
  <c r="P40" i="15"/>
  <c r="F46" i="15"/>
  <c r="F11" i="16"/>
  <c r="F50" i="16" s="1"/>
  <c r="J14" i="16"/>
  <c r="I14" i="16"/>
  <c r="J25" i="16"/>
  <c r="I25" i="16"/>
  <c r="P27" i="16"/>
  <c r="J6" i="17"/>
  <c r="I6" i="17"/>
  <c r="P13" i="17"/>
  <c r="G16" i="17"/>
  <c r="F16" i="17"/>
  <c r="W47" i="17"/>
  <c r="V47" i="17"/>
  <c r="U47" i="17"/>
  <c r="T47" i="17"/>
  <c r="S47" i="17"/>
  <c r="J5" i="18"/>
  <c r="V6" i="18"/>
  <c r="P8" i="18"/>
  <c r="R13" i="18"/>
  <c r="G21" i="18"/>
  <c r="V22" i="18"/>
  <c r="U22" i="18"/>
  <c r="T22" i="18"/>
  <c r="S22" i="18"/>
  <c r="B22" i="18"/>
  <c r="Q24" i="18"/>
  <c r="P24" i="18"/>
  <c r="I42" i="18"/>
  <c r="J42" i="18"/>
  <c r="G10" i="19"/>
  <c r="F10" i="19"/>
  <c r="F30" i="19"/>
  <c r="F33" i="19"/>
  <c r="E50" i="20"/>
  <c r="W5" i="20"/>
  <c r="F5" i="20"/>
  <c r="I8" i="20"/>
  <c r="W10" i="20"/>
  <c r="U17" i="20"/>
  <c r="T17" i="20"/>
  <c r="S17" i="20"/>
  <c r="R17" i="20"/>
  <c r="B31" i="20"/>
  <c r="V31" i="20"/>
  <c r="U31" i="20"/>
  <c r="T31" i="20"/>
  <c r="S31" i="20"/>
  <c r="R31" i="20"/>
  <c r="V40" i="20"/>
  <c r="I43" i="20"/>
  <c r="J43" i="20"/>
  <c r="J16" i="21"/>
  <c r="I16" i="21"/>
  <c r="I45" i="21"/>
  <c r="J45" i="21"/>
  <c r="F49" i="21"/>
  <c r="W12" i="22"/>
  <c r="V12" i="22"/>
  <c r="U12" i="22"/>
  <c r="T12" i="22"/>
  <c r="X12" i="22"/>
  <c r="S12" i="22"/>
  <c r="R12" i="22"/>
  <c r="G14" i="22"/>
  <c r="F14" i="22"/>
  <c r="I30" i="22"/>
  <c r="J30" i="22"/>
  <c r="F18" i="23"/>
  <c r="Q6" i="24"/>
  <c r="O50" i="24"/>
  <c r="T8" i="24"/>
  <c r="F7" i="25"/>
  <c r="G7" i="25" s="1"/>
  <c r="G20" i="26"/>
  <c r="F20" i="26"/>
  <c r="G22" i="26"/>
  <c r="F22" i="26"/>
  <c r="T30" i="26"/>
  <c r="S30" i="26"/>
  <c r="R30" i="26"/>
  <c r="B30" i="26"/>
  <c r="X30" i="26"/>
  <c r="U30" i="26"/>
  <c r="W30" i="26"/>
  <c r="J40" i="26"/>
  <c r="I40" i="26"/>
  <c r="F44" i="26"/>
  <c r="G44" i="26"/>
  <c r="J24" i="27"/>
  <c r="I24" i="27"/>
  <c r="I25" i="14"/>
  <c r="R7" i="15"/>
  <c r="U7" i="15" s="1"/>
  <c r="B30" i="15"/>
  <c r="W30" i="15"/>
  <c r="J23" i="16"/>
  <c r="X49" i="16"/>
  <c r="W49" i="16"/>
  <c r="V49" i="16"/>
  <c r="U49" i="16"/>
  <c r="R49" i="16"/>
  <c r="J47" i="17"/>
  <c r="I47" i="17"/>
  <c r="O50" i="18"/>
  <c r="T11" i="18"/>
  <c r="V11" i="18" s="1"/>
  <c r="W11" i="18" s="1"/>
  <c r="S11" i="18"/>
  <c r="X11" i="18" s="1"/>
  <c r="R11" i="18"/>
  <c r="B11" i="18"/>
  <c r="P44" i="18"/>
  <c r="E50" i="19"/>
  <c r="S8" i="19"/>
  <c r="X8" i="19" s="1"/>
  <c r="P24" i="19"/>
  <c r="Q24" i="19"/>
  <c r="Q44" i="19"/>
  <c r="P44" i="19"/>
  <c r="F46" i="19"/>
  <c r="G5" i="20"/>
  <c r="J31" i="20"/>
  <c r="I31" i="20"/>
  <c r="G39" i="20"/>
  <c r="F39" i="20"/>
  <c r="I12" i="21"/>
  <c r="J12" i="21"/>
  <c r="B23" i="21"/>
  <c r="U23" i="21"/>
  <c r="T23" i="21"/>
  <c r="S23" i="21"/>
  <c r="R23" i="21"/>
  <c r="W23" i="21"/>
  <c r="V23" i="21"/>
  <c r="I12" i="22"/>
  <c r="J12" i="22"/>
  <c r="J20" i="22"/>
  <c r="I20" i="22"/>
  <c r="J22" i="22"/>
  <c r="I22" i="22"/>
  <c r="T42" i="23"/>
  <c r="S42" i="23"/>
  <c r="U42" i="23"/>
  <c r="B42" i="23"/>
  <c r="X42" i="23"/>
  <c r="W42" i="23"/>
  <c r="P6" i="24"/>
  <c r="I37" i="28"/>
  <c r="J37" i="28"/>
  <c r="R10" i="29"/>
  <c r="B21" i="30"/>
  <c r="U21" i="30"/>
  <c r="T21" i="30"/>
  <c r="S21" i="30"/>
  <c r="R21" i="30"/>
  <c r="W21" i="30"/>
  <c r="V21" i="30"/>
  <c r="X21" i="30"/>
  <c r="Q29" i="30"/>
  <c r="P29" i="30"/>
  <c r="B44" i="13"/>
  <c r="J20" i="14"/>
  <c r="I20" i="14"/>
  <c r="U23" i="14"/>
  <c r="T23" i="14"/>
  <c r="S23" i="14"/>
  <c r="R23" i="14"/>
  <c r="U43" i="14"/>
  <c r="T43" i="14"/>
  <c r="S43" i="14"/>
  <c r="R43" i="14"/>
  <c r="S7" i="15"/>
  <c r="X7" i="15" s="1"/>
  <c r="W36" i="15"/>
  <c r="V36" i="15"/>
  <c r="U36" i="15"/>
  <c r="T36" i="15"/>
  <c r="S36" i="15"/>
  <c r="G34" i="16"/>
  <c r="F34" i="16"/>
  <c r="G36" i="17"/>
  <c r="F36" i="17"/>
  <c r="B6" i="18"/>
  <c r="U6" i="18"/>
  <c r="W6" i="18"/>
  <c r="J11" i="18"/>
  <c r="I11" i="18"/>
  <c r="X13" i="18"/>
  <c r="W13" i="18"/>
  <c r="V13" i="18"/>
  <c r="U13" i="18"/>
  <c r="S13" i="18"/>
  <c r="G18" i="18"/>
  <c r="F18" i="18"/>
  <c r="T31" i="18"/>
  <c r="S31" i="18"/>
  <c r="R31" i="18"/>
  <c r="T8" i="19"/>
  <c r="V8" i="19" s="1"/>
  <c r="W8" i="19" s="1"/>
  <c r="T10" i="19"/>
  <c r="V10" i="19" s="1"/>
  <c r="J11" i="19"/>
  <c r="I11" i="19"/>
  <c r="I21" i="19"/>
  <c r="U10" i="20"/>
  <c r="S10" i="20"/>
  <c r="B10" i="20"/>
  <c r="J7" i="20"/>
  <c r="X40" i="20"/>
  <c r="U40" i="20"/>
  <c r="T40" i="20"/>
  <c r="R40" i="20"/>
  <c r="S40" i="20"/>
  <c r="G5" i="21"/>
  <c r="Q7" i="21"/>
  <c r="O50" i="21"/>
  <c r="P27" i="21"/>
  <c r="J28" i="21"/>
  <c r="I28" i="21"/>
  <c r="B18" i="22"/>
  <c r="S18" i="22"/>
  <c r="R18" i="22"/>
  <c r="J40" i="22"/>
  <c r="I40" i="22"/>
  <c r="J8" i="23"/>
  <c r="I8" i="23"/>
  <c r="G30" i="23"/>
  <c r="F30" i="23"/>
  <c r="R35" i="23"/>
  <c r="J42" i="23"/>
  <c r="I42" i="23"/>
  <c r="Q11" i="24"/>
  <c r="P11" i="24"/>
  <c r="V25" i="25"/>
  <c r="T25" i="25"/>
  <c r="S25" i="25"/>
  <c r="R25" i="25"/>
  <c r="B25" i="25"/>
  <c r="W25" i="25"/>
  <c r="U25" i="25"/>
  <c r="R9" i="26"/>
  <c r="B9" i="26"/>
  <c r="V9" i="26"/>
  <c r="W9" i="26" s="1"/>
  <c r="U9" i="26"/>
  <c r="I49" i="26"/>
  <c r="J49" i="26"/>
  <c r="S9" i="27"/>
  <c r="X9" i="27" s="1"/>
  <c r="R9" i="27"/>
  <c r="U9" i="27" s="1"/>
  <c r="B9" i="27"/>
  <c r="V9" i="27"/>
  <c r="W9" i="27" s="1"/>
  <c r="T9" i="27"/>
  <c r="I40" i="27"/>
  <c r="J40" i="27"/>
  <c r="G21" i="29"/>
  <c r="F21" i="29"/>
  <c r="R23" i="29"/>
  <c r="X23" i="29"/>
  <c r="W23" i="29"/>
  <c r="U23" i="29"/>
  <c r="T23" i="29"/>
  <c r="S23" i="29"/>
  <c r="B23" i="29"/>
  <c r="W6" i="34"/>
  <c r="U6" i="34"/>
  <c r="T6" i="34"/>
  <c r="T50" i="34" s="1"/>
  <c r="S6" i="34"/>
  <c r="B6" i="34"/>
  <c r="X6" i="34"/>
  <c r="V6" i="34"/>
  <c r="R6" i="34"/>
  <c r="J28" i="34"/>
  <c r="I28" i="34"/>
  <c r="S17" i="29"/>
  <c r="R17" i="29"/>
  <c r="B17" i="29"/>
  <c r="X17" i="29"/>
  <c r="T17" i="29"/>
  <c r="G26" i="29"/>
  <c r="F26" i="29"/>
  <c r="X8" i="30"/>
  <c r="T8" i="30"/>
  <c r="V8" i="30" s="1"/>
  <c r="W8" i="30" s="1"/>
  <c r="B8" i="30"/>
  <c r="S8" i="30"/>
  <c r="R8" i="30"/>
  <c r="U8" i="30" s="1"/>
  <c r="I30" i="25"/>
  <c r="J30" i="25"/>
  <c r="Q24" i="28"/>
  <c r="P24" i="28"/>
  <c r="V31" i="28"/>
  <c r="U31" i="28"/>
  <c r="T31" i="28"/>
  <c r="S31" i="28"/>
  <c r="B31" i="28"/>
  <c r="X31" i="28"/>
  <c r="W31" i="28"/>
  <c r="R31" i="28"/>
  <c r="G36" i="28"/>
  <c r="F36" i="28"/>
  <c r="G16" i="29"/>
  <c r="F16" i="29"/>
  <c r="G25" i="30"/>
  <c r="F25" i="30"/>
  <c r="Q28" i="30"/>
  <c r="P28" i="30"/>
  <c r="J46" i="33"/>
  <c r="I46" i="33"/>
  <c r="R5" i="33"/>
  <c r="Q20" i="34"/>
  <c r="P20" i="34"/>
  <c r="G45" i="25"/>
  <c r="F45" i="25"/>
  <c r="J20" i="26"/>
  <c r="I20" i="26"/>
  <c r="X22" i="26"/>
  <c r="W22" i="26"/>
  <c r="V22" i="26"/>
  <c r="U22" i="26"/>
  <c r="R22" i="26"/>
  <c r="B22" i="26"/>
  <c r="V40" i="17"/>
  <c r="U40" i="17"/>
  <c r="T40" i="17"/>
  <c r="S40" i="17"/>
  <c r="F8" i="18"/>
  <c r="G8" i="18" s="1"/>
  <c r="B26" i="18"/>
  <c r="U26" i="18"/>
  <c r="R30" i="18"/>
  <c r="B30" i="18"/>
  <c r="X33" i="18"/>
  <c r="W33" i="18"/>
  <c r="V33" i="18"/>
  <c r="U33" i="18"/>
  <c r="T41" i="18"/>
  <c r="S41" i="18"/>
  <c r="R41" i="18"/>
  <c r="X5" i="19"/>
  <c r="U5" i="19"/>
  <c r="S5" i="19"/>
  <c r="I7" i="19"/>
  <c r="T37" i="19"/>
  <c r="S37" i="19"/>
  <c r="R37" i="19"/>
  <c r="W40" i="19"/>
  <c r="X40" i="19"/>
  <c r="S40" i="19"/>
  <c r="P46" i="20"/>
  <c r="Q46" i="20"/>
  <c r="S8" i="21"/>
  <c r="X8" i="21" s="1"/>
  <c r="B8" i="21"/>
  <c r="T8" i="21"/>
  <c r="V8" i="21" s="1"/>
  <c r="W8" i="21" s="1"/>
  <c r="R8" i="21"/>
  <c r="U8" i="21" s="1"/>
  <c r="I15" i="21"/>
  <c r="J15" i="21"/>
  <c r="X36" i="21"/>
  <c r="W36" i="21"/>
  <c r="V36" i="21"/>
  <c r="U36" i="21"/>
  <c r="T36" i="21"/>
  <c r="S36" i="21"/>
  <c r="R36" i="21"/>
  <c r="U49" i="21"/>
  <c r="T49" i="21"/>
  <c r="S49" i="21"/>
  <c r="R49" i="21"/>
  <c r="W49" i="21"/>
  <c r="V49" i="21"/>
  <c r="X49" i="21"/>
  <c r="B9" i="22"/>
  <c r="S9" i="22"/>
  <c r="U11" i="23"/>
  <c r="T11" i="23"/>
  <c r="B11" i="23"/>
  <c r="W11" i="23"/>
  <c r="X11" i="23"/>
  <c r="V11" i="23"/>
  <c r="S11" i="23"/>
  <c r="R11" i="23"/>
  <c r="J45" i="23"/>
  <c r="I45" i="23"/>
  <c r="I26" i="24"/>
  <c r="J26" i="24"/>
  <c r="J40" i="25"/>
  <c r="I40" i="25"/>
  <c r="W24" i="27"/>
  <c r="B39" i="27"/>
  <c r="X39" i="27"/>
  <c r="W39" i="27"/>
  <c r="V39" i="27"/>
  <c r="R39" i="27"/>
  <c r="Q8" i="25"/>
  <c r="P8" i="25"/>
  <c r="P50" i="25" s="1"/>
  <c r="O50" i="25"/>
  <c r="T18" i="25"/>
  <c r="S18" i="25"/>
  <c r="R18" i="25"/>
  <c r="X18" i="25"/>
  <c r="W18" i="25"/>
  <c r="V18" i="25"/>
  <c r="U18" i="25"/>
  <c r="B18" i="25"/>
  <c r="B23" i="25"/>
  <c r="X23" i="25"/>
  <c r="W23" i="25"/>
  <c r="R23" i="25"/>
  <c r="V23" i="25"/>
  <c r="S23" i="25"/>
  <c r="B43" i="25"/>
  <c r="X43" i="25"/>
  <c r="W43" i="25"/>
  <c r="R43" i="25"/>
  <c r="V43" i="25"/>
  <c r="S43" i="25"/>
  <c r="U43" i="25"/>
  <c r="T43" i="25"/>
  <c r="W33" i="30"/>
  <c r="V33" i="30"/>
  <c r="U33" i="30"/>
  <c r="S33" i="30"/>
  <c r="B33" i="30"/>
  <c r="X33" i="30"/>
  <c r="T33" i="30"/>
  <c r="F42" i="30"/>
  <c r="G42" i="30"/>
  <c r="F41" i="25"/>
  <c r="G41" i="25"/>
  <c r="U24" i="27"/>
  <c r="T24" i="27"/>
  <c r="S24" i="27"/>
  <c r="B24" i="27"/>
  <c r="V24" i="27"/>
  <c r="J43" i="29"/>
  <c r="I43" i="29"/>
  <c r="W16" i="14"/>
  <c r="W26" i="14"/>
  <c r="G6" i="17"/>
  <c r="F6" i="17"/>
  <c r="X21" i="17"/>
  <c r="W21" i="17"/>
  <c r="V21" i="17"/>
  <c r="U21" i="17"/>
  <c r="G46" i="17"/>
  <c r="F46" i="17"/>
  <c r="T21" i="18"/>
  <c r="S21" i="18"/>
  <c r="R21" i="18"/>
  <c r="B37" i="18"/>
  <c r="W37" i="18"/>
  <c r="J48" i="18"/>
  <c r="I48" i="18"/>
  <c r="S46" i="20"/>
  <c r="V46" i="20"/>
  <c r="U46" i="20"/>
  <c r="R46" i="20"/>
  <c r="B46" i="20"/>
  <c r="U5" i="21"/>
  <c r="T5" i="21"/>
  <c r="R5" i="21"/>
  <c r="X5" i="21"/>
  <c r="V5" i="21"/>
  <c r="W5" i="21" s="1"/>
  <c r="S5" i="21"/>
  <c r="R7" i="23"/>
  <c r="R24" i="23"/>
  <c r="B24" i="23"/>
  <c r="X24" i="23"/>
  <c r="W24" i="23"/>
  <c r="V24" i="23"/>
  <c r="U24" i="23"/>
  <c r="T24" i="23"/>
  <c r="S24" i="23"/>
  <c r="Q31" i="23"/>
  <c r="P31" i="23"/>
  <c r="Q9" i="24"/>
  <c r="P9" i="24"/>
  <c r="B11" i="24"/>
  <c r="U11" i="24"/>
  <c r="T11" i="24"/>
  <c r="V11" i="24" s="1"/>
  <c r="W11" i="24" s="1"/>
  <c r="S11" i="24"/>
  <c r="X11" i="24" s="1"/>
  <c r="R11" i="24"/>
  <c r="R15" i="24"/>
  <c r="X15" i="24"/>
  <c r="W15" i="24"/>
  <c r="S15" i="24"/>
  <c r="V15" i="24"/>
  <c r="U15" i="24"/>
  <c r="T15" i="24"/>
  <c r="J25" i="25"/>
  <c r="I25" i="25"/>
  <c r="J38" i="25"/>
  <c r="I38" i="25"/>
  <c r="J27" i="26"/>
  <c r="I27" i="26"/>
  <c r="B8" i="27"/>
  <c r="S8" i="27"/>
  <c r="X8" i="27" s="1"/>
  <c r="T8" i="27"/>
  <c r="V8" i="27" s="1"/>
  <c r="W8" i="27" s="1"/>
  <c r="W35" i="27"/>
  <c r="V35" i="27"/>
  <c r="U35" i="27"/>
  <c r="R35" i="27"/>
  <c r="X35" i="27"/>
  <c r="T35" i="27"/>
  <c r="S35" i="27"/>
  <c r="G44" i="29"/>
  <c r="F44" i="29"/>
  <c r="V33" i="13"/>
  <c r="V43" i="13"/>
  <c r="V5" i="14"/>
  <c r="V15" i="14"/>
  <c r="P22" i="14"/>
  <c r="P32" i="14"/>
  <c r="P42" i="14"/>
  <c r="P14" i="15"/>
  <c r="P50" i="15" s="1"/>
  <c r="P24" i="15"/>
  <c r="P34" i="15"/>
  <c r="P44" i="15"/>
  <c r="P6" i="16"/>
  <c r="P16" i="16"/>
  <c r="P26" i="16"/>
  <c r="P36" i="16"/>
  <c r="W46" i="16"/>
  <c r="W8" i="17"/>
  <c r="F10" i="17"/>
  <c r="P20" i="17"/>
  <c r="V30" i="17"/>
  <c r="U30" i="17"/>
  <c r="T30" i="17"/>
  <c r="S30" i="17"/>
  <c r="X35" i="17"/>
  <c r="J29" i="18"/>
  <c r="I29" i="18"/>
  <c r="X43" i="18"/>
  <c r="W43" i="18"/>
  <c r="V43" i="18"/>
  <c r="U43" i="18"/>
  <c r="S43" i="18"/>
  <c r="P10" i="19"/>
  <c r="F16" i="19"/>
  <c r="P17" i="19"/>
  <c r="B19" i="19"/>
  <c r="W19" i="19"/>
  <c r="S22" i="19"/>
  <c r="R22" i="19"/>
  <c r="B33" i="19"/>
  <c r="X33" i="19"/>
  <c r="T33" i="19"/>
  <c r="P42" i="19"/>
  <c r="X43" i="19"/>
  <c r="F47" i="19"/>
  <c r="P48" i="19"/>
  <c r="I5" i="21"/>
  <c r="S7" i="21"/>
  <c r="X7" i="21" s="1"/>
  <c r="J10" i="21"/>
  <c r="G21" i="21"/>
  <c r="F21" i="21"/>
  <c r="G29" i="21"/>
  <c r="F25" i="22"/>
  <c r="U45" i="22"/>
  <c r="X45" i="22"/>
  <c r="B45" i="22"/>
  <c r="W47" i="22"/>
  <c r="X7" i="23"/>
  <c r="S39" i="23"/>
  <c r="W41" i="23"/>
  <c r="V41" i="23"/>
  <c r="U41" i="23"/>
  <c r="T41" i="23"/>
  <c r="F18" i="24"/>
  <c r="R35" i="24"/>
  <c r="S35" i="24"/>
  <c r="B35" i="24"/>
  <c r="X35" i="24"/>
  <c r="W35" i="24"/>
  <c r="V14" i="25"/>
  <c r="V29" i="25"/>
  <c r="U29" i="25"/>
  <c r="T29" i="25"/>
  <c r="S29" i="25"/>
  <c r="X29" i="25"/>
  <c r="W29" i="25"/>
  <c r="B29" i="25"/>
  <c r="V17" i="26"/>
  <c r="R17" i="26"/>
  <c r="B17" i="26"/>
  <c r="U17" i="26"/>
  <c r="X17" i="26"/>
  <c r="W17" i="26"/>
  <c r="T17" i="26"/>
  <c r="S17" i="26"/>
  <c r="F25" i="27"/>
  <c r="J31" i="27"/>
  <c r="I31" i="27"/>
  <c r="Q33" i="27"/>
  <c r="P33" i="27"/>
  <c r="G26" i="28"/>
  <c r="F26" i="28"/>
  <c r="G31" i="31"/>
  <c r="F31" i="31"/>
  <c r="J17" i="17"/>
  <c r="I17" i="17"/>
  <c r="J26" i="17"/>
  <c r="I26" i="17"/>
  <c r="T39" i="17"/>
  <c r="S39" i="17"/>
  <c r="R39" i="17"/>
  <c r="R48" i="17"/>
  <c r="B48" i="17"/>
  <c r="B17" i="18"/>
  <c r="W17" i="18"/>
  <c r="V32" i="18"/>
  <c r="U32" i="18"/>
  <c r="T32" i="18"/>
  <c r="S32" i="18"/>
  <c r="I6" i="19"/>
  <c r="B8" i="19"/>
  <c r="U29" i="19"/>
  <c r="R29" i="19"/>
  <c r="B29" i="19"/>
  <c r="X16" i="20"/>
  <c r="B25" i="20"/>
  <c r="W25" i="20"/>
  <c r="F33" i="20"/>
  <c r="F41" i="20"/>
  <c r="P42" i="20"/>
  <c r="F45" i="20"/>
  <c r="T7" i="21"/>
  <c r="V7" i="21" s="1"/>
  <c r="W7" i="21" s="1"/>
  <c r="P9" i="21"/>
  <c r="Q37" i="21"/>
  <c r="P37" i="21"/>
  <c r="S38" i="21"/>
  <c r="R38" i="21"/>
  <c r="B38" i="21"/>
  <c r="T38" i="21"/>
  <c r="G28" i="22"/>
  <c r="F28" i="22"/>
  <c r="Q37" i="22"/>
  <c r="P37" i="22"/>
  <c r="I45" i="22"/>
  <c r="J45" i="22"/>
  <c r="F20" i="23"/>
  <c r="G25" i="23"/>
  <c r="F25" i="23"/>
  <c r="T39" i="23"/>
  <c r="J24" i="24"/>
  <c r="I24" i="24"/>
  <c r="J35" i="24"/>
  <c r="I35" i="24"/>
  <c r="T6" i="25"/>
  <c r="V6" i="25" s="1"/>
  <c r="W6" i="25" s="1"/>
  <c r="S6" i="25"/>
  <c r="R6" i="25"/>
  <c r="U6" i="25" s="1"/>
  <c r="B6" i="25"/>
  <c r="X6" i="25"/>
  <c r="B16" i="25"/>
  <c r="W16" i="25"/>
  <c r="T16" i="25"/>
  <c r="P19" i="25"/>
  <c r="Q19" i="25"/>
  <c r="R9" i="28"/>
  <c r="Q9" i="29"/>
  <c r="P9" i="29"/>
  <c r="O50" i="29"/>
  <c r="P27" i="29"/>
  <c r="X38" i="29"/>
  <c r="T38" i="29"/>
  <c r="S38" i="29"/>
  <c r="R38" i="29"/>
  <c r="B38" i="29"/>
  <c r="U38" i="29"/>
  <c r="P40" i="29"/>
  <c r="Q40" i="29"/>
  <c r="P21" i="14"/>
  <c r="P31" i="14"/>
  <c r="P41" i="14"/>
  <c r="P13" i="15"/>
  <c r="P23" i="15"/>
  <c r="P33" i="15"/>
  <c r="P43" i="15"/>
  <c r="P5" i="16"/>
  <c r="P15" i="16"/>
  <c r="P25" i="16"/>
  <c r="P35" i="16"/>
  <c r="P44" i="16"/>
  <c r="P15" i="17"/>
  <c r="J9" i="18"/>
  <c r="I9" i="18"/>
  <c r="P27" i="18"/>
  <c r="F30" i="18"/>
  <c r="G38" i="18"/>
  <c r="F38" i="18"/>
  <c r="R40" i="18"/>
  <c r="B40" i="18"/>
  <c r="G49" i="18"/>
  <c r="J6" i="19"/>
  <c r="G13" i="19"/>
  <c r="G20" i="19"/>
  <c r="F20" i="19"/>
  <c r="B40" i="19"/>
  <c r="J43" i="19"/>
  <c r="I43" i="19"/>
  <c r="U49" i="19"/>
  <c r="B49" i="19"/>
  <c r="X49" i="19"/>
  <c r="F29" i="20"/>
  <c r="P48" i="20"/>
  <c r="G6" i="21"/>
  <c r="E50" i="21"/>
  <c r="S9" i="21"/>
  <c r="X9" i="21" s="1"/>
  <c r="Q35" i="21"/>
  <c r="Q50" i="21" s="1"/>
  <c r="P35" i="21"/>
  <c r="Q48" i="21"/>
  <c r="P48" i="21"/>
  <c r="R47" i="22"/>
  <c r="B47" i="22"/>
  <c r="Q12" i="24"/>
  <c r="P12" i="24"/>
  <c r="G25" i="24"/>
  <c r="F25" i="24"/>
  <c r="G34" i="24"/>
  <c r="F34" i="24"/>
  <c r="B14" i="25"/>
  <c r="T14" i="25"/>
  <c r="S14" i="25"/>
  <c r="X14" i="25" s="1"/>
  <c r="R14" i="25"/>
  <c r="U14" i="25" s="1"/>
  <c r="W14" i="25"/>
  <c r="P23" i="27"/>
  <c r="G32" i="27"/>
  <c r="F32" i="27"/>
  <c r="U17" i="29"/>
  <c r="Q23" i="29"/>
  <c r="P23" i="29"/>
  <c r="V25" i="29"/>
  <c r="T25" i="29"/>
  <c r="W25" i="29"/>
  <c r="U25" i="29"/>
  <c r="S25" i="29"/>
  <c r="R25" i="29"/>
  <c r="B25" i="29"/>
  <c r="Q35" i="29"/>
  <c r="P35" i="29"/>
  <c r="Q48" i="29"/>
  <c r="P48" i="29"/>
  <c r="B40" i="17"/>
  <c r="V12" i="18"/>
  <c r="W12" i="18" s="1"/>
  <c r="T12" i="18"/>
  <c r="U12" i="18" s="1"/>
  <c r="S12" i="18"/>
  <c r="X12" i="18" s="1"/>
  <c r="P31" i="18"/>
  <c r="P50" i="18" s="1"/>
  <c r="B33" i="18"/>
  <c r="P42" i="18"/>
  <c r="V14" i="19"/>
  <c r="U14" i="19"/>
  <c r="T14" i="19"/>
  <c r="S14" i="19"/>
  <c r="P38" i="19"/>
  <c r="V45" i="19"/>
  <c r="U45" i="19"/>
  <c r="T45" i="19"/>
  <c r="S45" i="19"/>
  <c r="B5" i="20"/>
  <c r="V5" i="20"/>
  <c r="U5" i="20"/>
  <c r="T5" i="20"/>
  <c r="S5" i="20"/>
  <c r="X5" i="20" s="1"/>
  <c r="W11" i="20"/>
  <c r="U11" i="20"/>
  <c r="T11" i="20"/>
  <c r="S11" i="20"/>
  <c r="R11" i="20"/>
  <c r="G26" i="20"/>
  <c r="F26" i="20"/>
  <c r="U27" i="20"/>
  <c r="V27" i="20"/>
  <c r="T27" i="20"/>
  <c r="R27" i="20"/>
  <c r="S27" i="20"/>
  <c r="B27" i="20"/>
  <c r="F47" i="20"/>
  <c r="F6" i="21"/>
  <c r="F50" i="21" s="1"/>
  <c r="T9" i="21"/>
  <c r="V9" i="21" s="1"/>
  <c r="W9" i="21" s="1"/>
  <c r="G11" i="21"/>
  <c r="X22" i="21"/>
  <c r="B22" i="21"/>
  <c r="U29" i="21"/>
  <c r="R29" i="21"/>
  <c r="V29" i="21"/>
  <c r="T29" i="21"/>
  <c r="S29" i="21"/>
  <c r="W29" i="21"/>
  <c r="J23" i="22"/>
  <c r="I23" i="22"/>
  <c r="J47" i="22"/>
  <c r="I47" i="22"/>
  <c r="P15" i="23"/>
  <c r="B39" i="23"/>
  <c r="X39" i="23"/>
  <c r="W39" i="23"/>
  <c r="U39" i="23"/>
  <c r="X46" i="23"/>
  <c r="W46" i="23"/>
  <c r="V46" i="23"/>
  <c r="U46" i="23"/>
  <c r="R46" i="23"/>
  <c r="T46" i="23"/>
  <c r="V10" i="24"/>
  <c r="W10" i="24" s="1"/>
  <c r="B42" i="24"/>
  <c r="X42" i="24"/>
  <c r="T42" i="24"/>
  <c r="S42" i="24"/>
  <c r="R42" i="24"/>
  <c r="W42" i="24"/>
  <c r="V17" i="29"/>
  <c r="V23" i="29"/>
  <c r="J25" i="29"/>
  <c r="I25" i="29"/>
  <c r="V9" i="32"/>
  <c r="W9" i="32" s="1"/>
  <c r="W22" i="32"/>
  <c r="U22" i="32"/>
  <c r="S22" i="32"/>
  <c r="T22" i="32"/>
  <c r="B22" i="32"/>
  <c r="X22" i="32"/>
  <c r="V22" i="32"/>
  <c r="J12" i="32"/>
  <c r="Q38" i="33"/>
  <c r="P38" i="33"/>
  <c r="R10" i="30"/>
  <c r="J36" i="30"/>
  <c r="Q47" i="30"/>
  <c r="P47" i="30"/>
  <c r="S36" i="31"/>
  <c r="U36" i="31"/>
  <c r="T36" i="31"/>
  <c r="R36" i="31"/>
  <c r="B36" i="31"/>
  <c r="V36" i="31"/>
  <c r="X36" i="31"/>
  <c r="F9" i="32"/>
  <c r="G9" i="32" s="1"/>
  <c r="B40" i="30"/>
  <c r="V40" i="30"/>
  <c r="U40" i="30"/>
  <c r="T40" i="30"/>
  <c r="R40" i="30"/>
  <c r="S40" i="30"/>
  <c r="X40" i="30"/>
  <c r="W40" i="30"/>
  <c r="G28" i="34"/>
  <c r="F28" i="34"/>
  <c r="U46" i="18"/>
  <c r="U18" i="19"/>
  <c r="U26" i="19"/>
  <c r="U48" i="19"/>
  <c r="S9" i="20"/>
  <c r="X9" i="20" s="1"/>
  <c r="U14" i="20"/>
  <c r="F32" i="20"/>
  <c r="G32" i="20"/>
  <c r="Q45" i="20"/>
  <c r="P45" i="20"/>
  <c r="T10" i="21"/>
  <c r="V10" i="21" s="1"/>
  <c r="W10" i="21" s="1"/>
  <c r="R10" i="21"/>
  <c r="J22" i="21"/>
  <c r="I22" i="21"/>
  <c r="X32" i="21"/>
  <c r="B32" i="21"/>
  <c r="S20" i="22"/>
  <c r="R20" i="22"/>
  <c r="U20" i="22"/>
  <c r="T20" i="22"/>
  <c r="G40" i="22"/>
  <c r="F40" i="22"/>
  <c r="S10" i="23"/>
  <c r="R10" i="23"/>
  <c r="U10" i="23" s="1"/>
  <c r="B10" i="23"/>
  <c r="X10" i="23"/>
  <c r="Q29" i="23"/>
  <c r="P29" i="23"/>
  <c r="J35" i="23"/>
  <c r="I35" i="23"/>
  <c r="B21" i="24"/>
  <c r="X21" i="24"/>
  <c r="W21" i="24"/>
  <c r="V21" i="24"/>
  <c r="U21" i="24"/>
  <c r="S21" i="24"/>
  <c r="Q10" i="25"/>
  <c r="P10" i="25"/>
  <c r="J16" i="25"/>
  <c r="I16" i="25"/>
  <c r="G9" i="28"/>
  <c r="F9" i="28"/>
  <c r="J28" i="28"/>
  <c r="I28" i="28"/>
  <c r="V16" i="30"/>
  <c r="T16" i="30"/>
  <c r="S16" i="30"/>
  <c r="R16" i="30"/>
  <c r="B16" i="30"/>
  <c r="U16" i="30"/>
  <c r="X16" i="30"/>
  <c r="S24" i="30"/>
  <c r="R24" i="30"/>
  <c r="X24" i="30"/>
  <c r="W24" i="30"/>
  <c r="V24" i="30"/>
  <c r="U24" i="30"/>
  <c r="T24" i="30"/>
  <c r="B24" i="30"/>
  <c r="Q11" i="31"/>
  <c r="Q50" i="31" s="1"/>
  <c r="P11" i="31"/>
  <c r="G31" i="20"/>
  <c r="F31" i="20"/>
  <c r="W22" i="22"/>
  <c r="V22" i="22"/>
  <c r="U22" i="22"/>
  <c r="T22" i="22"/>
  <c r="B22" i="22"/>
  <c r="B25" i="22"/>
  <c r="T25" i="22"/>
  <c r="X25" i="22"/>
  <c r="W25" i="22"/>
  <c r="V25" i="22"/>
  <c r="U25" i="22"/>
  <c r="S25" i="22"/>
  <c r="B34" i="22"/>
  <c r="X34" i="22"/>
  <c r="Q48" i="22"/>
  <c r="P48" i="22"/>
  <c r="J26" i="23"/>
  <c r="I26" i="23"/>
  <c r="V37" i="24"/>
  <c r="U37" i="24"/>
  <c r="T37" i="24"/>
  <c r="S37" i="24"/>
  <c r="R37" i="24"/>
  <c r="B37" i="24"/>
  <c r="X30" i="25"/>
  <c r="W30" i="25"/>
  <c r="V30" i="25"/>
  <c r="U30" i="25"/>
  <c r="R30" i="25"/>
  <c r="B30" i="25"/>
  <c r="T30" i="25"/>
  <c r="S30" i="25"/>
  <c r="V49" i="25"/>
  <c r="U49" i="25"/>
  <c r="T49" i="25"/>
  <c r="S49" i="25"/>
  <c r="X49" i="25"/>
  <c r="G19" i="26"/>
  <c r="F19" i="26"/>
  <c r="X42" i="26"/>
  <c r="W42" i="26"/>
  <c r="V42" i="26"/>
  <c r="U42" i="26"/>
  <c r="R42" i="26"/>
  <c r="B42" i="26"/>
  <c r="E50" i="27"/>
  <c r="Q36" i="27"/>
  <c r="P36" i="27"/>
  <c r="Q22" i="31"/>
  <c r="P22" i="31"/>
  <c r="W12" i="17"/>
  <c r="W22" i="17"/>
  <c r="W32" i="17"/>
  <c r="W42" i="17"/>
  <c r="W14" i="18"/>
  <c r="W24" i="18"/>
  <c r="W34" i="18"/>
  <c r="W44" i="18"/>
  <c r="W16" i="19"/>
  <c r="V24" i="19"/>
  <c r="W32" i="19"/>
  <c r="W39" i="19"/>
  <c r="V6" i="20"/>
  <c r="W6" i="20" s="1"/>
  <c r="B9" i="20"/>
  <c r="X19" i="20"/>
  <c r="W33" i="20"/>
  <c r="W37" i="20"/>
  <c r="X45" i="20"/>
  <c r="U9" i="21"/>
  <c r="R9" i="21"/>
  <c r="X27" i="21"/>
  <c r="X34" i="21"/>
  <c r="W39" i="21"/>
  <c r="B16" i="22"/>
  <c r="W16" i="22"/>
  <c r="V16" i="22"/>
  <c r="U16" i="22"/>
  <c r="T16" i="22"/>
  <c r="S16" i="22"/>
  <c r="T40" i="22"/>
  <c r="W48" i="22"/>
  <c r="Q9" i="23"/>
  <c r="Q50" i="23" s="1"/>
  <c r="P9" i="23"/>
  <c r="P50" i="23" s="1"/>
  <c r="R7" i="24"/>
  <c r="U7" i="24" s="1"/>
  <c r="T32" i="24"/>
  <c r="R15" i="25"/>
  <c r="U15" i="25" s="1"/>
  <c r="G35" i="25"/>
  <c r="F35" i="25"/>
  <c r="R47" i="25"/>
  <c r="B47" i="25"/>
  <c r="U47" i="25"/>
  <c r="T47" i="25"/>
  <c r="S47" i="25"/>
  <c r="G5" i="27"/>
  <c r="X7" i="27"/>
  <c r="J38" i="28"/>
  <c r="I38" i="28"/>
  <c r="X39" i="19"/>
  <c r="I7" i="20"/>
  <c r="X33" i="20"/>
  <c r="J9" i="21"/>
  <c r="I9" i="21"/>
  <c r="U17" i="21"/>
  <c r="T17" i="21"/>
  <c r="S17" i="21"/>
  <c r="R17" i="21"/>
  <c r="J21" i="21"/>
  <c r="I21" i="21"/>
  <c r="B5" i="22"/>
  <c r="J5" i="22"/>
  <c r="I5" i="22"/>
  <c r="J10" i="22"/>
  <c r="I10" i="22"/>
  <c r="P27" i="22"/>
  <c r="J28" i="22"/>
  <c r="I28" i="22"/>
  <c r="F27" i="23"/>
  <c r="B29" i="23"/>
  <c r="S29" i="23"/>
  <c r="T34" i="23"/>
  <c r="S34" i="23"/>
  <c r="B34" i="23"/>
  <c r="X34" i="23"/>
  <c r="V34" i="23"/>
  <c r="U34" i="23"/>
  <c r="R34" i="23"/>
  <c r="X36" i="23"/>
  <c r="W36" i="23"/>
  <c r="U36" i="23"/>
  <c r="T36" i="23"/>
  <c r="S36" i="23"/>
  <c r="R36" i="23"/>
  <c r="B36" i="23"/>
  <c r="G45" i="23"/>
  <c r="F45" i="23"/>
  <c r="R5" i="24"/>
  <c r="U5" i="24" s="1"/>
  <c r="X5" i="24"/>
  <c r="T5" i="24"/>
  <c r="V5" i="24" s="1"/>
  <c r="S5" i="24"/>
  <c r="T13" i="24"/>
  <c r="S13" i="24"/>
  <c r="B13" i="24"/>
  <c r="B22" i="24"/>
  <c r="S22" i="24"/>
  <c r="R22" i="24"/>
  <c r="X22" i="24"/>
  <c r="T22" i="24"/>
  <c r="X48" i="24"/>
  <c r="W48" i="24"/>
  <c r="V48" i="24"/>
  <c r="U48" i="24"/>
  <c r="R48" i="24"/>
  <c r="T48" i="24"/>
  <c r="S48" i="24"/>
  <c r="Q50" i="25"/>
  <c r="P11" i="25"/>
  <c r="S33" i="25"/>
  <c r="G37" i="26"/>
  <c r="F37" i="26"/>
  <c r="G12" i="27"/>
  <c r="F12" i="27"/>
  <c r="P7" i="28"/>
  <c r="P50" i="28" s="1"/>
  <c r="Q9" i="30"/>
  <c r="P9" i="30"/>
  <c r="I20" i="19"/>
  <c r="J35" i="19"/>
  <c r="U37" i="20"/>
  <c r="R37" i="20"/>
  <c r="I39" i="20"/>
  <c r="J45" i="20"/>
  <c r="I45" i="20"/>
  <c r="B10" i="21"/>
  <c r="Q29" i="21"/>
  <c r="P29" i="21"/>
  <c r="J34" i="21"/>
  <c r="I34" i="21"/>
  <c r="U39" i="21"/>
  <c r="T39" i="21"/>
  <c r="S39" i="21"/>
  <c r="R39" i="21"/>
  <c r="G45" i="22"/>
  <c r="F45" i="22"/>
  <c r="S48" i="22"/>
  <c r="R48" i="22"/>
  <c r="U48" i="22"/>
  <c r="T48" i="22"/>
  <c r="J5" i="23"/>
  <c r="U7" i="23"/>
  <c r="T7" i="23"/>
  <c r="V7" i="23" s="1"/>
  <c r="W7" i="23" s="1"/>
  <c r="S7" i="23"/>
  <c r="T9" i="23"/>
  <c r="V9" i="23" s="1"/>
  <c r="W9" i="23" s="1"/>
  <c r="S9" i="23"/>
  <c r="X9" i="23" s="1"/>
  <c r="R9" i="23"/>
  <c r="U9" i="23" s="1"/>
  <c r="J36" i="23"/>
  <c r="I36" i="23"/>
  <c r="S9" i="24"/>
  <c r="X9" i="24" s="1"/>
  <c r="T12" i="24"/>
  <c r="V12" i="24" s="1"/>
  <c r="W12" i="24" s="1"/>
  <c r="S12" i="24"/>
  <c r="X12" i="24" s="1"/>
  <c r="J5" i="24"/>
  <c r="R12" i="24"/>
  <c r="U12" i="24" s="1"/>
  <c r="I5" i="24"/>
  <c r="T10" i="24"/>
  <c r="S10" i="24"/>
  <c r="X10" i="24" s="1"/>
  <c r="J13" i="24"/>
  <c r="I13" i="24"/>
  <c r="J22" i="24"/>
  <c r="I22" i="24"/>
  <c r="B32" i="24"/>
  <c r="X32" i="24"/>
  <c r="W32" i="24"/>
  <c r="U32" i="24"/>
  <c r="S32" i="24"/>
  <c r="Q36" i="24"/>
  <c r="P36" i="24"/>
  <c r="T8" i="25"/>
  <c r="V8" i="25" s="1"/>
  <c r="W8" i="25" s="1"/>
  <c r="S8" i="25"/>
  <c r="R8" i="25"/>
  <c r="U8" i="25" s="1"/>
  <c r="X8" i="25"/>
  <c r="B8" i="25"/>
  <c r="S13" i="25"/>
  <c r="G39" i="26"/>
  <c r="F39" i="26"/>
  <c r="I30" i="27"/>
  <c r="J30" i="27"/>
  <c r="X28" i="29"/>
  <c r="B28" i="29"/>
  <c r="R28" i="29"/>
  <c r="S28" i="29"/>
  <c r="W28" i="29"/>
  <c r="V28" i="29"/>
  <c r="U28" i="29"/>
  <c r="T28" i="29"/>
  <c r="F27" i="30"/>
  <c r="G27" i="30"/>
  <c r="G34" i="19"/>
  <c r="B48" i="19"/>
  <c r="B28" i="21"/>
  <c r="G37" i="22"/>
  <c r="W40" i="22"/>
  <c r="V40" i="22"/>
  <c r="F42" i="22"/>
  <c r="G42" i="22"/>
  <c r="I7" i="23"/>
  <c r="J7" i="23"/>
  <c r="T7" i="24"/>
  <c r="V7" i="24" s="1"/>
  <c r="W7" i="24" s="1"/>
  <c r="S7" i="24"/>
  <c r="X7" i="24" s="1"/>
  <c r="B7" i="24"/>
  <c r="R11" i="25"/>
  <c r="U11" i="25" s="1"/>
  <c r="T13" i="25"/>
  <c r="V13" i="25" s="1"/>
  <c r="W13" i="25" s="1"/>
  <c r="B33" i="25"/>
  <c r="X33" i="25"/>
  <c r="W33" i="25"/>
  <c r="R33" i="25"/>
  <c r="V33" i="25"/>
  <c r="T33" i="25"/>
  <c r="F48" i="25"/>
  <c r="G48" i="25"/>
  <c r="U8" i="29"/>
  <c r="Q13" i="29"/>
  <c r="P13" i="29"/>
  <c r="R43" i="29"/>
  <c r="B43" i="29"/>
  <c r="X43" i="29"/>
  <c r="V43" i="29"/>
  <c r="S43" i="29"/>
  <c r="T43" i="29"/>
  <c r="U32" i="30"/>
  <c r="T32" i="30"/>
  <c r="S32" i="30"/>
  <c r="V32" i="30"/>
  <c r="R32" i="30"/>
  <c r="W32" i="30"/>
  <c r="B32" i="30"/>
  <c r="I36" i="30"/>
  <c r="B6" i="22"/>
  <c r="S10" i="22"/>
  <c r="R10" i="22"/>
  <c r="B5" i="23"/>
  <c r="I10" i="23"/>
  <c r="B16" i="23"/>
  <c r="V16" i="23"/>
  <c r="J23" i="23"/>
  <c r="I23" i="23"/>
  <c r="X26" i="23"/>
  <c r="W26" i="23"/>
  <c r="V26" i="23"/>
  <c r="U26" i="23"/>
  <c r="S30" i="23"/>
  <c r="R30" i="23"/>
  <c r="J7" i="24"/>
  <c r="I7" i="24"/>
  <c r="J33" i="24"/>
  <c r="I33" i="24"/>
  <c r="X20" i="25"/>
  <c r="W20" i="25"/>
  <c r="V20" i="25"/>
  <c r="U20" i="25"/>
  <c r="R20" i="25"/>
  <c r="T20" i="25"/>
  <c r="G25" i="25"/>
  <c r="F25" i="25"/>
  <c r="S49" i="26"/>
  <c r="R49" i="26"/>
  <c r="W49" i="26"/>
  <c r="X12" i="27"/>
  <c r="W12" i="27"/>
  <c r="R12" i="27"/>
  <c r="B12" i="27"/>
  <c r="V12" i="27"/>
  <c r="W22" i="27"/>
  <c r="V22" i="27"/>
  <c r="T22" i="27"/>
  <c r="S22" i="27"/>
  <c r="R22" i="27"/>
  <c r="B22" i="27"/>
  <c r="U22" i="27"/>
  <c r="X42" i="27"/>
  <c r="W42" i="27"/>
  <c r="R42" i="27"/>
  <c r="B42" i="27"/>
  <c r="I48" i="27"/>
  <c r="J48" i="27"/>
  <c r="U28" i="28"/>
  <c r="T28" i="28"/>
  <c r="B28" i="28"/>
  <c r="R28" i="28"/>
  <c r="W28" i="28"/>
  <c r="V28" i="28"/>
  <c r="S28" i="28"/>
  <c r="G40" i="28"/>
  <c r="F40" i="28"/>
  <c r="Q48" i="28"/>
  <c r="P48" i="28"/>
  <c r="Q49" i="29"/>
  <c r="P49" i="29"/>
  <c r="Q35" i="33"/>
  <c r="P35" i="33"/>
  <c r="U19" i="21"/>
  <c r="R19" i="21"/>
  <c r="W25" i="21"/>
  <c r="B26" i="22"/>
  <c r="V26" i="22"/>
  <c r="V8" i="23"/>
  <c r="W8" i="23" s="1"/>
  <c r="Q12" i="23"/>
  <c r="P12" i="23"/>
  <c r="I40" i="23"/>
  <c r="J41" i="23"/>
  <c r="I41" i="23"/>
  <c r="E50" i="24"/>
  <c r="F5" i="24"/>
  <c r="V9" i="24"/>
  <c r="W9" i="24" s="1"/>
  <c r="Q20" i="24"/>
  <c r="P20" i="24"/>
  <c r="T15" i="25"/>
  <c r="R27" i="25"/>
  <c r="B27" i="25"/>
  <c r="X27" i="25"/>
  <c r="W8" i="26"/>
  <c r="X12" i="26"/>
  <c r="W12" i="26"/>
  <c r="V12" i="26"/>
  <c r="U12" i="26"/>
  <c r="R12" i="26"/>
  <c r="B12" i="26"/>
  <c r="T12" i="26"/>
  <c r="S12" i="26"/>
  <c r="B49" i="26"/>
  <c r="B19" i="27"/>
  <c r="X19" i="27"/>
  <c r="T19" i="27"/>
  <c r="S19" i="27"/>
  <c r="R19" i="27"/>
  <c r="Q11" i="28"/>
  <c r="P11" i="28"/>
  <c r="S17" i="28"/>
  <c r="R17" i="28"/>
  <c r="B17" i="28"/>
  <c r="W17" i="28"/>
  <c r="T24" i="28"/>
  <c r="Q8" i="29"/>
  <c r="P8" i="29"/>
  <c r="X31" i="29"/>
  <c r="W31" i="29"/>
  <c r="V31" i="29"/>
  <c r="U31" i="29"/>
  <c r="B31" i="29"/>
  <c r="T31" i="29"/>
  <c r="E50" i="30"/>
  <c r="F5" i="30"/>
  <c r="G5" i="30" s="1"/>
  <c r="V21" i="20"/>
  <c r="U28" i="20"/>
  <c r="V35" i="20"/>
  <c r="V41" i="20"/>
  <c r="U12" i="21"/>
  <c r="V18" i="21"/>
  <c r="I39" i="21"/>
  <c r="P49" i="21"/>
  <c r="P6" i="22"/>
  <c r="V11" i="22"/>
  <c r="P15" i="22"/>
  <c r="P24" i="22"/>
  <c r="P32" i="22"/>
  <c r="F38" i="22"/>
  <c r="B43" i="22"/>
  <c r="W43" i="22"/>
  <c r="V43" i="22"/>
  <c r="U43" i="22"/>
  <c r="T43" i="22"/>
  <c r="U46" i="22"/>
  <c r="F8" i="23"/>
  <c r="G8" i="23" s="1"/>
  <c r="T12" i="23"/>
  <c r="F15" i="23"/>
  <c r="U21" i="23"/>
  <c r="T21" i="23"/>
  <c r="S21" i="23"/>
  <c r="B28" i="23"/>
  <c r="V28" i="23"/>
  <c r="U31" i="23"/>
  <c r="T31" i="23"/>
  <c r="W31" i="23"/>
  <c r="V31" i="23"/>
  <c r="S31" i="23"/>
  <c r="R31" i="23"/>
  <c r="R43" i="23"/>
  <c r="X43" i="23"/>
  <c r="W43" i="23"/>
  <c r="S43" i="23"/>
  <c r="B43" i="23"/>
  <c r="P45" i="23"/>
  <c r="F9" i="24"/>
  <c r="G9" i="24" s="1"/>
  <c r="F17" i="24"/>
  <c r="G19" i="24"/>
  <c r="J23" i="24"/>
  <c r="I23" i="24"/>
  <c r="X28" i="24"/>
  <c r="W28" i="24"/>
  <c r="V28" i="24"/>
  <c r="U28" i="24"/>
  <c r="B28" i="24"/>
  <c r="T28" i="24"/>
  <c r="G30" i="24"/>
  <c r="P33" i="24"/>
  <c r="J34" i="24"/>
  <c r="I34" i="24"/>
  <c r="R38" i="24"/>
  <c r="P46" i="24"/>
  <c r="F48" i="24"/>
  <c r="V19" i="25"/>
  <c r="U19" i="25"/>
  <c r="T19" i="25"/>
  <c r="S19" i="25"/>
  <c r="B19" i="25"/>
  <c r="B6" i="26"/>
  <c r="F14" i="26"/>
  <c r="V37" i="26"/>
  <c r="R37" i="26"/>
  <c r="B37" i="26"/>
  <c r="X37" i="26"/>
  <c r="U39" i="26"/>
  <c r="F10" i="27"/>
  <c r="J19" i="27"/>
  <c r="I19" i="27"/>
  <c r="J17" i="28"/>
  <c r="I17" i="28"/>
  <c r="F21" i="28"/>
  <c r="U24" i="28"/>
  <c r="P11" i="29"/>
  <c r="Q14" i="29"/>
  <c r="P14" i="29"/>
  <c r="J30" i="30"/>
  <c r="I30" i="30"/>
  <c r="S11" i="30"/>
  <c r="X11" i="30" s="1"/>
  <c r="S10" i="30"/>
  <c r="X10" i="30" s="1"/>
  <c r="G7" i="31"/>
  <c r="S49" i="31"/>
  <c r="X49" i="31"/>
  <c r="W49" i="31"/>
  <c r="V49" i="31"/>
  <c r="U49" i="31"/>
  <c r="T49" i="31"/>
  <c r="B49" i="31"/>
  <c r="R49" i="31"/>
  <c r="J8" i="22"/>
  <c r="I8" i="22"/>
  <c r="Q20" i="22"/>
  <c r="P20" i="22"/>
  <c r="U21" i="22"/>
  <c r="T21" i="22"/>
  <c r="S21" i="22"/>
  <c r="R21" i="22"/>
  <c r="S38" i="24"/>
  <c r="T44" i="24"/>
  <c r="S44" i="24"/>
  <c r="R44" i="24"/>
  <c r="B44" i="24"/>
  <c r="J7" i="25"/>
  <c r="S15" i="25"/>
  <c r="X15" i="25" s="1"/>
  <c r="V9" i="25"/>
  <c r="W9" i="25" s="1"/>
  <c r="U9" i="25"/>
  <c r="T9" i="25"/>
  <c r="S9" i="25"/>
  <c r="B9" i="25"/>
  <c r="R17" i="25"/>
  <c r="B17" i="25"/>
  <c r="U17" i="25"/>
  <c r="T17" i="25"/>
  <c r="S17" i="25"/>
  <c r="G30" i="26"/>
  <c r="F30" i="26"/>
  <c r="J37" i="26"/>
  <c r="I37" i="26"/>
  <c r="T7" i="27"/>
  <c r="V7" i="27" s="1"/>
  <c r="W7" i="27" s="1"/>
  <c r="S7" i="27"/>
  <c r="R7" i="27"/>
  <c r="U7" i="27" s="1"/>
  <c r="B7" i="27"/>
  <c r="J25" i="27"/>
  <c r="I25" i="27"/>
  <c r="G27" i="27"/>
  <c r="F27" i="27"/>
  <c r="Q30" i="27"/>
  <c r="P30" i="27"/>
  <c r="Q6" i="28"/>
  <c r="Q50" i="28" s="1"/>
  <c r="O50" i="28"/>
  <c r="S11" i="28"/>
  <c r="X11" i="28" s="1"/>
  <c r="R11" i="28"/>
  <c r="U11" i="28"/>
  <c r="B22" i="28"/>
  <c r="V22" i="28"/>
  <c r="U22" i="28"/>
  <c r="T22" i="28"/>
  <c r="S22" i="28"/>
  <c r="G18" i="29"/>
  <c r="F18" i="29"/>
  <c r="I49" i="31"/>
  <c r="J49" i="31"/>
  <c r="X21" i="20"/>
  <c r="X28" i="20"/>
  <c r="X41" i="20"/>
  <c r="U47" i="20"/>
  <c r="R47" i="20"/>
  <c r="W12" i="21"/>
  <c r="X18" i="21"/>
  <c r="P22" i="21"/>
  <c r="F27" i="21"/>
  <c r="W30" i="21"/>
  <c r="T30" i="21"/>
  <c r="P34" i="21"/>
  <c r="W40" i="21"/>
  <c r="V40" i="21"/>
  <c r="U40" i="21"/>
  <c r="T40" i="21"/>
  <c r="R6" i="22"/>
  <c r="U6" i="22" s="1"/>
  <c r="R15" i="22"/>
  <c r="U29" i="22"/>
  <c r="S29" i="22"/>
  <c r="R29" i="22"/>
  <c r="F35" i="22"/>
  <c r="P45" i="22"/>
  <c r="I48" i="22"/>
  <c r="R5" i="23"/>
  <c r="F11" i="23"/>
  <c r="F42" i="23"/>
  <c r="Q22" i="24"/>
  <c r="J44" i="24"/>
  <c r="I44" i="24"/>
  <c r="I9" i="25"/>
  <c r="J9" i="25"/>
  <c r="J17" i="25"/>
  <c r="I17" i="25"/>
  <c r="B20" i="25"/>
  <c r="P40" i="25"/>
  <c r="T48" i="25"/>
  <c r="S48" i="25"/>
  <c r="R48" i="25"/>
  <c r="V48" i="25"/>
  <c r="U48" i="25"/>
  <c r="X48" i="25"/>
  <c r="R39" i="26"/>
  <c r="W39" i="26"/>
  <c r="X39" i="26"/>
  <c r="S39" i="26"/>
  <c r="Q10" i="27"/>
  <c r="P10" i="27"/>
  <c r="G20" i="27"/>
  <c r="F20" i="27"/>
  <c r="J21" i="27"/>
  <c r="I21" i="27"/>
  <c r="J11" i="28"/>
  <c r="I11" i="28"/>
  <c r="S24" i="28"/>
  <c r="R24" i="28"/>
  <c r="B24" i="28"/>
  <c r="W24" i="28"/>
  <c r="X24" i="28"/>
  <c r="J45" i="28"/>
  <c r="I45" i="28"/>
  <c r="J46" i="21"/>
  <c r="I46" i="21"/>
  <c r="S6" i="22"/>
  <c r="X6" i="22" s="1"/>
  <c r="Q10" i="22"/>
  <c r="P10" i="22"/>
  <c r="U11" i="22"/>
  <c r="T11" i="22"/>
  <c r="S11" i="22"/>
  <c r="R11" i="22"/>
  <c r="S15" i="22"/>
  <c r="R28" i="22"/>
  <c r="B46" i="22"/>
  <c r="X46" i="22"/>
  <c r="S5" i="23"/>
  <c r="X5" i="23" s="1"/>
  <c r="W12" i="23"/>
  <c r="V12" i="23"/>
  <c r="S12" i="23"/>
  <c r="R12" i="23"/>
  <c r="R16" i="23"/>
  <c r="X38" i="24"/>
  <c r="W38" i="24"/>
  <c r="V38" i="24"/>
  <c r="U38" i="24"/>
  <c r="E50" i="25"/>
  <c r="J48" i="25"/>
  <c r="I48" i="25"/>
  <c r="G5" i="26"/>
  <c r="G17" i="26"/>
  <c r="F17" i="26"/>
  <c r="T20" i="26"/>
  <c r="S20" i="26"/>
  <c r="R20" i="26"/>
  <c r="B20" i="26"/>
  <c r="P22" i="26"/>
  <c r="V5" i="27"/>
  <c r="S5" i="27"/>
  <c r="X5" i="27" s="1"/>
  <c r="T5" i="27"/>
  <c r="R5" i="27"/>
  <c r="U5" i="27" s="1"/>
  <c r="B5" i="27"/>
  <c r="J47" i="28"/>
  <c r="I47" i="28"/>
  <c r="S8" i="29"/>
  <c r="X8" i="29" s="1"/>
  <c r="R8" i="29"/>
  <c r="B8" i="29"/>
  <c r="B14" i="29"/>
  <c r="V14" i="29"/>
  <c r="U14" i="29"/>
  <c r="T14" i="29"/>
  <c r="S14" i="29"/>
  <c r="X14" i="29"/>
  <c r="P26" i="29"/>
  <c r="W10" i="30"/>
  <c r="G31" i="30"/>
  <c r="U36" i="30"/>
  <c r="B36" i="30"/>
  <c r="W36" i="30"/>
  <c r="X36" i="30"/>
  <c r="V36" i="30"/>
  <c r="T36" i="30"/>
  <c r="S36" i="30"/>
  <c r="R36" i="30"/>
  <c r="F47" i="30"/>
  <c r="P44" i="31"/>
  <c r="Q44" i="31"/>
  <c r="G37" i="33"/>
  <c r="F37" i="33"/>
  <c r="W22" i="23"/>
  <c r="V22" i="23"/>
  <c r="X18" i="24"/>
  <c r="W18" i="24"/>
  <c r="V18" i="24"/>
  <c r="U18" i="24"/>
  <c r="T18" i="24"/>
  <c r="R18" i="24"/>
  <c r="U34" i="24"/>
  <c r="J6" i="25"/>
  <c r="I6" i="25"/>
  <c r="R13" i="25"/>
  <c r="U13" i="25" s="1"/>
  <c r="G47" i="26"/>
  <c r="F47" i="26"/>
  <c r="W10" i="27"/>
  <c r="V10" i="27"/>
  <c r="U10" i="27"/>
  <c r="T10" i="27"/>
  <c r="B10" i="27"/>
  <c r="X10" i="27"/>
  <c r="Q28" i="27"/>
  <c r="P28" i="27"/>
  <c r="Q43" i="27"/>
  <c r="P43" i="27"/>
  <c r="J44" i="28"/>
  <c r="I44" i="28"/>
  <c r="S29" i="29"/>
  <c r="R29" i="29"/>
  <c r="W29" i="29"/>
  <c r="V29" i="29"/>
  <c r="U29" i="29"/>
  <c r="T29" i="29"/>
  <c r="B29" i="29"/>
  <c r="X29" i="29"/>
  <c r="B22" i="30"/>
  <c r="V22" i="30"/>
  <c r="U22" i="30"/>
  <c r="T22" i="30"/>
  <c r="S22" i="30"/>
  <c r="X22" i="30"/>
  <c r="W22" i="30"/>
  <c r="R22" i="30"/>
  <c r="B43" i="30"/>
  <c r="W43" i="30"/>
  <c r="V43" i="30"/>
  <c r="U43" i="30"/>
  <c r="T43" i="30"/>
  <c r="S43" i="30"/>
  <c r="J48" i="30"/>
  <c r="I48" i="30"/>
  <c r="Q32" i="31"/>
  <c r="P32" i="31"/>
  <c r="I39" i="31"/>
  <c r="J39" i="31"/>
  <c r="Q49" i="31"/>
  <c r="P49" i="31"/>
  <c r="B12" i="24"/>
  <c r="Q17" i="24"/>
  <c r="P17" i="24"/>
  <c r="G23" i="24"/>
  <c r="F23" i="24"/>
  <c r="U10" i="25"/>
  <c r="R10" i="25"/>
  <c r="T10" i="25"/>
  <c r="V10" i="25" s="1"/>
  <c r="W10" i="25" s="1"/>
  <c r="S10" i="25"/>
  <c r="X10" i="25" s="1"/>
  <c r="G17" i="25"/>
  <c r="F17" i="25"/>
  <c r="J17" i="26"/>
  <c r="I17" i="26"/>
  <c r="G27" i="26"/>
  <c r="F27" i="26"/>
  <c r="J35" i="27"/>
  <c r="I35" i="27"/>
  <c r="T5" i="28"/>
  <c r="V5" i="28" s="1"/>
  <c r="R5" i="28"/>
  <c r="U5" i="28" s="1"/>
  <c r="S5" i="28"/>
  <c r="X5" i="28" s="1"/>
  <c r="B5" i="28"/>
  <c r="B9" i="28"/>
  <c r="U9" i="28"/>
  <c r="G14" i="28"/>
  <c r="F14" i="28"/>
  <c r="G25" i="28"/>
  <c r="F25" i="28"/>
  <c r="J9" i="29"/>
  <c r="I9" i="29"/>
  <c r="R6" i="29"/>
  <c r="U6" i="29" s="1"/>
  <c r="Q15" i="29"/>
  <c r="P15" i="29"/>
  <c r="Q34" i="30"/>
  <c r="P34" i="30"/>
  <c r="W42" i="32"/>
  <c r="U42" i="32"/>
  <c r="S42" i="32"/>
  <c r="B42" i="32"/>
  <c r="V42" i="32"/>
  <c r="R42" i="32"/>
  <c r="X42" i="32"/>
  <c r="T42" i="32"/>
  <c r="S38" i="22"/>
  <c r="R38" i="22"/>
  <c r="W20" i="23"/>
  <c r="B22" i="23"/>
  <c r="B49" i="23"/>
  <c r="X49" i="23"/>
  <c r="W17" i="24"/>
  <c r="B13" i="25"/>
  <c r="X13" i="25"/>
  <c r="G29" i="26"/>
  <c r="F29" i="26"/>
  <c r="J30" i="26"/>
  <c r="I30" i="26"/>
  <c r="O50" i="27"/>
  <c r="P5" i="27"/>
  <c r="Q9" i="27"/>
  <c r="P9" i="27"/>
  <c r="J12" i="27"/>
  <c r="I12" i="27"/>
  <c r="U14" i="27"/>
  <c r="T14" i="27"/>
  <c r="S14" i="27"/>
  <c r="B14" i="27"/>
  <c r="P37" i="27"/>
  <c r="Q37" i="27"/>
  <c r="Q31" i="28"/>
  <c r="P31" i="28"/>
  <c r="Q37" i="28"/>
  <c r="P37" i="28"/>
  <c r="F10" i="29"/>
  <c r="G10" i="29" s="1"/>
  <c r="X20" i="30"/>
  <c r="B20" i="30"/>
  <c r="W20" i="30"/>
  <c r="U20" i="30"/>
  <c r="T20" i="30"/>
  <c r="S20" i="30"/>
  <c r="R20" i="30"/>
  <c r="V20" i="30"/>
  <c r="J5" i="31"/>
  <c r="I5" i="31"/>
  <c r="S9" i="31"/>
  <c r="X9" i="31" s="1"/>
  <c r="R5" i="31"/>
  <c r="U5" i="31" s="1"/>
  <c r="T12" i="31"/>
  <c r="V12" i="31" s="1"/>
  <c r="W12" i="31" s="1"/>
  <c r="S12" i="31"/>
  <c r="X12" i="31" s="1"/>
  <c r="T10" i="31"/>
  <c r="R12" i="31"/>
  <c r="U12" i="31" s="1"/>
  <c r="S10" i="31"/>
  <c r="X10" i="31" s="1"/>
  <c r="R10" i="31"/>
  <c r="U10" i="31" s="1"/>
  <c r="T6" i="31"/>
  <c r="V6" i="31" s="1"/>
  <c r="W6" i="31" s="1"/>
  <c r="S6" i="31"/>
  <c r="X6" i="31" s="1"/>
  <c r="T5" i="31"/>
  <c r="S5" i="31"/>
  <c r="T9" i="31"/>
  <c r="V9" i="31" s="1"/>
  <c r="W9" i="31" s="1"/>
  <c r="R9" i="31"/>
  <c r="U9" i="31" s="1"/>
  <c r="J40" i="31"/>
  <c r="I40" i="31"/>
  <c r="U47" i="31"/>
  <c r="T47" i="31"/>
  <c r="S47" i="31"/>
  <c r="R47" i="31"/>
  <c r="B47" i="31"/>
  <c r="I5" i="23"/>
  <c r="W32" i="23"/>
  <c r="V32" i="23"/>
  <c r="X8" i="24"/>
  <c r="W8" i="24"/>
  <c r="V8" i="24"/>
  <c r="U8" i="24"/>
  <c r="G13" i="24"/>
  <c r="F13" i="24"/>
  <c r="B31" i="24"/>
  <c r="S31" i="24"/>
  <c r="R31" i="24"/>
  <c r="J43" i="24"/>
  <c r="I43" i="24"/>
  <c r="V11" i="25"/>
  <c r="W11" i="25" s="1"/>
  <c r="R12" i="25"/>
  <c r="U12" i="25" s="1"/>
  <c r="J13" i="25"/>
  <c r="I13" i="25"/>
  <c r="R37" i="25"/>
  <c r="B37" i="25"/>
  <c r="V39" i="25"/>
  <c r="U39" i="25"/>
  <c r="T39" i="25"/>
  <c r="S39" i="25"/>
  <c r="X39" i="25"/>
  <c r="V45" i="25"/>
  <c r="T45" i="25"/>
  <c r="S45" i="25"/>
  <c r="R45" i="25"/>
  <c r="O50" i="26"/>
  <c r="F7" i="26"/>
  <c r="G7" i="26" s="1"/>
  <c r="T10" i="26"/>
  <c r="S10" i="26"/>
  <c r="R10" i="26"/>
  <c r="B10" i="26"/>
  <c r="G40" i="26"/>
  <c r="F40" i="26"/>
  <c r="U20" i="27"/>
  <c r="T20" i="27"/>
  <c r="S20" i="27"/>
  <c r="R20" i="27"/>
  <c r="V20" i="27"/>
  <c r="S33" i="27"/>
  <c r="R33" i="27"/>
  <c r="B33" i="27"/>
  <c r="U33" i="27"/>
  <c r="V6" i="28"/>
  <c r="W6" i="28" s="1"/>
  <c r="S7" i="28"/>
  <c r="X7" i="28"/>
  <c r="W7" i="28"/>
  <c r="V7" i="28"/>
  <c r="B7" i="28"/>
  <c r="B12" i="28"/>
  <c r="T12" i="28"/>
  <c r="V12" i="28" s="1"/>
  <c r="W12" i="28" s="1"/>
  <c r="S12" i="28"/>
  <c r="X12" i="28" s="1"/>
  <c r="J18" i="28"/>
  <c r="I18" i="28"/>
  <c r="Q20" i="28"/>
  <c r="P20" i="28"/>
  <c r="Q5" i="29"/>
  <c r="P5" i="29"/>
  <c r="P45" i="29"/>
  <c r="G41" i="31"/>
  <c r="F41" i="31"/>
  <c r="P47" i="21"/>
  <c r="P9" i="22"/>
  <c r="P35" i="22"/>
  <c r="F46" i="22"/>
  <c r="J17" i="23"/>
  <c r="S20" i="23"/>
  <c r="R20" i="23"/>
  <c r="F22" i="23"/>
  <c r="P40" i="23"/>
  <c r="F43" i="23"/>
  <c r="V17" i="24"/>
  <c r="U17" i="24"/>
  <c r="T17" i="24"/>
  <c r="S17" i="24"/>
  <c r="R45" i="24"/>
  <c r="X45" i="24"/>
  <c r="W45" i="24"/>
  <c r="V45" i="24"/>
  <c r="U45" i="24"/>
  <c r="S45" i="24"/>
  <c r="B5" i="25"/>
  <c r="F11" i="25"/>
  <c r="G11" i="25" s="1"/>
  <c r="S12" i="25"/>
  <c r="X12" i="25" s="1"/>
  <c r="G14" i="25"/>
  <c r="J45" i="25"/>
  <c r="I45" i="25"/>
  <c r="P5" i="26"/>
  <c r="F9" i="26"/>
  <c r="G9" i="26" s="1"/>
  <c r="J10" i="26"/>
  <c r="I10" i="26"/>
  <c r="X32" i="26"/>
  <c r="W32" i="26"/>
  <c r="V32" i="26"/>
  <c r="U32" i="26"/>
  <c r="R32" i="26"/>
  <c r="B32" i="26"/>
  <c r="V47" i="26"/>
  <c r="R47" i="26"/>
  <c r="B47" i="26"/>
  <c r="F42" i="27"/>
  <c r="F6" i="28"/>
  <c r="G6" i="28" s="1"/>
  <c r="B35" i="28"/>
  <c r="R35" i="28"/>
  <c r="S35" i="28"/>
  <c r="B22" i="29"/>
  <c r="V22" i="29"/>
  <c r="U22" i="29"/>
  <c r="T22" i="29"/>
  <c r="S22" i="29"/>
  <c r="R22" i="29"/>
  <c r="W22" i="29"/>
  <c r="Q43" i="29"/>
  <c r="P43" i="29"/>
  <c r="B34" i="31"/>
  <c r="R34" i="31"/>
  <c r="W34" i="31"/>
  <c r="T34" i="31"/>
  <c r="S34" i="31"/>
  <c r="V34" i="31"/>
  <c r="F41" i="32"/>
  <c r="G41" i="32"/>
  <c r="Q47" i="22"/>
  <c r="P47" i="22"/>
  <c r="U49" i="22"/>
  <c r="T49" i="22"/>
  <c r="O50" i="23"/>
  <c r="J5" i="25"/>
  <c r="I5" i="25"/>
  <c r="T11" i="25"/>
  <c r="T7" i="25"/>
  <c r="S7" i="25"/>
  <c r="X7" i="25" s="1"/>
  <c r="T12" i="25"/>
  <c r="T28" i="25"/>
  <c r="S28" i="25"/>
  <c r="R28" i="25"/>
  <c r="V28" i="25"/>
  <c r="U28" i="25"/>
  <c r="Q5" i="26"/>
  <c r="Q50" i="26" s="1"/>
  <c r="J47" i="26"/>
  <c r="I47" i="26"/>
  <c r="Q7" i="27"/>
  <c r="Q50" i="27" s="1"/>
  <c r="T30" i="27"/>
  <c r="S30" i="27"/>
  <c r="R30" i="27"/>
  <c r="U40" i="27"/>
  <c r="T40" i="27"/>
  <c r="S40" i="27"/>
  <c r="R40" i="27"/>
  <c r="W40" i="27"/>
  <c r="V40" i="27"/>
  <c r="P39" i="28"/>
  <c r="B45" i="28"/>
  <c r="T45" i="28"/>
  <c r="S45" i="28"/>
  <c r="R45" i="28"/>
  <c r="W45" i="28"/>
  <c r="U5" i="29"/>
  <c r="T5" i="29"/>
  <c r="V5" i="29" s="1"/>
  <c r="R5" i="29"/>
  <c r="S5" i="29"/>
  <c r="X5" i="29" s="1"/>
  <c r="B5" i="29"/>
  <c r="B7" i="29"/>
  <c r="J22" i="29"/>
  <c r="I22" i="29"/>
  <c r="J21" i="31"/>
  <c r="I21" i="31"/>
  <c r="I34" i="31"/>
  <c r="J34" i="31"/>
  <c r="F37" i="31"/>
  <c r="Q25" i="32"/>
  <c r="P25" i="32"/>
  <c r="J13" i="28"/>
  <c r="I13" i="28"/>
  <c r="Q18" i="28"/>
  <c r="P18" i="28"/>
  <c r="G41" i="28"/>
  <c r="F41" i="28"/>
  <c r="U9" i="29"/>
  <c r="T9" i="29"/>
  <c r="S9" i="29"/>
  <c r="X9" i="29" s="1"/>
  <c r="R9" i="29"/>
  <c r="V9" i="29"/>
  <c r="W9" i="29" s="1"/>
  <c r="B9" i="29"/>
  <c r="T11" i="30"/>
  <c r="V11" i="30" s="1"/>
  <c r="W11" i="30" s="1"/>
  <c r="B33" i="33"/>
  <c r="U33" i="33"/>
  <c r="S33" i="33"/>
  <c r="R33" i="33"/>
  <c r="T33" i="33"/>
  <c r="V33" i="33"/>
  <c r="X33" i="33"/>
  <c r="W33" i="33"/>
  <c r="E50" i="33"/>
  <c r="G5" i="33"/>
  <c r="F5" i="33"/>
  <c r="V5" i="33"/>
  <c r="T8" i="33"/>
  <c r="V8" i="33" s="1"/>
  <c r="W8" i="33" s="1"/>
  <c r="F21" i="33"/>
  <c r="G21" i="33"/>
  <c r="T44" i="23"/>
  <c r="S44" i="23"/>
  <c r="R44" i="23"/>
  <c r="T46" i="24"/>
  <c r="S46" i="24"/>
  <c r="R46" i="24"/>
  <c r="I20" i="27"/>
  <c r="J20" i="27"/>
  <c r="S23" i="27"/>
  <c r="R23" i="27"/>
  <c r="B23" i="27"/>
  <c r="V23" i="27"/>
  <c r="W25" i="27"/>
  <c r="V25" i="27"/>
  <c r="U25" i="27"/>
  <c r="X25" i="27"/>
  <c r="T25" i="27"/>
  <c r="S25" i="27"/>
  <c r="R25" i="27"/>
  <c r="B25" i="27"/>
  <c r="Q14" i="28"/>
  <c r="P14" i="28"/>
  <c r="T7" i="29"/>
  <c r="V7" i="29" s="1"/>
  <c r="W7" i="29" s="1"/>
  <c r="G28" i="29"/>
  <c r="F28" i="29"/>
  <c r="B6" i="32"/>
  <c r="R6" i="32"/>
  <c r="V6" i="32"/>
  <c r="W6" i="32" s="1"/>
  <c r="U6" i="32"/>
  <c r="T6" i="32"/>
  <c r="S6" i="32"/>
  <c r="X6" i="32" s="1"/>
  <c r="J10" i="32"/>
  <c r="I10" i="32"/>
  <c r="I12" i="32"/>
  <c r="J9" i="32"/>
  <c r="T6" i="24"/>
  <c r="V6" i="24" s="1"/>
  <c r="W6" i="24" s="1"/>
  <c r="S6" i="24"/>
  <c r="X6" i="24" s="1"/>
  <c r="R6" i="24"/>
  <c r="U6" i="24" s="1"/>
  <c r="B26" i="25"/>
  <c r="X26" i="25"/>
  <c r="B36" i="25"/>
  <c r="X36" i="25"/>
  <c r="B46" i="25"/>
  <c r="X46" i="25"/>
  <c r="V8" i="26"/>
  <c r="V18" i="26"/>
  <c r="V28" i="26"/>
  <c r="V38" i="26"/>
  <c r="J8" i="27"/>
  <c r="I8" i="27"/>
  <c r="S13" i="27"/>
  <c r="R13" i="27"/>
  <c r="B13" i="27"/>
  <c r="W13" i="27"/>
  <c r="V29" i="27"/>
  <c r="V34" i="27"/>
  <c r="V8" i="28"/>
  <c r="W8" i="28" s="1"/>
  <c r="V41" i="28"/>
  <c r="J31" i="29"/>
  <c r="I31" i="29"/>
  <c r="W37" i="30"/>
  <c r="B37" i="30"/>
  <c r="T37" i="30"/>
  <c r="S37" i="30"/>
  <c r="R37" i="30"/>
  <c r="U37" i="30"/>
  <c r="Q42" i="30"/>
  <c r="P42" i="30"/>
  <c r="J22" i="32"/>
  <c r="I22" i="32"/>
  <c r="F38" i="24"/>
  <c r="P48" i="24"/>
  <c r="G5" i="25"/>
  <c r="F5" i="25"/>
  <c r="F9" i="25"/>
  <c r="G9" i="25" s="1"/>
  <c r="F20" i="25"/>
  <c r="J26" i="25"/>
  <c r="I26" i="25"/>
  <c r="P28" i="25"/>
  <c r="J36" i="25"/>
  <c r="I36" i="25"/>
  <c r="P38" i="25"/>
  <c r="J46" i="25"/>
  <c r="I46" i="25"/>
  <c r="P48" i="25"/>
  <c r="V11" i="26"/>
  <c r="U11" i="26"/>
  <c r="T11" i="26"/>
  <c r="S11" i="26"/>
  <c r="B15" i="26"/>
  <c r="X15" i="26"/>
  <c r="W15" i="26"/>
  <c r="R15" i="26"/>
  <c r="V21" i="26"/>
  <c r="U21" i="26"/>
  <c r="T21" i="26"/>
  <c r="S21" i="26"/>
  <c r="B25" i="26"/>
  <c r="X25" i="26"/>
  <c r="W25" i="26"/>
  <c r="R25" i="26"/>
  <c r="V31" i="26"/>
  <c r="U31" i="26"/>
  <c r="T31" i="26"/>
  <c r="S31" i="26"/>
  <c r="B35" i="26"/>
  <c r="X35" i="26"/>
  <c r="W35" i="26"/>
  <c r="R35" i="26"/>
  <c r="V41" i="26"/>
  <c r="U41" i="26"/>
  <c r="T41" i="26"/>
  <c r="S41" i="26"/>
  <c r="P43" i="26"/>
  <c r="B45" i="26"/>
  <c r="X45" i="26"/>
  <c r="W45" i="26"/>
  <c r="R45" i="26"/>
  <c r="G21" i="27"/>
  <c r="S31" i="27"/>
  <c r="W34" i="27"/>
  <c r="W47" i="27"/>
  <c r="B47" i="27"/>
  <c r="X47" i="27"/>
  <c r="E50" i="28"/>
  <c r="G5" i="28"/>
  <c r="W41" i="28"/>
  <c r="X49" i="28"/>
  <c r="W49" i="28"/>
  <c r="V49" i="28"/>
  <c r="B49" i="28"/>
  <c r="T49" i="28"/>
  <c r="S49" i="28"/>
  <c r="Q10" i="29"/>
  <c r="P10" i="29"/>
  <c r="T24" i="29"/>
  <c r="R24" i="29"/>
  <c r="B24" i="29"/>
  <c r="X24" i="29"/>
  <c r="W24" i="29"/>
  <c r="J37" i="30"/>
  <c r="I37" i="30"/>
  <c r="I13" i="32"/>
  <c r="J13" i="32"/>
  <c r="S8" i="32"/>
  <c r="X8" i="32" s="1"/>
  <c r="S14" i="32"/>
  <c r="X14" i="32" s="1"/>
  <c r="G41" i="23"/>
  <c r="F41" i="23"/>
  <c r="V27" i="24"/>
  <c r="U27" i="24"/>
  <c r="T27" i="24"/>
  <c r="S27" i="24"/>
  <c r="G43" i="24"/>
  <c r="F43" i="24"/>
  <c r="V12" i="25"/>
  <c r="W12" i="25" s="1"/>
  <c r="J15" i="25"/>
  <c r="I15" i="25"/>
  <c r="B5" i="26"/>
  <c r="X5" i="26"/>
  <c r="R5" i="26"/>
  <c r="U5" i="26" s="1"/>
  <c r="B8" i="26"/>
  <c r="X8" i="26"/>
  <c r="B18" i="26"/>
  <c r="X18" i="26"/>
  <c r="B28" i="26"/>
  <c r="X28" i="26"/>
  <c r="B38" i="26"/>
  <c r="X38" i="26"/>
  <c r="F9" i="27"/>
  <c r="F50" i="27" s="1"/>
  <c r="G9" i="27"/>
  <c r="B29" i="27"/>
  <c r="W29" i="27"/>
  <c r="J41" i="27"/>
  <c r="I41" i="27"/>
  <c r="Q17" i="29"/>
  <c r="P17" i="29"/>
  <c r="G32" i="29"/>
  <c r="F32" i="29"/>
  <c r="I15" i="32"/>
  <c r="J15" i="32"/>
  <c r="P26" i="24"/>
  <c r="T36" i="24"/>
  <c r="S36" i="24"/>
  <c r="R36" i="24"/>
  <c r="R7" i="25"/>
  <c r="U7" i="25" s="1"/>
  <c r="F12" i="25"/>
  <c r="G12" i="25" s="1"/>
  <c r="G27" i="25"/>
  <c r="F27" i="25"/>
  <c r="F30" i="25"/>
  <c r="G37" i="25"/>
  <c r="F37" i="25"/>
  <c r="F40" i="25"/>
  <c r="G47" i="25"/>
  <c r="F47" i="25"/>
  <c r="T6" i="26"/>
  <c r="V6" i="26" s="1"/>
  <c r="W6" i="26" s="1"/>
  <c r="J8" i="26"/>
  <c r="I8" i="26"/>
  <c r="P10" i="26"/>
  <c r="J18" i="26"/>
  <c r="I18" i="26"/>
  <c r="P20" i="26"/>
  <c r="J28" i="26"/>
  <c r="I28" i="26"/>
  <c r="P30" i="26"/>
  <c r="J38" i="26"/>
  <c r="I38" i="26"/>
  <c r="I48" i="26"/>
  <c r="J48" i="26"/>
  <c r="J29" i="27"/>
  <c r="I29" i="27"/>
  <c r="X31" i="27"/>
  <c r="W31" i="27"/>
  <c r="V31" i="27"/>
  <c r="U31" i="27"/>
  <c r="R31" i="27"/>
  <c r="U34" i="27"/>
  <c r="T34" i="27"/>
  <c r="S34" i="27"/>
  <c r="B34" i="27"/>
  <c r="B8" i="28"/>
  <c r="T8" i="28"/>
  <c r="S8" i="28"/>
  <c r="X8" i="28" s="1"/>
  <c r="R8" i="28"/>
  <c r="U8" i="28" s="1"/>
  <c r="J10" i="28"/>
  <c r="I10" i="28"/>
  <c r="S41" i="28"/>
  <c r="R41" i="28"/>
  <c r="V10" i="29"/>
  <c r="W10" i="29" s="1"/>
  <c r="U10" i="29"/>
  <c r="T10" i="29"/>
  <c r="S10" i="29"/>
  <c r="X10" i="29" s="1"/>
  <c r="W7" i="30"/>
  <c r="F9" i="30"/>
  <c r="G9" i="30" s="1"/>
  <c r="B30" i="30"/>
  <c r="S30" i="30"/>
  <c r="R30" i="30"/>
  <c r="X30" i="30"/>
  <c r="W30" i="30"/>
  <c r="V30" i="30"/>
  <c r="U30" i="30"/>
  <c r="T30" i="30"/>
  <c r="X5" i="31"/>
  <c r="F47" i="31"/>
  <c r="G47" i="31"/>
  <c r="J7" i="32"/>
  <c r="G10" i="32"/>
  <c r="S43" i="27"/>
  <c r="R43" i="27"/>
  <c r="Q12" i="28"/>
  <c r="P12" i="28"/>
  <c r="B21" i="28"/>
  <c r="X21" i="28"/>
  <c r="W21" i="28"/>
  <c r="I24" i="28"/>
  <c r="J24" i="28"/>
  <c r="Q26" i="28"/>
  <c r="P26" i="28"/>
  <c r="J35" i="28"/>
  <c r="I35" i="28"/>
  <c r="T47" i="28"/>
  <c r="S47" i="28"/>
  <c r="R47" i="28"/>
  <c r="W47" i="28"/>
  <c r="V47" i="28"/>
  <c r="U47" i="28"/>
  <c r="J8" i="30"/>
  <c r="I8" i="30"/>
  <c r="T10" i="30"/>
  <c r="J26" i="30"/>
  <c r="I26" i="30"/>
  <c r="I23" i="32"/>
  <c r="J23" i="32"/>
  <c r="G30" i="27"/>
  <c r="F30" i="27"/>
  <c r="B38" i="27"/>
  <c r="X38" i="27"/>
  <c r="X34" i="28"/>
  <c r="X27" i="29"/>
  <c r="V27" i="29"/>
  <c r="B27" i="29"/>
  <c r="U40" i="29"/>
  <c r="T40" i="29"/>
  <c r="S40" i="29"/>
  <c r="R40" i="29"/>
  <c r="S17" i="30"/>
  <c r="J21" i="30"/>
  <c r="I21" i="30"/>
  <c r="S25" i="30"/>
  <c r="V25" i="30"/>
  <c r="U25" i="30"/>
  <c r="T25" i="30"/>
  <c r="X6" i="28"/>
  <c r="Q42" i="28"/>
  <c r="P42" i="28"/>
  <c r="G23" i="29"/>
  <c r="F23" i="29"/>
  <c r="V32" i="29"/>
  <c r="U32" i="29"/>
  <c r="T32" i="29"/>
  <c r="S32" i="29"/>
  <c r="R32" i="29"/>
  <c r="X37" i="29"/>
  <c r="V37" i="29"/>
  <c r="B37" i="29"/>
  <c r="G22" i="30"/>
  <c r="F22" i="30"/>
  <c r="J25" i="30"/>
  <c r="I25" i="30"/>
  <c r="I27" i="31"/>
  <c r="J27" i="31"/>
  <c r="W29" i="31"/>
  <c r="S29" i="31"/>
  <c r="R29" i="31"/>
  <c r="B29" i="31"/>
  <c r="V29" i="31"/>
  <c r="F21" i="32"/>
  <c r="G43" i="32"/>
  <c r="F43" i="32"/>
  <c r="B11" i="31"/>
  <c r="U11" i="31"/>
  <c r="T11" i="31"/>
  <c r="V11" i="31" s="1"/>
  <c r="W11" i="31" s="1"/>
  <c r="S11" i="31"/>
  <c r="X11" i="31" s="1"/>
  <c r="R11" i="31"/>
  <c r="W23" i="31"/>
  <c r="V23" i="31"/>
  <c r="U23" i="31"/>
  <c r="T23" i="31"/>
  <c r="S23" i="31"/>
  <c r="R23" i="31"/>
  <c r="B23" i="31"/>
  <c r="I29" i="31"/>
  <c r="J29" i="31"/>
  <c r="V17" i="30"/>
  <c r="U17" i="30"/>
  <c r="T17" i="30"/>
  <c r="R17" i="30"/>
  <c r="B17" i="30"/>
  <c r="J33" i="30"/>
  <c r="I33" i="30"/>
  <c r="S7" i="31"/>
  <c r="X7" i="31" s="1"/>
  <c r="T7" i="31"/>
  <c r="V7" i="31" s="1"/>
  <c r="W7" i="31" s="1"/>
  <c r="R7" i="31"/>
  <c r="U7" i="31" s="1"/>
  <c r="B7" i="31"/>
  <c r="J16" i="31"/>
  <c r="I16" i="31"/>
  <c r="J23" i="31"/>
  <c r="I23" i="31"/>
  <c r="F25" i="31"/>
  <c r="P33" i="31"/>
  <c r="B11" i="32"/>
  <c r="S11" i="32"/>
  <c r="X11" i="32" s="1"/>
  <c r="R11" i="32"/>
  <c r="U11" i="32" s="1"/>
  <c r="T11" i="32"/>
  <c r="V11" i="32" s="1"/>
  <c r="W11" i="32" s="1"/>
  <c r="P33" i="32"/>
  <c r="U47" i="32"/>
  <c r="B47" i="32"/>
  <c r="S47" i="32"/>
  <c r="R47" i="32"/>
  <c r="W47" i="32"/>
  <c r="V47" i="32"/>
  <c r="T47" i="32"/>
  <c r="S5" i="33"/>
  <c r="X5" i="33" s="1"/>
  <c r="B43" i="27"/>
  <c r="J9" i="28"/>
  <c r="I9" i="28"/>
  <c r="W29" i="28"/>
  <c r="V29" i="28"/>
  <c r="R36" i="28"/>
  <c r="T36" i="28"/>
  <c r="S36" i="28"/>
  <c r="R46" i="28"/>
  <c r="B46" i="28"/>
  <c r="R5" i="30"/>
  <c r="U5" i="30" s="1"/>
  <c r="T5" i="30"/>
  <c r="V5" i="30" s="1"/>
  <c r="S5" i="30"/>
  <c r="X5" i="30" s="1"/>
  <c r="B5" i="30"/>
  <c r="S7" i="30"/>
  <c r="X7" i="30" s="1"/>
  <c r="J17" i="30"/>
  <c r="I17" i="30"/>
  <c r="F32" i="30"/>
  <c r="P44" i="30"/>
  <c r="S45" i="30"/>
  <c r="B45" i="30"/>
  <c r="R45" i="30"/>
  <c r="I7" i="31"/>
  <c r="J7" i="31"/>
  <c r="P26" i="31"/>
  <c r="G30" i="31"/>
  <c r="F30" i="31"/>
  <c r="F32" i="31"/>
  <c r="P21" i="32"/>
  <c r="I47" i="32"/>
  <c r="J47" i="32"/>
  <c r="I34" i="27"/>
  <c r="J23" i="28"/>
  <c r="I23" i="28"/>
  <c r="J29" i="28"/>
  <c r="I29" i="28"/>
  <c r="X39" i="28"/>
  <c r="W39" i="28"/>
  <c r="V39" i="28"/>
  <c r="B39" i="28"/>
  <c r="B42" i="28"/>
  <c r="V42" i="28"/>
  <c r="U42" i="28"/>
  <c r="T42" i="28"/>
  <c r="S42" i="28"/>
  <c r="J46" i="28"/>
  <c r="I46" i="28"/>
  <c r="R7" i="29"/>
  <c r="U7" i="29" s="1"/>
  <c r="B13" i="29"/>
  <c r="S13" i="29"/>
  <c r="R13" i="29"/>
  <c r="X16" i="29"/>
  <c r="B16" i="29"/>
  <c r="T34" i="29"/>
  <c r="R34" i="29"/>
  <c r="B34" i="29"/>
  <c r="F38" i="29"/>
  <c r="Q41" i="29"/>
  <c r="P41" i="29"/>
  <c r="J5" i="30"/>
  <c r="T9" i="30"/>
  <c r="S9" i="30"/>
  <c r="R9" i="30"/>
  <c r="U9" i="30" s="1"/>
  <c r="I5" i="30"/>
  <c r="R11" i="30"/>
  <c r="U11" i="30" s="1"/>
  <c r="V14" i="30"/>
  <c r="U14" i="30"/>
  <c r="T14" i="30"/>
  <c r="S14" i="30"/>
  <c r="B14" i="30"/>
  <c r="P19" i="30"/>
  <c r="J45" i="30"/>
  <c r="I45" i="30"/>
  <c r="T10" i="32"/>
  <c r="V10" i="32" s="1"/>
  <c r="W10" i="32" s="1"/>
  <c r="F40" i="23"/>
  <c r="F12" i="24"/>
  <c r="G12" i="24" s="1"/>
  <c r="F22" i="24"/>
  <c r="F32" i="24"/>
  <c r="F42" i="24"/>
  <c r="F14" i="25"/>
  <c r="F24" i="25"/>
  <c r="F34" i="25"/>
  <c r="F44" i="25"/>
  <c r="F6" i="26"/>
  <c r="F50" i="26" s="1"/>
  <c r="F16" i="26"/>
  <c r="F26" i="26"/>
  <c r="F36" i="26"/>
  <c r="F46" i="26"/>
  <c r="P48" i="26"/>
  <c r="F13" i="27"/>
  <c r="P14" i="27"/>
  <c r="F18" i="27"/>
  <c r="F43" i="27"/>
  <c r="F10" i="28"/>
  <c r="G10" i="28" s="1"/>
  <c r="F20" i="28"/>
  <c r="P38" i="28"/>
  <c r="F44" i="28"/>
  <c r="B47" i="28"/>
  <c r="S7" i="29"/>
  <c r="X7" i="29" s="1"/>
  <c r="U18" i="29"/>
  <c r="T18" i="29"/>
  <c r="S18" i="29"/>
  <c r="R18" i="29"/>
  <c r="X18" i="29"/>
  <c r="W18" i="29"/>
  <c r="V18" i="29"/>
  <c r="J34" i="29"/>
  <c r="I34" i="29"/>
  <c r="X36" i="29"/>
  <c r="V36" i="29"/>
  <c r="T36" i="29"/>
  <c r="S36" i="29"/>
  <c r="X46" i="29"/>
  <c r="W46" i="29"/>
  <c r="V46" i="29"/>
  <c r="T46" i="29"/>
  <c r="B46" i="29"/>
  <c r="F48" i="29"/>
  <c r="J14" i="30"/>
  <c r="I14" i="30"/>
  <c r="F24" i="30"/>
  <c r="F34" i="30"/>
  <c r="E50" i="31"/>
  <c r="I14" i="31"/>
  <c r="J14" i="31"/>
  <c r="F17" i="31"/>
  <c r="P18" i="31"/>
  <c r="P50" i="31" s="1"/>
  <c r="G6" i="32"/>
  <c r="F6" i="32"/>
  <c r="F12" i="32"/>
  <c r="G12" i="32"/>
  <c r="F20" i="32"/>
  <c r="I39" i="32"/>
  <c r="J39" i="32"/>
  <c r="W15" i="27"/>
  <c r="V15" i="27"/>
  <c r="U15" i="27"/>
  <c r="V44" i="27"/>
  <c r="U44" i="27"/>
  <c r="T44" i="27"/>
  <c r="S44" i="27"/>
  <c r="U18" i="28"/>
  <c r="T18" i="28"/>
  <c r="S18" i="28"/>
  <c r="R18" i="28"/>
  <c r="G24" i="28"/>
  <c r="F24" i="28"/>
  <c r="V25" i="28"/>
  <c r="U25" i="28"/>
  <c r="T25" i="28"/>
  <c r="S25" i="28"/>
  <c r="F6" i="29"/>
  <c r="G6" i="29" s="1"/>
  <c r="G17" i="29"/>
  <c r="F17" i="29"/>
  <c r="P31" i="29"/>
  <c r="J46" i="29"/>
  <c r="I46" i="29"/>
  <c r="G6" i="30"/>
  <c r="Q16" i="30"/>
  <c r="P35" i="30"/>
  <c r="F8" i="31"/>
  <c r="G8" i="31" s="1"/>
  <c r="V10" i="31"/>
  <c r="F10" i="31"/>
  <c r="G10" i="31" s="1"/>
  <c r="W10" i="31"/>
  <c r="J13" i="31"/>
  <c r="I13" i="31"/>
  <c r="O50" i="32"/>
  <c r="V7" i="32"/>
  <c r="W7" i="32" s="1"/>
  <c r="U7" i="32"/>
  <c r="T7" i="32"/>
  <c r="S7" i="32"/>
  <c r="X7" i="32" s="1"/>
  <c r="R7" i="32"/>
  <c r="J16" i="29"/>
  <c r="I16" i="29"/>
  <c r="X48" i="29"/>
  <c r="U48" i="29"/>
  <c r="T48" i="29"/>
  <c r="S48" i="29"/>
  <c r="R48" i="29"/>
  <c r="W13" i="30"/>
  <c r="I22" i="30"/>
  <c r="J22" i="30"/>
  <c r="W29" i="30"/>
  <c r="Q31" i="30"/>
  <c r="P31" i="30"/>
  <c r="F46" i="30"/>
  <c r="B33" i="31"/>
  <c r="X33" i="31"/>
  <c r="U33" i="31"/>
  <c r="W41" i="31"/>
  <c r="R41" i="31"/>
  <c r="X41" i="31"/>
  <c r="S41" i="31"/>
  <c r="B41" i="31"/>
  <c r="P5" i="32"/>
  <c r="I29" i="32"/>
  <c r="J29" i="32"/>
  <c r="F28" i="33"/>
  <c r="G28" i="33"/>
  <c r="W46" i="27"/>
  <c r="S27" i="28"/>
  <c r="R27" i="28"/>
  <c r="V38" i="28"/>
  <c r="U38" i="28"/>
  <c r="T38" i="28"/>
  <c r="W19" i="29"/>
  <c r="V19" i="29"/>
  <c r="U19" i="29"/>
  <c r="T19" i="29"/>
  <c r="Q22" i="29"/>
  <c r="Q24" i="30"/>
  <c r="P24" i="30"/>
  <c r="X29" i="30"/>
  <c r="G14" i="31"/>
  <c r="F14" i="31"/>
  <c r="Q19" i="31"/>
  <c r="Q5" i="32"/>
  <c r="Q10" i="32"/>
  <c r="P10" i="32"/>
  <c r="J16" i="32"/>
  <c r="I16" i="32"/>
  <c r="W18" i="32"/>
  <c r="V18" i="32"/>
  <c r="R18" i="32"/>
  <c r="U18" i="32"/>
  <c r="T18" i="32"/>
  <c r="B31" i="32"/>
  <c r="U31" i="32"/>
  <c r="S31" i="32"/>
  <c r="V31" i="32"/>
  <c r="W31" i="32"/>
  <c r="R5" i="32"/>
  <c r="R10" i="32"/>
  <c r="V48" i="28"/>
  <c r="U48" i="28"/>
  <c r="T48" i="28"/>
  <c r="J23" i="29"/>
  <c r="I23" i="29"/>
  <c r="R33" i="29"/>
  <c r="B33" i="29"/>
  <c r="P44" i="29"/>
  <c r="Q44" i="29"/>
  <c r="X9" i="30"/>
  <c r="J13" i="30"/>
  <c r="I13" i="30"/>
  <c r="F23" i="30"/>
  <c r="P27" i="30"/>
  <c r="F33" i="30"/>
  <c r="J20" i="31"/>
  <c r="I20" i="31"/>
  <c r="B22" i="31"/>
  <c r="T22" i="31"/>
  <c r="S22" i="31"/>
  <c r="R22" i="31"/>
  <c r="F29" i="31"/>
  <c r="X43" i="31"/>
  <c r="W43" i="31"/>
  <c r="V43" i="31"/>
  <c r="U43" i="31"/>
  <c r="T43" i="31"/>
  <c r="R43" i="31"/>
  <c r="T5" i="32"/>
  <c r="V5" i="32" s="1"/>
  <c r="B9" i="33"/>
  <c r="J12" i="33"/>
  <c r="T9" i="33"/>
  <c r="V9" i="33" s="1"/>
  <c r="W9" i="33" s="1"/>
  <c r="S9" i="33"/>
  <c r="X9" i="33" s="1"/>
  <c r="R9" i="33"/>
  <c r="U9" i="33" s="1"/>
  <c r="J7" i="33"/>
  <c r="I7" i="33"/>
  <c r="J6" i="33"/>
  <c r="I6" i="33"/>
  <c r="I8" i="33"/>
  <c r="F40" i="27"/>
  <c r="F48" i="27"/>
  <c r="Q36" i="28"/>
  <c r="P36" i="28"/>
  <c r="J6" i="29"/>
  <c r="I6" i="29"/>
  <c r="F8" i="29"/>
  <c r="G8" i="29" s="1"/>
  <c r="P21" i="29"/>
  <c r="T30" i="29"/>
  <c r="S30" i="29"/>
  <c r="R30" i="29"/>
  <c r="X39" i="29"/>
  <c r="W42" i="29"/>
  <c r="F8" i="30"/>
  <c r="G8" i="30" s="1"/>
  <c r="P11" i="30"/>
  <c r="Q16" i="31"/>
  <c r="P16" i="31"/>
  <c r="J22" i="31"/>
  <c r="I22" i="31"/>
  <c r="F36" i="31"/>
  <c r="J43" i="31"/>
  <c r="I43" i="31"/>
  <c r="S26" i="32"/>
  <c r="B26" i="32"/>
  <c r="R26" i="32"/>
  <c r="U26" i="32"/>
  <c r="T26" i="32"/>
  <c r="W28" i="32"/>
  <c r="X28" i="32"/>
  <c r="V28" i="32"/>
  <c r="B28" i="32"/>
  <c r="U28" i="32"/>
  <c r="I43" i="32"/>
  <c r="J43" i="32"/>
  <c r="P12" i="27"/>
  <c r="P22" i="27"/>
  <c r="P32" i="27"/>
  <c r="P10" i="28"/>
  <c r="F22" i="28"/>
  <c r="F28" i="28"/>
  <c r="V35" i="29"/>
  <c r="T35" i="29"/>
  <c r="R35" i="29"/>
  <c r="X35" i="29"/>
  <c r="W35" i="29"/>
  <c r="U35" i="29"/>
  <c r="S35" i="29"/>
  <c r="T44" i="29"/>
  <c r="S44" i="29"/>
  <c r="R44" i="29"/>
  <c r="W44" i="29"/>
  <c r="V44" i="29"/>
  <c r="U44" i="29"/>
  <c r="G30" i="30"/>
  <c r="P49" i="30"/>
  <c r="F23" i="31"/>
  <c r="G23" i="31"/>
  <c r="Q38" i="31"/>
  <c r="P38" i="31"/>
  <c r="J11" i="32"/>
  <c r="J6" i="32"/>
  <c r="B5" i="32"/>
  <c r="J8" i="32"/>
  <c r="I11" i="32"/>
  <c r="I6" i="32"/>
  <c r="I9" i="32"/>
  <c r="S5" i="32"/>
  <c r="X5" i="32" s="1"/>
  <c r="S10" i="32"/>
  <c r="X10" i="32" s="1"/>
  <c r="U10" i="32"/>
  <c r="B10" i="32"/>
  <c r="Q17" i="32"/>
  <c r="P17" i="32"/>
  <c r="I28" i="32"/>
  <c r="J28" i="32"/>
  <c r="F45" i="32"/>
  <c r="W19" i="28"/>
  <c r="V19" i="28"/>
  <c r="T37" i="28"/>
  <c r="S37" i="28"/>
  <c r="R37" i="28"/>
  <c r="Q46" i="28"/>
  <c r="P46" i="28"/>
  <c r="U46" i="30"/>
  <c r="R46" i="30"/>
  <c r="T46" i="30"/>
  <c r="S46" i="30"/>
  <c r="B46" i="30"/>
  <c r="S14" i="31"/>
  <c r="R14" i="31"/>
  <c r="W14" i="31"/>
  <c r="V14" i="31"/>
  <c r="U14" i="31"/>
  <c r="T14" i="31"/>
  <c r="X16" i="31"/>
  <c r="W16" i="31"/>
  <c r="V16" i="31"/>
  <c r="U16" i="31"/>
  <c r="T16" i="31"/>
  <c r="R16" i="31"/>
  <c r="B16" i="31"/>
  <c r="Q36" i="31"/>
  <c r="P36" i="31"/>
  <c r="S13" i="32"/>
  <c r="X13" i="32" s="1"/>
  <c r="R14" i="32"/>
  <c r="U14" i="32" s="1"/>
  <c r="J5" i="32"/>
  <c r="I5" i="32"/>
  <c r="T12" i="32"/>
  <c r="U12" i="32" s="1"/>
  <c r="S12" i="32"/>
  <c r="X12" i="32" s="1"/>
  <c r="T8" i="32"/>
  <c r="V8" i="32" s="1"/>
  <c r="W8" i="32" s="1"/>
  <c r="R13" i="32"/>
  <c r="U13" i="32" s="1"/>
  <c r="T9" i="32"/>
  <c r="S9" i="32"/>
  <c r="X9" i="32" s="1"/>
  <c r="T14" i="32"/>
  <c r="V14" i="32" s="1"/>
  <c r="W14" i="32" s="1"/>
  <c r="R9" i="32"/>
  <c r="U9" i="32" s="1"/>
  <c r="R8" i="32"/>
  <c r="U8" i="32" s="1"/>
  <c r="J10" i="33"/>
  <c r="I6" i="31"/>
  <c r="G12" i="31"/>
  <c r="S27" i="31"/>
  <c r="B27" i="31"/>
  <c r="U46" i="31"/>
  <c r="J47" i="31"/>
  <c r="I47" i="31"/>
  <c r="J26" i="32"/>
  <c r="I26" i="32"/>
  <c r="O50" i="33"/>
  <c r="Q5" i="33"/>
  <c r="Q50" i="33" s="1"/>
  <c r="I42" i="32"/>
  <c r="J42" i="32"/>
  <c r="B7" i="33"/>
  <c r="I9" i="33"/>
  <c r="J9" i="33"/>
  <c r="I40" i="33"/>
  <c r="J40" i="33"/>
  <c r="F35" i="31"/>
  <c r="G35" i="31"/>
  <c r="I36" i="31"/>
  <c r="J36" i="31"/>
  <c r="S45" i="31"/>
  <c r="Q7" i="32"/>
  <c r="P12" i="32"/>
  <c r="F32" i="32"/>
  <c r="G32" i="32"/>
  <c r="P45" i="32"/>
  <c r="F10" i="33"/>
  <c r="G10" i="33" s="1"/>
  <c r="T12" i="33"/>
  <c r="V12" i="33" s="1"/>
  <c r="W12" i="33" s="1"/>
  <c r="I18" i="32"/>
  <c r="J18" i="32"/>
  <c r="G37" i="32"/>
  <c r="X12" i="33"/>
  <c r="J26" i="33"/>
  <c r="I26" i="33"/>
  <c r="V7" i="30"/>
  <c r="T7" i="30"/>
  <c r="R7" i="30"/>
  <c r="U7" i="30" s="1"/>
  <c r="V15" i="31"/>
  <c r="W19" i="31"/>
  <c r="B19" i="31"/>
  <c r="V48" i="31"/>
  <c r="O50" i="31"/>
  <c r="I7" i="32"/>
  <c r="G11" i="32"/>
  <c r="F40" i="32"/>
  <c r="F47" i="32"/>
  <c r="G47" i="32"/>
  <c r="I12" i="33"/>
  <c r="W45" i="31"/>
  <c r="B45" i="31"/>
  <c r="W13" i="32"/>
  <c r="W32" i="32"/>
  <c r="U32" i="32"/>
  <c r="S32" i="32"/>
  <c r="X32" i="32"/>
  <c r="V32" i="32"/>
  <c r="B32" i="32"/>
  <c r="W13" i="33"/>
  <c r="I19" i="33"/>
  <c r="J19" i="33"/>
  <c r="B23" i="33"/>
  <c r="U23" i="33"/>
  <c r="S23" i="33"/>
  <c r="R23" i="33"/>
  <c r="W23" i="33"/>
  <c r="V23" i="33"/>
  <c r="T23" i="33"/>
  <c r="X23" i="33"/>
  <c r="G8" i="32"/>
  <c r="F13" i="32"/>
  <c r="F19" i="32"/>
  <c r="J32" i="32"/>
  <c r="I32" i="32"/>
  <c r="P37" i="32"/>
  <c r="W38" i="32"/>
  <c r="B38" i="32"/>
  <c r="U15" i="31"/>
  <c r="T15" i="31"/>
  <c r="S15" i="31"/>
  <c r="R15" i="31"/>
  <c r="G20" i="31"/>
  <c r="F20" i="31"/>
  <c r="T48" i="31"/>
  <c r="S48" i="31"/>
  <c r="R48" i="31"/>
  <c r="G13" i="32"/>
  <c r="R8" i="33"/>
  <c r="E50" i="29"/>
  <c r="W20" i="29"/>
  <c r="X26" i="29"/>
  <c r="V26" i="29"/>
  <c r="T26" i="29"/>
  <c r="V49" i="29"/>
  <c r="U10" i="30"/>
  <c r="B11" i="30"/>
  <c r="I46" i="30"/>
  <c r="W47" i="30"/>
  <c r="U47" i="30"/>
  <c r="T47" i="30"/>
  <c r="S47" i="30"/>
  <c r="B12" i="31"/>
  <c r="P27" i="31"/>
  <c r="I30" i="31"/>
  <c r="P31" i="31"/>
  <c r="J19" i="32"/>
  <c r="B21" i="32"/>
  <c r="U21" i="32"/>
  <c r="S21" i="32"/>
  <c r="F5" i="29"/>
  <c r="P39" i="29"/>
  <c r="F43" i="29"/>
  <c r="W49" i="29"/>
  <c r="Q5" i="30"/>
  <c r="P5" i="30"/>
  <c r="V10" i="30"/>
  <c r="W27" i="30"/>
  <c r="X27" i="30"/>
  <c r="X31" i="30"/>
  <c r="Q46" i="30"/>
  <c r="P46" i="30"/>
  <c r="F7" i="31"/>
  <c r="V8" i="31"/>
  <c r="W8" i="31" s="1"/>
  <c r="T8" i="31"/>
  <c r="S8" i="31"/>
  <c r="X8" i="31" s="1"/>
  <c r="R8" i="31"/>
  <c r="U8" i="31" s="1"/>
  <c r="W21" i="31"/>
  <c r="P34" i="31"/>
  <c r="F42" i="31"/>
  <c r="P13" i="32"/>
  <c r="P16" i="32"/>
  <c r="F31" i="32"/>
  <c r="J35" i="32"/>
  <c r="I35" i="32"/>
  <c r="X49" i="29"/>
  <c r="T6" i="30"/>
  <c r="V6" i="30" s="1"/>
  <c r="W6" i="30" s="1"/>
  <c r="S6" i="30"/>
  <c r="X6" i="30" s="1"/>
  <c r="R6" i="30"/>
  <c r="U6" i="30" s="1"/>
  <c r="X18" i="30"/>
  <c r="W18" i="30"/>
  <c r="V18" i="30"/>
  <c r="T18" i="30"/>
  <c r="S39" i="30"/>
  <c r="R39" i="30"/>
  <c r="R42" i="30"/>
  <c r="O50" i="30"/>
  <c r="F13" i="31"/>
  <c r="G13" i="31"/>
  <c r="U18" i="31"/>
  <c r="B18" i="31"/>
  <c r="X18" i="31"/>
  <c r="R27" i="31"/>
  <c r="J28" i="31"/>
  <c r="I28" i="31"/>
  <c r="J35" i="31"/>
  <c r="I35" i="31"/>
  <c r="U17" i="32"/>
  <c r="B17" i="32"/>
  <c r="F22" i="32"/>
  <c r="G22" i="32"/>
  <c r="S6" i="33"/>
  <c r="X6" i="33" s="1"/>
  <c r="J41" i="29"/>
  <c r="I41" i="29"/>
  <c r="S42" i="30"/>
  <c r="T27" i="31"/>
  <c r="X31" i="31"/>
  <c r="W31" i="31"/>
  <c r="V31" i="31"/>
  <c r="U31" i="31"/>
  <c r="T31" i="31"/>
  <c r="R31" i="31"/>
  <c r="U37" i="31"/>
  <c r="X37" i="31"/>
  <c r="W37" i="31"/>
  <c r="V37" i="31"/>
  <c r="T37" i="31"/>
  <c r="S37" i="31"/>
  <c r="E50" i="32"/>
  <c r="I31" i="32"/>
  <c r="G36" i="32"/>
  <c r="T6" i="33"/>
  <c r="V6" i="33" s="1"/>
  <c r="F40" i="34"/>
  <c r="G40" i="34"/>
  <c r="J16" i="33"/>
  <c r="I16" i="33"/>
  <c r="Q18" i="33"/>
  <c r="P18" i="33"/>
  <c r="J23" i="33"/>
  <c r="I23" i="33"/>
  <c r="J8" i="33"/>
  <c r="V47" i="29"/>
  <c r="V9" i="30"/>
  <c r="W9" i="30" s="1"/>
  <c r="W38" i="31"/>
  <c r="G17" i="33"/>
  <c r="F17" i="33"/>
  <c r="P39" i="33"/>
  <c r="F40" i="31"/>
  <c r="B44" i="31"/>
  <c r="T44" i="31"/>
  <c r="F46" i="31"/>
  <c r="P48" i="31"/>
  <c r="F5" i="32"/>
  <c r="U27" i="32"/>
  <c r="B27" i="32"/>
  <c r="W27" i="32"/>
  <c r="R27" i="32"/>
  <c r="U37" i="32"/>
  <c r="B37" i="32"/>
  <c r="X13" i="33"/>
  <c r="B35" i="34"/>
  <c r="U35" i="34"/>
  <c r="S35" i="34"/>
  <c r="R35" i="34"/>
  <c r="W35" i="34"/>
  <c r="V35" i="34"/>
  <c r="T35" i="34"/>
  <c r="X35" i="34"/>
  <c r="F12" i="31"/>
  <c r="F27" i="31"/>
  <c r="P41" i="31"/>
  <c r="P6" i="32"/>
  <c r="P11" i="32"/>
  <c r="F14" i="32"/>
  <c r="F35" i="32"/>
  <c r="I5" i="33"/>
  <c r="T13" i="33"/>
  <c r="R6" i="33"/>
  <c r="U6" i="33" s="1"/>
  <c r="R10" i="33"/>
  <c r="U10" i="33" s="1"/>
  <c r="S7" i="33"/>
  <c r="X7" i="33" s="1"/>
  <c r="R7" i="33"/>
  <c r="U7" i="33" s="1"/>
  <c r="S11" i="33"/>
  <c r="X11" i="33" s="1"/>
  <c r="R11" i="33"/>
  <c r="U11" i="33" s="1"/>
  <c r="T5" i="33"/>
  <c r="P9" i="33"/>
  <c r="F12" i="30"/>
  <c r="F29" i="30"/>
  <c r="P38" i="30"/>
  <c r="F44" i="30"/>
  <c r="F19" i="31"/>
  <c r="P21" i="31"/>
  <c r="B39" i="31"/>
  <c r="I8" i="32"/>
  <c r="F10" i="32"/>
  <c r="G14" i="32"/>
  <c r="Q26" i="32"/>
  <c r="S40" i="32"/>
  <c r="X40" i="32"/>
  <c r="T40" i="32"/>
  <c r="R40" i="32"/>
  <c r="G46" i="32"/>
  <c r="W48" i="32"/>
  <c r="T48" i="32"/>
  <c r="P7" i="33"/>
  <c r="P50" i="33" s="1"/>
  <c r="T11" i="33"/>
  <c r="V11" i="33" s="1"/>
  <c r="W11" i="33" s="1"/>
  <c r="F38" i="33"/>
  <c r="G38" i="33"/>
  <c r="P6" i="31"/>
  <c r="Q35" i="31"/>
  <c r="S16" i="32"/>
  <c r="B16" i="32"/>
  <c r="S30" i="32"/>
  <c r="B30" i="32"/>
  <c r="G38" i="32"/>
  <c r="W6" i="33"/>
  <c r="T7" i="33"/>
  <c r="V7" i="33" s="1"/>
  <c r="W7" i="33" s="1"/>
  <c r="I30" i="33"/>
  <c r="J30" i="33"/>
  <c r="R12" i="33"/>
  <c r="W30" i="33"/>
  <c r="V30" i="33"/>
  <c r="B30" i="33"/>
  <c r="J35" i="33"/>
  <c r="R24" i="34"/>
  <c r="Q46" i="34"/>
  <c r="P46" i="34"/>
  <c r="U11" i="34"/>
  <c r="T11" i="34"/>
  <c r="B11" i="34"/>
  <c r="P6" i="34"/>
  <c r="P50" i="34" s="1"/>
  <c r="V24" i="34"/>
  <c r="P30" i="34"/>
  <c r="T34" i="34"/>
  <c r="R41" i="34"/>
  <c r="W19" i="33"/>
  <c r="U22" i="33"/>
  <c r="S29" i="33"/>
  <c r="R32" i="33"/>
  <c r="P45" i="33"/>
  <c r="E50" i="34"/>
  <c r="W50" i="34" s="1"/>
  <c r="Q9" i="34"/>
  <c r="P9" i="34"/>
  <c r="G12" i="34"/>
  <c r="F12" i="34"/>
  <c r="U21" i="34"/>
  <c r="T21" i="34"/>
  <c r="B21" i="34"/>
  <c r="W24" i="34"/>
  <c r="F29" i="34"/>
  <c r="U34" i="34"/>
  <c r="S41" i="34"/>
  <c r="V22" i="33"/>
  <c r="T32" i="33"/>
  <c r="R39" i="33"/>
  <c r="B43" i="33"/>
  <c r="U43" i="33"/>
  <c r="S43" i="33"/>
  <c r="R43" i="33"/>
  <c r="F5" i="34"/>
  <c r="P16" i="34"/>
  <c r="X24" i="34"/>
  <c r="U31" i="34"/>
  <c r="T31" i="34"/>
  <c r="B31" i="34"/>
  <c r="V34" i="34"/>
  <c r="S44" i="34"/>
  <c r="B44" i="34"/>
  <c r="S12" i="33"/>
  <c r="U19" i="33"/>
  <c r="T19" i="33"/>
  <c r="B19" i="33"/>
  <c r="Q19" i="34"/>
  <c r="P19" i="34"/>
  <c r="G22" i="34"/>
  <c r="F22" i="34"/>
  <c r="G32" i="34"/>
  <c r="F32" i="34"/>
  <c r="F47" i="34"/>
  <c r="Q17" i="33"/>
  <c r="P17" i="33"/>
  <c r="G20" i="33"/>
  <c r="F20" i="33"/>
  <c r="U29" i="33"/>
  <c r="T29" i="33"/>
  <c r="B29" i="33"/>
  <c r="W32" i="33"/>
  <c r="Q29" i="34"/>
  <c r="P29" i="34"/>
  <c r="U41" i="34"/>
  <c r="T41" i="34"/>
  <c r="B41" i="34"/>
  <c r="O50" i="34"/>
  <c r="J13" i="34"/>
  <c r="I13" i="34"/>
  <c r="W16" i="34"/>
  <c r="U16" i="34"/>
  <c r="T16" i="34"/>
  <c r="S16" i="34"/>
  <c r="F25" i="34"/>
  <c r="P36" i="34"/>
  <c r="S8" i="33"/>
  <c r="X8" i="33" s="1"/>
  <c r="G13" i="33"/>
  <c r="Q27" i="33"/>
  <c r="P27" i="33"/>
  <c r="G30" i="33"/>
  <c r="F30" i="33"/>
  <c r="U39" i="33"/>
  <c r="T39" i="33"/>
  <c r="B39" i="33"/>
  <c r="F47" i="33"/>
  <c r="P48" i="33"/>
  <c r="J11" i="33"/>
  <c r="I11" i="33"/>
  <c r="I13" i="33"/>
  <c r="W14" i="33"/>
  <c r="U14" i="33"/>
  <c r="T14" i="33"/>
  <c r="S14" i="33"/>
  <c r="F23" i="33"/>
  <c r="F26" i="33"/>
  <c r="P34" i="33"/>
  <c r="F7" i="34"/>
  <c r="J23" i="34"/>
  <c r="I23" i="34"/>
  <c r="I25" i="34"/>
  <c r="W26" i="34"/>
  <c r="U26" i="34"/>
  <c r="T26" i="34"/>
  <c r="S26" i="34"/>
  <c r="F35" i="34"/>
  <c r="F38" i="34"/>
  <c r="Q39" i="34"/>
  <c r="P39" i="34"/>
  <c r="T36" i="32"/>
  <c r="B41" i="32"/>
  <c r="U41" i="32"/>
  <c r="S41" i="32"/>
  <c r="S46" i="32"/>
  <c r="B46" i="32"/>
  <c r="S10" i="33"/>
  <c r="X10" i="33" s="1"/>
  <c r="B12" i="33"/>
  <c r="R34" i="33"/>
  <c r="Q37" i="33"/>
  <c r="P37" i="33"/>
  <c r="G40" i="33"/>
  <c r="F40" i="33"/>
  <c r="U49" i="33"/>
  <c r="T49" i="33"/>
  <c r="B49" i="33"/>
  <c r="V5" i="34"/>
  <c r="J7" i="34"/>
  <c r="F14" i="34"/>
  <c r="B24" i="34"/>
  <c r="V45" i="34"/>
  <c r="G26" i="32"/>
  <c r="T10" i="33"/>
  <c r="V10" i="33" s="1"/>
  <c r="W10" i="33" s="1"/>
  <c r="J21" i="33"/>
  <c r="I21" i="33"/>
  <c r="W24" i="33"/>
  <c r="U24" i="33"/>
  <c r="T24" i="33"/>
  <c r="S24" i="33"/>
  <c r="F33" i="33"/>
  <c r="V34" i="33"/>
  <c r="F36" i="33"/>
  <c r="P44" i="33"/>
  <c r="W5" i="34"/>
  <c r="J11" i="34"/>
  <c r="F17" i="34"/>
  <c r="J33" i="34"/>
  <c r="I33" i="34"/>
  <c r="I35" i="34"/>
  <c r="W36" i="34"/>
  <c r="U36" i="34"/>
  <c r="T36" i="34"/>
  <c r="S36" i="34"/>
  <c r="I38" i="34"/>
  <c r="W45" i="34"/>
  <c r="B22" i="33"/>
  <c r="R44" i="33"/>
  <c r="Q47" i="33"/>
  <c r="P47" i="33"/>
  <c r="W12" i="34"/>
  <c r="V12" i="34"/>
  <c r="B12" i="34"/>
  <c r="V15" i="34"/>
  <c r="J17" i="34"/>
  <c r="T32" i="34"/>
  <c r="B34" i="34"/>
  <c r="R30" i="33"/>
  <c r="J31" i="33"/>
  <c r="I31" i="33"/>
  <c r="I33" i="33"/>
  <c r="W34" i="33"/>
  <c r="U34" i="33"/>
  <c r="T34" i="33"/>
  <c r="S34" i="33"/>
  <c r="I36" i="33"/>
  <c r="B5" i="34"/>
  <c r="U5" i="34"/>
  <c r="S5" i="34"/>
  <c r="R5" i="34"/>
  <c r="J21" i="34"/>
  <c r="B45" i="34"/>
  <c r="U45" i="34"/>
  <c r="S45" i="34"/>
  <c r="R45" i="34"/>
  <c r="V13" i="33"/>
  <c r="J15" i="33"/>
  <c r="F22" i="33"/>
  <c r="S30" i="33"/>
  <c r="B32" i="33"/>
  <c r="G10" i="34"/>
  <c r="G50" i="34" s="1"/>
  <c r="P17" i="34"/>
  <c r="W22" i="34"/>
  <c r="V22" i="34"/>
  <c r="B22" i="34"/>
  <c r="J27" i="34"/>
  <c r="J31" i="34"/>
  <c r="F34" i="34"/>
  <c r="S36" i="32"/>
  <c r="B36" i="32"/>
  <c r="B10" i="33"/>
  <c r="T30" i="33"/>
  <c r="J41" i="33"/>
  <c r="I41" i="33"/>
  <c r="I43" i="33"/>
  <c r="W44" i="33"/>
  <c r="U44" i="33"/>
  <c r="T44" i="33"/>
  <c r="S44" i="33"/>
  <c r="I10" i="34"/>
  <c r="R11" i="34"/>
  <c r="B15" i="34"/>
  <c r="U15" i="34"/>
  <c r="S15" i="34"/>
  <c r="R15" i="34"/>
  <c r="W32" i="34"/>
  <c r="V32" i="34"/>
  <c r="B32" i="34"/>
  <c r="I10" i="33"/>
  <c r="P15" i="33"/>
  <c r="W20" i="33"/>
  <c r="V20" i="33"/>
  <c r="B20" i="33"/>
  <c r="J25" i="33"/>
  <c r="U30" i="33"/>
  <c r="F32" i="33"/>
  <c r="B42" i="33"/>
  <c r="S11" i="34"/>
  <c r="G13" i="34"/>
  <c r="R14" i="34"/>
  <c r="G20" i="34"/>
  <c r="P27" i="34"/>
  <c r="P31" i="34"/>
  <c r="J37" i="34"/>
  <c r="B13" i="33"/>
  <c r="U13" i="33"/>
  <c r="S13" i="33"/>
  <c r="R13" i="33"/>
  <c r="J29" i="33"/>
  <c r="X30" i="33"/>
  <c r="V11" i="34"/>
  <c r="T14" i="34"/>
  <c r="B16" i="34"/>
  <c r="R21" i="34"/>
  <c r="B25" i="34"/>
  <c r="U25" i="34"/>
  <c r="S25" i="34"/>
  <c r="R25" i="34"/>
  <c r="G30" i="34"/>
  <c r="R44" i="34"/>
  <c r="J47" i="34"/>
  <c r="P48" i="34"/>
  <c r="R49" i="34"/>
  <c r="I46" i="34"/>
  <c r="S49" i="34"/>
  <c r="T49" i="34"/>
  <c r="U49" i="34"/>
  <c r="V49" i="34"/>
  <c r="S15" i="33"/>
  <c r="U16" i="33"/>
  <c r="S25" i="33"/>
  <c r="U26" i="33"/>
  <c r="S35" i="33"/>
  <c r="U36" i="33"/>
  <c r="S45" i="33"/>
  <c r="U46" i="33"/>
  <c r="S7" i="34"/>
  <c r="U8" i="34"/>
  <c r="S17" i="34"/>
  <c r="U18" i="34"/>
  <c r="S27" i="34"/>
  <c r="B42" i="34"/>
  <c r="F43" i="34"/>
  <c r="I44" i="34"/>
  <c r="W49" i="34"/>
  <c r="P45" i="34"/>
  <c r="R46" i="34"/>
  <c r="X49" i="34"/>
  <c r="U33" i="32"/>
  <c r="Q5" i="34"/>
  <c r="U27" i="34"/>
  <c r="U37" i="34"/>
  <c r="I43" i="34"/>
  <c r="S46" i="34"/>
  <c r="U47" i="34"/>
  <c r="P44" i="34"/>
  <c r="T46" i="34"/>
  <c r="B8" i="33"/>
  <c r="U46" i="34"/>
  <c r="F49" i="34"/>
  <c r="V42" i="34"/>
  <c r="P49" i="34"/>
  <c r="C10" i="2"/>
  <c r="C22" i="2"/>
  <c r="C36" i="2"/>
  <c r="D32" i="2"/>
  <c r="C29" i="2"/>
  <c r="C8" i="2"/>
  <c r="C31" i="2"/>
  <c r="D19" i="2"/>
  <c r="D33" i="2"/>
  <c r="D11" i="2"/>
  <c r="D35" i="2"/>
  <c r="D13" i="2"/>
  <c r="D15" i="2"/>
  <c r="D38" i="2"/>
  <c r="H25" i="2"/>
  <c r="G10" i="2"/>
  <c r="C14" i="2"/>
  <c r="C23" i="2"/>
  <c r="D36" i="2"/>
  <c r="H21" i="2"/>
  <c r="D21" i="2"/>
  <c r="D28" i="2"/>
  <c r="C32" i="2"/>
  <c r="C38" i="2"/>
  <c r="C18" i="2"/>
  <c r="H22" i="2"/>
  <c r="H29" i="2"/>
  <c r="C11" i="2"/>
  <c r="D25" i="2"/>
  <c r="C16" i="2"/>
  <c r="C19" i="2"/>
  <c r="C26" i="2"/>
  <c r="D12" i="2"/>
  <c r="C24" i="2"/>
  <c r="C27" i="2"/>
  <c r="C20" i="2"/>
  <c r="C25" i="2"/>
  <c r="H38" i="2"/>
  <c r="D18" i="2"/>
  <c r="C17" i="2"/>
  <c r="D31" i="2"/>
  <c r="D14" i="2"/>
  <c r="D22" i="2"/>
  <c r="C33" i="2"/>
  <c r="D10" i="2"/>
  <c r="C12" i="2"/>
  <c r="D24" i="2"/>
  <c r="D29" i="2"/>
  <c r="C37" i="2"/>
  <c r="D27" i="2"/>
  <c r="C30" i="2"/>
  <c r="D30" i="2"/>
  <c r="D34" i="2"/>
  <c r="C35" i="2"/>
  <c r="D26" i="2"/>
  <c r="H37" i="2"/>
  <c r="D17" i="2"/>
  <c r="C13" i="2"/>
  <c r="C34" i="2"/>
  <c r="C28" i="2"/>
  <c r="D37" i="2"/>
  <c r="H11" i="2"/>
  <c r="D20" i="2"/>
  <c r="G30" i="2"/>
  <c r="D16" i="2"/>
  <c r="C15" i="2"/>
  <c r="C9" i="2"/>
  <c r="G19" i="2"/>
  <c r="H27" i="2"/>
  <c r="D23" i="2"/>
  <c r="G31" i="2"/>
  <c r="H35" i="2"/>
  <c r="H32" i="2"/>
  <c r="G16" i="2"/>
  <c r="H19" i="2"/>
  <c r="D9" i="2"/>
  <c r="H23" i="2"/>
  <c r="H17" i="2"/>
  <c r="E21" i="2"/>
  <c r="G20" i="2"/>
  <c r="G25" i="2"/>
  <c r="F38" i="2" l="1"/>
  <c r="C39" i="2"/>
  <c r="B4" i="2"/>
  <c r="G50" i="5"/>
  <c r="G50" i="30"/>
  <c r="V50" i="32"/>
  <c r="W50" i="32" s="1"/>
  <c r="W5" i="32"/>
  <c r="V50" i="29"/>
  <c r="W50" i="29" s="1"/>
  <c r="W5" i="29"/>
  <c r="V50" i="30"/>
  <c r="W5" i="30"/>
  <c r="V50" i="24"/>
  <c r="W5" i="24"/>
  <c r="V50" i="26"/>
  <c r="W50" i="26" s="1"/>
  <c r="W5" i="26"/>
  <c r="V11" i="4"/>
  <c r="W11" i="4" s="1"/>
  <c r="U11" i="4"/>
  <c r="V50" i="28"/>
  <c r="W5" i="28"/>
  <c r="V50" i="19"/>
  <c r="W5" i="19"/>
  <c r="G50" i="31"/>
  <c r="T50" i="23"/>
  <c r="V50" i="7"/>
  <c r="P50" i="9"/>
  <c r="G8" i="15"/>
  <c r="G50" i="15" s="1"/>
  <c r="W50" i="5"/>
  <c r="U6" i="6"/>
  <c r="V5" i="6"/>
  <c r="U5" i="6"/>
  <c r="F50" i="7"/>
  <c r="F50" i="5"/>
  <c r="P50" i="26"/>
  <c r="T50" i="27"/>
  <c r="U10" i="21"/>
  <c r="P50" i="24"/>
  <c r="Q50" i="9"/>
  <c r="W5" i="7"/>
  <c r="T5" i="4"/>
  <c r="U5" i="4" s="1"/>
  <c r="O50" i="4"/>
  <c r="P5" i="4"/>
  <c r="T50" i="12"/>
  <c r="V5" i="12"/>
  <c r="F50" i="8"/>
  <c r="P50" i="8"/>
  <c r="F50" i="4"/>
  <c r="G5" i="7"/>
  <c r="G50" i="7" s="1"/>
  <c r="V12" i="32"/>
  <c r="W12" i="32" s="1"/>
  <c r="T50" i="22"/>
  <c r="T50" i="15"/>
  <c r="V5" i="15"/>
  <c r="T50" i="16"/>
  <c r="T50" i="33"/>
  <c r="F50" i="28"/>
  <c r="F50" i="34"/>
  <c r="F50" i="24"/>
  <c r="U12" i="33"/>
  <c r="W50" i="24"/>
  <c r="W50" i="27"/>
  <c r="T50" i="21"/>
  <c r="F50" i="17"/>
  <c r="U7" i="19"/>
  <c r="T50" i="18"/>
  <c r="G50" i="16"/>
  <c r="P11" i="6"/>
  <c r="Q11" i="6" s="1"/>
  <c r="G50" i="4"/>
  <c r="P7" i="4"/>
  <c r="Q7" i="4"/>
  <c r="Q50" i="13"/>
  <c r="F50" i="30"/>
  <c r="V50" i="21"/>
  <c r="V50" i="27"/>
  <c r="T50" i="30"/>
  <c r="F50" i="25"/>
  <c r="F50" i="33"/>
  <c r="W5" i="27"/>
  <c r="T50" i="20"/>
  <c r="U10" i="19"/>
  <c r="P50" i="20"/>
  <c r="F50" i="18"/>
  <c r="G5" i="18"/>
  <c r="G50" i="18" s="1"/>
  <c r="U6" i="5"/>
  <c r="T50" i="11"/>
  <c r="T50" i="32"/>
  <c r="F50" i="13"/>
  <c r="V5" i="10"/>
  <c r="T50" i="10"/>
  <c r="U10" i="7"/>
  <c r="V50" i="14"/>
  <c r="W5" i="14"/>
  <c r="Q50" i="20"/>
  <c r="Q50" i="30"/>
  <c r="P50" i="27"/>
  <c r="V50" i="20"/>
  <c r="G50" i="20"/>
  <c r="U7" i="22"/>
  <c r="G5" i="13"/>
  <c r="G50" i="13" s="1"/>
  <c r="V50" i="33"/>
  <c r="F50" i="23"/>
  <c r="V50" i="16"/>
  <c r="W5" i="16"/>
  <c r="F50" i="10"/>
  <c r="G50" i="25"/>
  <c r="G50" i="33"/>
  <c r="P50" i="10"/>
  <c r="P50" i="14"/>
  <c r="U5" i="32"/>
  <c r="V50" i="34"/>
  <c r="W5" i="33"/>
  <c r="F50" i="20"/>
  <c r="F50" i="14"/>
  <c r="Q50" i="8"/>
  <c r="V5" i="31"/>
  <c r="T50" i="31"/>
  <c r="P50" i="22"/>
  <c r="W50" i="20"/>
  <c r="F50" i="19"/>
  <c r="T50" i="13"/>
  <c r="V5" i="13"/>
  <c r="G5" i="6"/>
  <c r="G50" i="6" s="1"/>
  <c r="T50" i="14"/>
  <c r="U6" i="7"/>
  <c r="P50" i="16"/>
  <c r="F50" i="11"/>
  <c r="G5" i="11"/>
  <c r="G50" i="11" s="1"/>
  <c r="T50" i="26"/>
  <c r="U9" i="20"/>
  <c r="T50" i="9"/>
  <c r="V5" i="9"/>
  <c r="Q50" i="11"/>
  <c r="V5" i="11"/>
  <c r="P50" i="30"/>
  <c r="T50" i="28"/>
  <c r="P50" i="11"/>
  <c r="V50" i="5"/>
  <c r="F50" i="29"/>
  <c r="G5" i="29"/>
  <c r="G50" i="29" s="1"/>
  <c r="G50" i="27"/>
  <c r="G6" i="26"/>
  <c r="P50" i="32"/>
  <c r="G50" i="28"/>
  <c r="Q50" i="29"/>
  <c r="G50" i="26"/>
  <c r="T50" i="25"/>
  <c r="V5" i="25"/>
  <c r="T50" i="29"/>
  <c r="T50" i="19"/>
  <c r="P50" i="29"/>
  <c r="V5" i="8"/>
  <c r="T50" i="8"/>
  <c r="W50" i="28"/>
  <c r="G50" i="14"/>
  <c r="V5" i="22"/>
  <c r="Q50" i="22"/>
  <c r="U9" i="6"/>
  <c r="T7" i="4"/>
  <c r="V7" i="4" s="1"/>
  <c r="W7" i="4" s="1"/>
  <c r="P6" i="5"/>
  <c r="P50" i="5" s="1"/>
  <c r="Q6" i="5"/>
  <c r="Q50" i="5" s="1"/>
  <c r="P6" i="4"/>
  <c r="Q6" i="4" s="1"/>
  <c r="T6" i="4"/>
  <c r="F50" i="32"/>
  <c r="G50" i="21"/>
  <c r="Q50" i="24"/>
  <c r="G6" i="8"/>
  <c r="G50" i="8" s="1"/>
  <c r="Q9" i="5"/>
  <c r="P9" i="5"/>
  <c r="U11" i="7"/>
  <c r="U7" i="6"/>
  <c r="Q50" i="32"/>
  <c r="Q50" i="34"/>
  <c r="G5" i="32"/>
  <c r="G50" i="32" s="1"/>
  <c r="U8" i="33"/>
  <c r="F50" i="22"/>
  <c r="T50" i="17"/>
  <c r="T11" i="6"/>
  <c r="V11" i="6" s="1"/>
  <c r="W11" i="6" s="1"/>
  <c r="U7" i="4"/>
  <c r="T50" i="24"/>
  <c r="U5" i="33"/>
  <c r="V5" i="23"/>
  <c r="G50" i="22"/>
  <c r="F50" i="9"/>
  <c r="G6" i="10"/>
  <c r="G50" i="10" s="1"/>
  <c r="P11" i="4"/>
  <c r="Q11" i="4"/>
  <c r="T50" i="5"/>
  <c r="F50" i="31"/>
  <c r="U5" i="23"/>
  <c r="G5" i="24"/>
  <c r="G50" i="24" s="1"/>
  <c r="U11" i="18"/>
  <c r="P50" i="12"/>
  <c r="G5" i="23"/>
  <c r="G50" i="23" s="1"/>
  <c r="V5" i="18"/>
  <c r="G5" i="9"/>
  <c r="G50" i="9" s="1"/>
  <c r="T50" i="7"/>
  <c r="P8" i="6"/>
  <c r="P50" i="6" s="1"/>
  <c r="E28" i="2"/>
  <c r="G8" i="2"/>
  <c r="G29" i="2"/>
  <c r="G36" i="2"/>
  <c r="E36" i="2"/>
  <c r="G26" i="2"/>
  <c r="G28" i="2"/>
  <c r="E31" i="2"/>
  <c r="G37" i="2"/>
  <c r="G24" i="2"/>
  <c r="G21" i="2"/>
  <c r="G18" i="2"/>
  <c r="H31" i="2"/>
  <c r="E24" i="2"/>
  <c r="H33" i="2"/>
  <c r="H24" i="2"/>
  <c r="E32" i="2"/>
  <c r="G22" i="2"/>
  <c r="H34" i="2"/>
  <c r="G23" i="2"/>
  <c r="H36" i="2"/>
  <c r="E30" i="2"/>
  <c r="G11" i="2"/>
  <c r="G13" i="2"/>
  <c r="H15" i="2"/>
  <c r="E9" i="2"/>
  <c r="G38" i="2"/>
  <c r="H14" i="2"/>
  <c r="G9" i="2"/>
  <c r="H30" i="2"/>
  <c r="G35" i="2"/>
  <c r="E33" i="2"/>
  <c r="E34" i="2"/>
  <c r="H12" i="2"/>
  <c r="G14" i="2"/>
  <c r="G15" i="2"/>
  <c r="G33" i="2"/>
  <c r="G34" i="2"/>
  <c r="E25" i="2"/>
  <c r="E23" i="2"/>
  <c r="H28" i="2"/>
  <c r="H26" i="2"/>
  <c r="E37" i="2"/>
  <c r="G27" i="2"/>
  <c r="E20" i="2"/>
  <c r="G12" i="2"/>
  <c r="H13" i="2"/>
  <c r="H20" i="2"/>
  <c r="E18" i="2"/>
  <c r="G17" i="2"/>
  <c r="G32" i="2"/>
  <c r="D8" i="2"/>
  <c r="H16" i="2"/>
  <c r="H18" i="2"/>
  <c r="E38" i="2"/>
  <c r="E11" i="2"/>
  <c r="H10" i="2"/>
  <c r="H9" i="2"/>
  <c r="F11" i="2" l="1"/>
  <c r="D39" i="2"/>
  <c r="D4" i="2"/>
  <c r="F18" i="2"/>
  <c r="F20" i="2"/>
  <c r="F37" i="2"/>
  <c r="F23" i="2"/>
  <c r="F25" i="2"/>
  <c r="F34" i="2"/>
  <c r="F33" i="2"/>
  <c r="F9" i="2"/>
  <c r="F30" i="2"/>
  <c r="F32" i="2"/>
  <c r="F24" i="2"/>
  <c r="F31" i="2"/>
  <c r="F36" i="2"/>
  <c r="G39" i="2"/>
  <c r="F28" i="2"/>
  <c r="V50" i="12"/>
  <c r="W5" i="12"/>
  <c r="P50" i="4"/>
  <c r="V50" i="10"/>
  <c r="W5" i="10"/>
  <c r="V50" i="18"/>
  <c r="W5" i="18"/>
  <c r="V50" i="22"/>
  <c r="W5" i="22"/>
  <c r="W50" i="16"/>
  <c r="Q8" i="6"/>
  <c r="Q50" i="6" s="1"/>
  <c r="Q5" i="4"/>
  <c r="Q50" i="4" s="1"/>
  <c r="V50" i="13"/>
  <c r="W5" i="13"/>
  <c r="V50" i="15"/>
  <c r="W5" i="15"/>
  <c r="V50" i="11"/>
  <c r="W5" i="11"/>
  <c r="W50" i="30"/>
  <c r="T50" i="4"/>
  <c r="V5" i="4"/>
  <c r="U11" i="6"/>
  <c r="V50" i="8"/>
  <c r="W5" i="8"/>
  <c r="V50" i="9"/>
  <c r="W5" i="9"/>
  <c r="W50" i="19"/>
  <c r="W50" i="33"/>
  <c r="V50" i="23"/>
  <c r="W5" i="23"/>
  <c r="V50" i="25"/>
  <c r="W5" i="25"/>
  <c r="W50" i="14"/>
  <c r="V50" i="6"/>
  <c r="W5" i="6"/>
  <c r="V6" i="4"/>
  <c r="W6" i="4" s="1"/>
  <c r="U6" i="4"/>
  <c r="W50" i="7"/>
  <c r="V50" i="31"/>
  <c r="W5" i="31"/>
  <c r="W50" i="21"/>
  <c r="T50" i="6"/>
  <c r="H8" i="2"/>
  <c r="E13" i="2"/>
  <c r="E26" i="2"/>
  <c r="E17" i="2"/>
  <c r="E14" i="2"/>
  <c r="E12" i="2"/>
  <c r="E29" i="2"/>
  <c r="E19" i="2"/>
  <c r="E10" i="2"/>
  <c r="E35" i="2"/>
  <c r="E27" i="2"/>
  <c r="E22" i="2"/>
  <c r="E15" i="2"/>
  <c r="E16" i="2"/>
  <c r="F16" i="2" l="1"/>
  <c r="F15" i="2"/>
  <c r="F22" i="2"/>
  <c r="F27" i="2"/>
  <c r="F35" i="2"/>
  <c r="F10" i="2"/>
  <c r="F19" i="2"/>
  <c r="F29" i="2"/>
  <c r="F12" i="2"/>
  <c r="F14" i="2"/>
  <c r="F17" i="2"/>
  <c r="F26" i="2"/>
  <c r="F13" i="2"/>
  <c r="H39" i="2"/>
  <c r="W50" i="12"/>
  <c r="W50" i="11"/>
  <c r="W50" i="18"/>
  <c r="W50" i="23"/>
  <c r="W50" i="31"/>
  <c r="W50" i="6"/>
  <c r="W50" i="15"/>
  <c r="W50" i="25"/>
  <c r="W50" i="8"/>
  <c r="W50" i="10"/>
  <c r="V50" i="4"/>
  <c r="W5" i="4"/>
  <c r="W50" i="13"/>
  <c r="W50" i="22"/>
  <c r="W50" i="9"/>
  <c r="E8" i="2"/>
  <c r="E39" i="2" l="1"/>
  <c r="F39" i="2" s="1"/>
  <c r="F5" i="2"/>
  <c r="F4" i="2"/>
  <c r="H4" i="2" s="1"/>
  <c r="C5" i="2"/>
  <c r="F8" i="2"/>
  <c r="W50" i="4"/>
</calcChain>
</file>

<file path=xl/sharedStrings.xml><?xml version="1.0" encoding="utf-8"?>
<sst xmlns="http://schemas.openxmlformats.org/spreadsheetml/2006/main" count="2338" uniqueCount="1063">
  <si>
    <t>لوحة الإعدادات — شيت مراجعة المشتريات والمبيعات</t>
  </si>
  <si>
    <t>السنة</t>
  </si>
  <si>
    <t>أدخل السنة الميلادية (مثال: 2026)</t>
  </si>
  <si>
    <t>الشهر (1 - 12)</t>
  </si>
  <si>
    <t>اختر رقم الشهر من القائمة المنسدلة</t>
  </si>
  <si>
    <t>اسم الشهر (تلقائي)</t>
  </si>
  <si>
    <t>يُحسب تلقائياً</t>
  </si>
  <si>
    <t>عدد أيام الشهر (تلقائي)</t>
  </si>
  <si>
    <t>يُحسب تلقائياً — يتغير حسب الشهر والسنة (يشمل السنوات الكبيسة)</t>
  </si>
  <si>
    <t>تاريخ بداية الشهر (تلقائي)</t>
  </si>
  <si>
    <t>نسبة ضريبة القيمة المضافة</t>
  </si>
  <si>
    <t>عدّلها هنا إذا تغيّرت النسبة — تنعكس على كل الأوراق</t>
  </si>
  <si>
    <t>طريقة الاستخدام ودليل الألوان</t>
  </si>
  <si>
    <t>خلايا صفراء / كريمية</t>
  </si>
  <si>
    <t>خلايا إدخال — اكتب فيها فقط. باقي الخلايا معادلات تلقائية لا تُعدَّل.</t>
  </si>
  <si>
    <t>جدول المبيعات (أخضر)</t>
  </si>
  <si>
    <t>أدخل كود الصنف، الكمية المباعة، وسعر البيع. الاسم والإجماليات والضريبة تُحسب تلقائياً.</t>
  </si>
  <si>
    <t>جدول المشتريات (أزرق)</t>
  </si>
  <si>
    <t>مرتبط بالمبيعات: القائمة المنسدلة في كود الشراء تعرض أصناف مبيعات اليوم فقط، ويمكن إدخال أكثر من فاتورة لنفس الصنف. إذا حذفت الصنف من المبيعات يُشطب سطر الشراء تلقائياً ويُستبعد من كل الحسابات والإجماليات.</t>
  </si>
  <si>
    <t>تحليل الربحية (ذهبي)</t>
  </si>
  <si>
    <t>يُحسب تلقائياً لكل صنف مبيع: إجمالي الكمية المشتراة، عدد فواتير الشراء، التكلفة، صافي الربح، وهامش الربح.</t>
  </si>
  <si>
    <t>تغيير الشهر</t>
  </si>
  <si>
    <t>غيّر السنة أو الشهر أعلاه فتتحدّث تواريخ كل الأيام تلقائياً، والأيام الزائدة عن الشهر (29/30/31) تظهر عليها علامة "خارج نطاق الشهر" وتُستبعد من الملخص.</t>
  </si>
  <si>
    <t>حالة الفاتورة (تلقائي)</t>
  </si>
  <si>
    <t>لكل سطر شراء: إذا كُتب سعر الشراء تظهر "✓ تم استلام الفاتورة" بالأخضر، وإذا كان السعر فارغاً تظهر "✗ لم تصل من المورد" بالأحمر.</t>
  </si>
  <si>
    <t>تنبيهات تلقائية</t>
  </si>
  <si>
    <t>الربح السالب بالأحمر — الكود غير المعرّف بالأحمر — وعمود "حالة فواتير الصنف" يبيّن كم فاتورة اكتملت من إجمالي فواتير الصنف.</t>
  </si>
  <si>
    <t>ملخص الشهر</t>
  </si>
  <si>
    <t>ورقة تجمع نتائج كل الأيام تلقائياً مع مؤشرات الأداء وأفضل وأسوأ يوم.</t>
  </si>
  <si>
    <t>إجمالي المبيعات (قبل الضريبة)</t>
  </si>
  <si>
    <t>إجمالي المشتريات (قبل الضريبة)</t>
  </si>
  <si>
    <t>صافي الربح</t>
  </si>
  <si>
    <t>هامش الربح العام</t>
  </si>
  <si>
    <t>أفضل يوم (أعلى ربح):</t>
  </si>
  <si>
    <t>أضعف يوم (أدنى ربح):</t>
  </si>
  <si>
    <t>اليوم</t>
  </si>
  <si>
    <t>التاريخ</t>
  </si>
  <si>
    <t>المبيعات (قبل الضريبة)</t>
  </si>
  <si>
    <t>المشتريات (قبل الضريبة)</t>
  </si>
  <si>
    <t>هامش الربح %</t>
  </si>
  <si>
    <t>ضريبة المبيعات</t>
  </si>
  <si>
    <t>ضريبة المشتريات</t>
  </si>
  <si>
    <t>إجمالي الشهر</t>
  </si>
  <si>
    <t>دليل وأكواد الأصناف المعتمد</t>
  </si>
  <si>
    <t>كود الصنف</t>
  </si>
  <si>
    <t>اسم الصنف</t>
  </si>
  <si>
    <t>048271</t>
  </si>
  <si>
    <t>مانجو تيمور</t>
  </si>
  <si>
    <t>048568</t>
  </si>
  <si>
    <t>مانجو يمنى</t>
  </si>
  <si>
    <t>048593</t>
  </si>
  <si>
    <t>مانجو تومي</t>
  </si>
  <si>
    <t>047906</t>
  </si>
  <si>
    <t>برتقال أبو صره</t>
  </si>
  <si>
    <t>049494</t>
  </si>
  <si>
    <t>برتقال عصير</t>
  </si>
  <si>
    <t>000009</t>
  </si>
  <si>
    <t>خوخ</t>
  </si>
  <si>
    <t>048432</t>
  </si>
  <si>
    <t>كلمنتينا</t>
  </si>
  <si>
    <t>049500</t>
  </si>
  <si>
    <t>تفاح جالا</t>
  </si>
  <si>
    <t>055071</t>
  </si>
  <si>
    <t>عنب احمر</t>
  </si>
  <si>
    <t>000010</t>
  </si>
  <si>
    <t>مشمش</t>
  </si>
  <si>
    <t>048623</t>
  </si>
  <si>
    <t>شمام</t>
  </si>
  <si>
    <t>048024</t>
  </si>
  <si>
    <t>ليمون</t>
  </si>
  <si>
    <t>048575</t>
  </si>
  <si>
    <t>عنب ابيض</t>
  </si>
  <si>
    <t>047884</t>
  </si>
  <si>
    <t>كمثري</t>
  </si>
  <si>
    <t>047883</t>
  </si>
  <si>
    <t>رمان هندى</t>
  </si>
  <si>
    <t>048206</t>
  </si>
  <si>
    <t>افوكادو</t>
  </si>
  <si>
    <t>047786</t>
  </si>
  <si>
    <t>كيوي</t>
  </si>
  <si>
    <t>049502</t>
  </si>
  <si>
    <t>بصل احمر</t>
  </si>
  <si>
    <t>048679</t>
  </si>
  <si>
    <t>فلفل احمر</t>
  </si>
  <si>
    <t>048683</t>
  </si>
  <si>
    <t>فلفل اصفر</t>
  </si>
  <si>
    <t>047810</t>
  </si>
  <si>
    <t>بخاره حمراء</t>
  </si>
  <si>
    <t>048595</t>
  </si>
  <si>
    <t>موز</t>
  </si>
  <si>
    <t>047953</t>
  </si>
  <si>
    <t>ليمون فيتنامي</t>
  </si>
  <si>
    <t>047915</t>
  </si>
  <si>
    <t>مانجو سمكه</t>
  </si>
  <si>
    <t>047863</t>
  </si>
  <si>
    <t>اناناس</t>
  </si>
  <si>
    <t>048217</t>
  </si>
  <si>
    <t>بطاطا حلوه</t>
  </si>
  <si>
    <t>047868</t>
  </si>
  <si>
    <t>جوافه</t>
  </si>
  <si>
    <t>048601</t>
  </si>
  <si>
    <t>عنب اسود</t>
  </si>
  <si>
    <t>048318</t>
  </si>
  <si>
    <t>ليمون بن زهير</t>
  </si>
  <si>
    <t>048394</t>
  </si>
  <si>
    <t>خس</t>
  </si>
  <si>
    <t>048688</t>
  </si>
  <si>
    <t>بروكلي</t>
  </si>
  <si>
    <t>048643</t>
  </si>
  <si>
    <t>عنب احمر سدلس</t>
  </si>
  <si>
    <t>048402</t>
  </si>
  <si>
    <t>GRAPEFRUIT</t>
  </si>
  <si>
    <t>000005</t>
  </si>
  <si>
    <t>048586</t>
  </si>
  <si>
    <t>CHERRYSMALLBOX</t>
  </si>
  <si>
    <t>036271</t>
  </si>
  <si>
    <t>كرز</t>
  </si>
  <si>
    <t>049499</t>
  </si>
  <si>
    <t>تفاح اخضر</t>
  </si>
  <si>
    <t>عنب احمر جلوب</t>
  </si>
  <si>
    <t>MANGO BADAMI 7.5 /8 KG</t>
  </si>
  <si>
    <t>047809</t>
  </si>
  <si>
    <t>WATERMELON</t>
  </si>
  <si>
    <t>100093615</t>
  </si>
  <si>
    <t>مانجو مصري مبروكه</t>
  </si>
  <si>
    <t>100095207</t>
  </si>
  <si>
    <t>بطاطه</t>
  </si>
  <si>
    <t>100095561</t>
  </si>
  <si>
    <t>HONEY YDEW YELLOW 8-9KG</t>
  </si>
  <si>
    <t>100099108</t>
  </si>
  <si>
    <t>MANGO PAKISTAN 6 KG</t>
  </si>
  <si>
    <t>100103162</t>
  </si>
  <si>
    <t>PEACHES CASE 2/3 KG</t>
  </si>
  <si>
    <t>100103871</t>
  </si>
  <si>
    <t>طماطم كرز</t>
  </si>
  <si>
    <t>100105401</t>
  </si>
  <si>
    <t>MANDARIN TURKEY 7/8 KG CARTOON</t>
  </si>
  <si>
    <t>100108177</t>
  </si>
  <si>
    <t>شمام ابو خط</t>
  </si>
  <si>
    <t>100108300</t>
  </si>
  <si>
    <t>ORANGE VALINCIA</t>
  </si>
  <si>
    <t>100108491</t>
  </si>
  <si>
    <t>TOMATO CHERRY</t>
  </si>
  <si>
    <t>100108517</t>
  </si>
  <si>
    <t>افندي اسبلني</t>
  </si>
  <si>
    <t>100108523</t>
  </si>
  <si>
    <t>ONIINS RED BAG 10/11 S PC</t>
  </si>
  <si>
    <t>100113618</t>
  </si>
  <si>
    <t>TOMATOES TROS/VINE5/6KG</t>
  </si>
  <si>
    <t>100113662</t>
  </si>
  <si>
    <t>GARLIC BAG 500 / 590 GR</t>
  </si>
  <si>
    <t>100114387</t>
  </si>
  <si>
    <t>NGER CASE 5.5/6 JGS</t>
  </si>
  <si>
    <t>100114512</t>
  </si>
  <si>
    <t>100117</t>
  </si>
  <si>
    <t>ليمون سدلس</t>
  </si>
  <si>
    <t>100117502</t>
  </si>
  <si>
    <t>GRAPEFRUIT 15KGS</t>
  </si>
  <si>
    <t>100118699</t>
  </si>
  <si>
    <t>MANGO EGYPT NAOMI 4.5/5 KGS</t>
  </si>
  <si>
    <t>100118886</t>
  </si>
  <si>
    <t>MANGO EGYT KI T KGS</t>
  </si>
  <si>
    <t>100122399</t>
  </si>
  <si>
    <t>pomelo6.5\7</t>
  </si>
  <si>
    <t>100124801</t>
  </si>
  <si>
    <t>ORANGE NAVEL 9/9 5KG</t>
  </si>
  <si>
    <t>100125651</t>
  </si>
  <si>
    <t>افندي مصرى</t>
  </si>
  <si>
    <t>100126800</t>
  </si>
  <si>
    <t>MANDAREN FREMONT 8/9KGS</t>
  </si>
  <si>
    <t>100127565</t>
  </si>
  <si>
    <t>بصل هولندي</t>
  </si>
  <si>
    <t>100128494</t>
  </si>
  <si>
    <t>MANGO YEMENI TOMI 3.5 / 4 KG</t>
  </si>
  <si>
    <t>100130695</t>
  </si>
  <si>
    <t>MANGO TOMI GAZAN 8\9KG</t>
  </si>
  <si>
    <t>100134659.</t>
  </si>
  <si>
    <t>MANGO PAKISTAN 5/5.5KG</t>
  </si>
  <si>
    <t>100138909</t>
  </si>
  <si>
    <t>بطاطس كيس 1.7-2 كيلو</t>
  </si>
  <si>
    <t>100138955</t>
  </si>
  <si>
    <t>بصل احمر 1.7-2 كيلو</t>
  </si>
  <si>
    <t>100144618</t>
  </si>
  <si>
    <t>بصل احمر بالك اسباني كيلو</t>
  </si>
  <si>
    <t>100146893</t>
  </si>
  <si>
    <t>APPLE JAZZ CASE 17.50/18KG</t>
  </si>
  <si>
    <t>100147847</t>
  </si>
  <si>
    <t>MANDARIN PAKISTAN 9/9.5 KGS</t>
  </si>
  <si>
    <t>100148372</t>
  </si>
  <si>
    <t>GARLIC BAG 450GRM/500GRM</t>
  </si>
  <si>
    <t>100148768</t>
  </si>
  <si>
    <t>ONION BROWN  BAG  1.7 / 2 KG</t>
  </si>
  <si>
    <t>100150325</t>
  </si>
  <si>
    <t>تفاح فوجي</t>
  </si>
  <si>
    <t>100152088</t>
  </si>
  <si>
    <t>MELON CANTALOPE 5/5.5KG</t>
  </si>
  <si>
    <t>100152216</t>
  </si>
  <si>
    <t>بصل كيس صغير 1.7/2كيلوه</t>
  </si>
  <si>
    <t>100154302</t>
  </si>
  <si>
    <t>ONION RED BAG 9\10KG</t>
  </si>
  <si>
    <t>100155724</t>
  </si>
  <si>
    <t>POTATO BAG 3.75 / 4 KG</t>
  </si>
  <si>
    <t>100156800</t>
  </si>
  <si>
    <t>PEACHES 3.7\ 4KG</t>
  </si>
  <si>
    <t>100157463</t>
  </si>
  <si>
    <t>POTATO BAG 7/8KG</t>
  </si>
  <si>
    <t>100158596</t>
  </si>
  <si>
    <t>مانجو كنت 4.5/5ك</t>
  </si>
  <si>
    <t>100165276</t>
  </si>
  <si>
    <t>ONION RED BULK INDIAN 13KG</t>
  </si>
  <si>
    <t>100169695</t>
  </si>
  <si>
    <t>بصل احمر بال  3 / 5  KG</t>
  </si>
  <si>
    <t>100170297</t>
  </si>
  <si>
    <t>QUINCE 3.5\4KG</t>
  </si>
  <si>
    <t>100173976</t>
  </si>
  <si>
    <t>ORANGE NAVEL 7/7  5KG</t>
  </si>
  <si>
    <t>100175655</t>
  </si>
  <si>
    <t>ONION WHITE BAG  1.7/ 2KG</t>
  </si>
  <si>
    <t>100175657</t>
  </si>
  <si>
    <t>ON?ON BROUN2,2,5</t>
  </si>
  <si>
    <t>100176300</t>
  </si>
  <si>
    <t>LIMES SEEDLESS  6.5/7KG</t>
  </si>
  <si>
    <t>100181625</t>
  </si>
  <si>
    <t>TOMATO MOROCCO 5.5 / 6 KG</t>
  </si>
  <si>
    <t>100183327</t>
  </si>
  <si>
    <t>MANGO ZOBDA</t>
  </si>
  <si>
    <t>100188895</t>
  </si>
  <si>
    <t>MANGO BADAM6 \ 6.5</t>
  </si>
  <si>
    <t>100188963</t>
  </si>
  <si>
    <t>مانجو بادمي يمني</t>
  </si>
  <si>
    <t>100188965</t>
  </si>
  <si>
    <t>MANGO ZOBDA EGYPT3\3.5KG</t>
  </si>
  <si>
    <t>100188966</t>
  </si>
  <si>
    <t>MANGO MABROUKA 3\4</t>
  </si>
  <si>
    <t>100188967</t>
  </si>
  <si>
    <t>MANGO EGYPT TAIMOR 3/3.5 KG</t>
  </si>
  <si>
    <t>100188969</t>
  </si>
  <si>
    <t>MANGO EGYBT SUKARY3/3.5KG</t>
  </si>
  <si>
    <t>100191088</t>
  </si>
  <si>
    <t>MANGO NAOMI 3\3.5</t>
  </si>
  <si>
    <t>100193014</t>
  </si>
  <si>
    <t>GARLIC BULK 4/5 KG</t>
  </si>
  <si>
    <t>100193326</t>
  </si>
  <si>
    <t>GINGER CARTOON 4.5/5 KG</t>
  </si>
  <si>
    <t>100194542</t>
  </si>
  <si>
    <t>عنب اسواد ايطالي</t>
  </si>
  <si>
    <t>100194546</t>
  </si>
  <si>
    <t>GRAPES UITE SEEDLEES 4.5KG</t>
  </si>
  <si>
    <t>100194548</t>
  </si>
  <si>
    <t>عنب احمر ايطالي</t>
  </si>
  <si>
    <t>100195374</t>
  </si>
  <si>
    <t>APPLE BRAEBURN 17/18KG</t>
  </si>
  <si>
    <t>100196521</t>
  </si>
  <si>
    <t>زنجبيل 4/4.5</t>
  </si>
  <si>
    <t>100197264</t>
  </si>
  <si>
    <t>TOMATO BALADI 4.5KG</t>
  </si>
  <si>
    <t>100197448</t>
  </si>
  <si>
    <t>PLUMA RED/BLACK K/G</t>
  </si>
  <si>
    <t>100197894</t>
  </si>
  <si>
    <t>رمان يمني</t>
  </si>
  <si>
    <t>100197916</t>
  </si>
  <si>
    <t>MANGO EGYPT KIT 4/4.5 KGS</t>
  </si>
  <si>
    <t>100198720</t>
  </si>
  <si>
    <t>PEARS LOCAL 3\3.5KG</t>
  </si>
  <si>
    <t>100199057</t>
  </si>
  <si>
    <t>MANDARIN FREMONT 4.5/5 KGS CRTN</t>
  </si>
  <si>
    <t>100199198</t>
  </si>
  <si>
    <t>ONION WHITE BAG 1.7 / 2 KGS</t>
  </si>
  <si>
    <t>100199905</t>
  </si>
  <si>
    <t>ONIONS RED BULK 13 KG</t>
  </si>
  <si>
    <t>100199907</t>
  </si>
  <si>
    <t>POTATOES 13.5 KG</t>
  </si>
  <si>
    <t>100200916</t>
  </si>
  <si>
    <t>مانجو سمكه 3ك</t>
  </si>
  <si>
    <t>100201246</t>
  </si>
  <si>
    <t>MANGO PERU 4 KG</t>
  </si>
  <si>
    <t>100201476</t>
  </si>
  <si>
    <t>PEACHES KA خوخ</t>
  </si>
  <si>
    <t>100201857</t>
  </si>
  <si>
    <t>ONION RED BULK HOLLAND / 13KG</t>
  </si>
  <si>
    <t>100202655</t>
  </si>
  <si>
    <t>MANDARIN FREMONT 9/10 KG</t>
  </si>
  <si>
    <t>100204589</t>
  </si>
  <si>
    <t>EBBRI9.5/10</t>
  </si>
  <si>
    <t>100206357</t>
  </si>
  <si>
    <t>POTATOBAG LOCAL 4,5/5KG</t>
  </si>
  <si>
    <t>100206454</t>
  </si>
  <si>
    <t>MANGO BADAMI</t>
  </si>
  <si>
    <t>100213789</t>
  </si>
  <si>
    <t>MANGO JAZAN 5/5 . 5 KG</t>
  </si>
  <si>
    <t>100213791</t>
  </si>
  <si>
    <t>مانجو هندي جيزاني</t>
  </si>
  <si>
    <t>100214453</t>
  </si>
  <si>
    <t>MANGO GAZAN HINDI</t>
  </si>
  <si>
    <t>100214630</t>
  </si>
  <si>
    <t>MANGO TOMMY GAZAN 4/4.5KG</t>
  </si>
  <si>
    <t>100214633</t>
  </si>
  <si>
    <t>GAZAN MANGO BALAD? 4\4.5KGS</t>
  </si>
  <si>
    <t>100214639</t>
  </si>
  <si>
    <t>GAZAN MANGO SENSATION 4\4.5KGS</t>
  </si>
  <si>
    <t>100214642</t>
  </si>
  <si>
    <t>MANGO GAZAN4/4.5KG</t>
  </si>
  <si>
    <t>100214646</t>
  </si>
  <si>
    <t>مانجو جيزاني</t>
  </si>
  <si>
    <t>100214652</t>
  </si>
  <si>
    <t>مانجو زبده جيزاني</t>
  </si>
  <si>
    <t>100216294</t>
  </si>
  <si>
    <t>POMOGRINATE PERU 3.5 / 4 KG</t>
  </si>
  <si>
    <t>100216716</t>
  </si>
  <si>
    <t>GAZAN MANGO SUDANI 4\4.5</t>
  </si>
  <si>
    <t>100216719</t>
  </si>
  <si>
    <t>GAZAN MANGO SAMAKA 4\4.5KGS</t>
  </si>
  <si>
    <t>100216725</t>
  </si>
  <si>
    <t>GAZAN PAPAYA 12/13KGS</t>
  </si>
  <si>
    <t>100216730</t>
  </si>
  <si>
    <t>GAZAN BANANA12/13KGS</t>
  </si>
  <si>
    <t>100217513</t>
  </si>
  <si>
    <t>PLUMS RED/BLACK9/10KG</t>
  </si>
  <si>
    <t>100218190</t>
  </si>
  <si>
    <t>MANGO KIT GAZAN</t>
  </si>
  <si>
    <t>100221189</t>
  </si>
  <si>
    <t>MANDARIN FREMONT 6/6.5 KGS</t>
  </si>
  <si>
    <t>100223539</t>
  </si>
  <si>
    <t>GRAPES WHITE SEEDLES 4/4/5KG</t>
  </si>
  <si>
    <t>100223888</t>
  </si>
  <si>
    <t>MANGO EGYPTIAN EWISS 2/2.5 KGS</t>
  </si>
  <si>
    <t>100224096</t>
  </si>
  <si>
    <t>MANGO EGYPT TAIMOR 4/4.5 KGS</t>
  </si>
  <si>
    <t>100224100</t>
  </si>
  <si>
    <t>MANGO EGYPT TOMI 4/4.5 KGS</t>
  </si>
  <si>
    <t>100224377</t>
  </si>
  <si>
    <t>MANGO EGYPT SOUKARY 3.5/4 KGS</t>
  </si>
  <si>
    <t>100234700</t>
  </si>
  <si>
    <t>ONION RED BULR LOCRL 13/13.5KG</t>
  </si>
  <si>
    <t>100241499</t>
  </si>
  <si>
    <t>PEACHES /2.5/3KG</t>
  </si>
  <si>
    <t>100244569</t>
  </si>
  <si>
    <t>FIG FRESHPUNNET PC</t>
  </si>
  <si>
    <t>100245</t>
  </si>
  <si>
    <t>CLEMENTIN SPAIN 7\7.5KG</t>
  </si>
  <si>
    <t>100245029</t>
  </si>
  <si>
    <t>CLEMENTINE7\7.5KG</t>
  </si>
  <si>
    <t>100245035</t>
  </si>
  <si>
    <t>CLEMENTINE MOROCCO 9.5/10KGS</t>
  </si>
  <si>
    <t>100247648</t>
  </si>
  <si>
    <t>موز جيزاني</t>
  </si>
  <si>
    <t>100248990</t>
  </si>
  <si>
    <t>عنب اسواد 4/4.5كيلو</t>
  </si>
  <si>
    <t>100260389</t>
  </si>
  <si>
    <t>NECTERIN 3.7\4KG</t>
  </si>
  <si>
    <t>100267720</t>
  </si>
  <si>
    <t>GARLIC BULK 3.5\3.7 KG</t>
  </si>
  <si>
    <t>100267728</t>
  </si>
  <si>
    <t>GINGER 3.5\4KG</t>
  </si>
  <si>
    <t>10026865</t>
  </si>
  <si>
    <t>MANGO EUISS 3\3.5KG</t>
  </si>
  <si>
    <t>100269865</t>
  </si>
  <si>
    <t>MANGO EGYPT EUISS 3\3.5</t>
  </si>
  <si>
    <t>100270507</t>
  </si>
  <si>
    <t>MANGO KIT 3\3.5KG</t>
  </si>
  <si>
    <t>10034659</t>
  </si>
  <si>
    <t>MANGO PAKISTN 5/5.5KG</t>
  </si>
  <si>
    <t>10120</t>
  </si>
  <si>
    <t>اناناس كيلو</t>
  </si>
  <si>
    <t>10152</t>
  </si>
  <si>
    <t>تمر حلوه</t>
  </si>
  <si>
    <t>10201</t>
  </si>
  <si>
    <t>كوسه كرتون</t>
  </si>
  <si>
    <t>102010</t>
  </si>
  <si>
    <t>صقعي</t>
  </si>
  <si>
    <t>102011</t>
  </si>
  <si>
    <t>سكري ملكي</t>
  </si>
  <si>
    <t>102020</t>
  </si>
  <si>
    <t>عمب اسود علبه.</t>
  </si>
  <si>
    <t>102030</t>
  </si>
  <si>
    <t>تمر برحي.</t>
  </si>
  <si>
    <t>10208</t>
  </si>
  <si>
    <t>سكري رطب</t>
  </si>
  <si>
    <t>10209</t>
  </si>
  <si>
    <t>سكري جالكسي</t>
  </si>
  <si>
    <t>10250</t>
  </si>
  <si>
    <t>دبه طويل.</t>
  </si>
  <si>
    <t>1047</t>
  </si>
  <si>
    <t>بروكلي 0</t>
  </si>
  <si>
    <t>105024</t>
  </si>
  <si>
    <t>بطيخ كيلو</t>
  </si>
  <si>
    <t>1092480</t>
  </si>
  <si>
    <t>PLUMS BOX</t>
  </si>
  <si>
    <t>109250046</t>
  </si>
  <si>
    <t>GARL?C CLEER350\400BAG</t>
  </si>
  <si>
    <t>1092530</t>
  </si>
  <si>
    <t>عنب اسواد علبه</t>
  </si>
  <si>
    <t>111000</t>
  </si>
  <si>
    <t>بصل هندي</t>
  </si>
  <si>
    <t>11111</t>
  </si>
  <si>
    <t>مانجو (قلب)</t>
  </si>
  <si>
    <t>111133</t>
  </si>
  <si>
    <t>افوكادو...</t>
  </si>
  <si>
    <t>11122</t>
  </si>
  <si>
    <t>111222</t>
  </si>
  <si>
    <t>افوكادو.</t>
  </si>
  <si>
    <t>11235</t>
  </si>
  <si>
    <t>خس بلدي</t>
  </si>
  <si>
    <t>112356</t>
  </si>
  <si>
    <t>11556</t>
  </si>
  <si>
    <t>اروي</t>
  </si>
  <si>
    <t>120120</t>
  </si>
  <si>
    <t>كرلا</t>
  </si>
  <si>
    <t>12020</t>
  </si>
  <si>
    <t>بصل كيس 4kg</t>
  </si>
  <si>
    <t>12036</t>
  </si>
  <si>
    <t>قلقاس</t>
  </si>
  <si>
    <t>123012</t>
  </si>
  <si>
    <t>عصير</t>
  </si>
  <si>
    <t>1234</t>
  </si>
  <si>
    <t>باله</t>
  </si>
  <si>
    <t>12365</t>
  </si>
  <si>
    <t>مانجو</t>
  </si>
  <si>
    <t>12396</t>
  </si>
  <si>
    <t>قرع</t>
  </si>
  <si>
    <t>12651</t>
  </si>
  <si>
    <t>عجور</t>
  </si>
  <si>
    <t>12697</t>
  </si>
  <si>
    <t>تمر روتانا</t>
  </si>
  <si>
    <t>12961</t>
  </si>
  <si>
    <t>فلفل حار احمر</t>
  </si>
  <si>
    <t>136950291</t>
  </si>
  <si>
    <t>POMOGRINTE EGYBT 4/5 KGS</t>
  </si>
  <si>
    <t>137900595</t>
  </si>
  <si>
    <t>L?MES SEEDLES 6/6,5 kg</t>
  </si>
  <si>
    <t>138050166</t>
  </si>
  <si>
    <t>MANGO NAOMI 4/4.5KG</t>
  </si>
  <si>
    <t>141414</t>
  </si>
  <si>
    <t>هليون</t>
  </si>
  <si>
    <t>14725</t>
  </si>
  <si>
    <t>بنجر</t>
  </si>
  <si>
    <t>15631</t>
  </si>
  <si>
    <t>جوز الهند</t>
  </si>
  <si>
    <t>1596</t>
  </si>
  <si>
    <t>1636</t>
  </si>
  <si>
    <t>كرفس</t>
  </si>
  <si>
    <t>16945</t>
  </si>
  <si>
    <t>تمر ربيعة</t>
  </si>
  <si>
    <t>173200393</t>
  </si>
  <si>
    <t>زنجبيل</t>
  </si>
  <si>
    <t>177400392</t>
  </si>
  <si>
    <t>GARLIK BAG 250/300 PCS</t>
  </si>
  <si>
    <t>179552023</t>
  </si>
  <si>
    <t>GARLIC BULK 3KG</t>
  </si>
  <si>
    <t>183700447</t>
  </si>
  <si>
    <t>POMOGRINATE YEMENI5/5.5 KG</t>
  </si>
  <si>
    <t>1887190</t>
  </si>
  <si>
    <t>بطاطس 4-4.5 كيلو</t>
  </si>
  <si>
    <t>1897030</t>
  </si>
  <si>
    <t>CHERR?ES SMALL BOX</t>
  </si>
  <si>
    <t>197100899</t>
  </si>
  <si>
    <t>GARLIC BAG 225/250 G</t>
  </si>
  <si>
    <t>19856</t>
  </si>
  <si>
    <t>عجوة</t>
  </si>
  <si>
    <t>200515</t>
  </si>
  <si>
    <t>مندورين استرالي</t>
  </si>
  <si>
    <t>20055</t>
  </si>
  <si>
    <t>مندورين باكستاني</t>
  </si>
  <si>
    <t>20134</t>
  </si>
  <si>
    <t>فلفل حار</t>
  </si>
  <si>
    <t>20135</t>
  </si>
  <si>
    <t>زهرة</t>
  </si>
  <si>
    <t>20161</t>
  </si>
  <si>
    <t>ابوفروة</t>
  </si>
  <si>
    <t>20173</t>
  </si>
  <si>
    <t>20177</t>
  </si>
  <si>
    <t>كوسة</t>
  </si>
  <si>
    <t>20201</t>
  </si>
  <si>
    <t>اناناس كرتون</t>
  </si>
  <si>
    <t>20202</t>
  </si>
  <si>
    <t>موز كرتون</t>
  </si>
  <si>
    <t>202023</t>
  </si>
  <si>
    <t>فروله علبه</t>
  </si>
  <si>
    <t>202031</t>
  </si>
  <si>
    <t>مندورين...</t>
  </si>
  <si>
    <t>20206</t>
  </si>
  <si>
    <t>جوافه .</t>
  </si>
  <si>
    <t>20208</t>
  </si>
  <si>
    <t>سوادي ابيض</t>
  </si>
  <si>
    <t>20209</t>
  </si>
  <si>
    <t>سوادي مكدوس</t>
  </si>
  <si>
    <t>20211</t>
  </si>
  <si>
    <t>بصل كبير</t>
  </si>
  <si>
    <t>20212</t>
  </si>
  <si>
    <t>بصل صغير</t>
  </si>
  <si>
    <t>20213</t>
  </si>
  <si>
    <t>بطاطس كبير</t>
  </si>
  <si>
    <t>20214</t>
  </si>
  <si>
    <t>بطاطس صغير</t>
  </si>
  <si>
    <t>20215</t>
  </si>
  <si>
    <t>بصل وسط</t>
  </si>
  <si>
    <t>20216</t>
  </si>
  <si>
    <t>بطاطس وسط</t>
  </si>
  <si>
    <t>20217</t>
  </si>
  <si>
    <t>بطاطس 3 كيلو</t>
  </si>
  <si>
    <t>20223</t>
  </si>
  <si>
    <t>جوافه كرتون</t>
  </si>
  <si>
    <t>20253</t>
  </si>
  <si>
    <t>بصل اصفر كيس</t>
  </si>
  <si>
    <t>20301</t>
  </si>
  <si>
    <t>بطاطس 2kg</t>
  </si>
  <si>
    <t>20306</t>
  </si>
  <si>
    <t>رمان يمني كرتون</t>
  </si>
  <si>
    <t>20400</t>
  </si>
  <si>
    <t>اكياس بلاستيكية</t>
  </si>
  <si>
    <t>20502</t>
  </si>
  <si>
    <t>بصل معبأ</t>
  </si>
  <si>
    <t>20504</t>
  </si>
  <si>
    <t>بصل مصري</t>
  </si>
  <si>
    <t>20505</t>
  </si>
  <si>
    <t>طماطم صغير</t>
  </si>
  <si>
    <t>20506</t>
  </si>
  <si>
    <t>برتقال</t>
  </si>
  <si>
    <t>20507</t>
  </si>
  <si>
    <t>طماطم فلين</t>
  </si>
  <si>
    <t>20601</t>
  </si>
  <si>
    <t>صيانة قطع غيار</t>
  </si>
  <si>
    <t>20707</t>
  </si>
  <si>
    <t>اعمال صيانة وتعديلات</t>
  </si>
  <si>
    <t>20901</t>
  </si>
  <si>
    <t>تفاح بينك .</t>
  </si>
  <si>
    <t>20997</t>
  </si>
  <si>
    <t>سدر</t>
  </si>
  <si>
    <t>21012</t>
  </si>
  <si>
    <t>كاكا</t>
  </si>
  <si>
    <t>214510</t>
  </si>
  <si>
    <t>افندي تركي.</t>
  </si>
  <si>
    <t>21510</t>
  </si>
  <si>
    <t>ليمون تركي</t>
  </si>
  <si>
    <t>2222</t>
  </si>
  <si>
    <t>سوداني</t>
  </si>
  <si>
    <t>22251</t>
  </si>
  <si>
    <t>كريلا</t>
  </si>
  <si>
    <t>22552</t>
  </si>
  <si>
    <t>اكدونيا ايكي دنيا</t>
  </si>
  <si>
    <t>2309510</t>
  </si>
  <si>
    <t>ORANGE NAVEL 6.5/7KG</t>
  </si>
  <si>
    <t>2309530</t>
  </si>
  <si>
    <t>APPLE RED CASE  17.5 - 18  KG</t>
  </si>
  <si>
    <t>2319580</t>
  </si>
  <si>
    <t>برتقال نافال اسبانى كجم</t>
  </si>
  <si>
    <t>2321040</t>
  </si>
  <si>
    <t>تمر برحي</t>
  </si>
  <si>
    <t>2321050</t>
  </si>
  <si>
    <t>KIWI FRUITS K/ G</t>
  </si>
  <si>
    <t>2358940</t>
  </si>
  <si>
    <t>عشب ليمون</t>
  </si>
  <si>
    <t>2358970</t>
  </si>
  <si>
    <t>ORANGE NAVEL SPAIN 9/9.5 KGS</t>
  </si>
  <si>
    <t>2369560</t>
  </si>
  <si>
    <t>LEMON TURKISH 8.5 / 9 KG</t>
  </si>
  <si>
    <t>2415700</t>
  </si>
  <si>
    <t>طماطم بوليس4.25/4.5 اس تي ان كيلو</t>
  </si>
  <si>
    <t>2415710</t>
  </si>
  <si>
    <t>APRICOT PUNNETS</t>
  </si>
  <si>
    <t>2415730</t>
  </si>
  <si>
    <t>ORANGE V 15 KG</t>
  </si>
  <si>
    <t>2415740</t>
  </si>
  <si>
    <t>2428020</t>
  </si>
  <si>
    <t>ONION BROWN / YELLOW 12 KGS</t>
  </si>
  <si>
    <t>2428090</t>
  </si>
  <si>
    <t>ONION WHITE JUMBO 12 KGS EA</t>
  </si>
  <si>
    <t>2428340</t>
  </si>
  <si>
    <t>ليمون افريقي</t>
  </si>
  <si>
    <t>2428350</t>
  </si>
  <si>
    <t>LEMON CASE 14/15 KG</t>
  </si>
  <si>
    <t>2428440</t>
  </si>
  <si>
    <t>GARROTS AUST IMPORT  10 KG</t>
  </si>
  <si>
    <t>2433500</t>
  </si>
  <si>
    <t>APPLE GALA  17.5 TO 18 KGS</t>
  </si>
  <si>
    <t>2434720</t>
  </si>
  <si>
    <t>GRAPES BLACK  4 TO 4.5  KG</t>
  </si>
  <si>
    <t>2434800</t>
  </si>
  <si>
    <t>عنب احمر البناني</t>
  </si>
  <si>
    <t>2434900</t>
  </si>
  <si>
    <t>GRAPES GLOBE CRTN</t>
  </si>
  <si>
    <t>2435010</t>
  </si>
  <si>
    <t>GRAPES UITE SEEDLEES 4.5\5KG</t>
  </si>
  <si>
    <t>2435040</t>
  </si>
  <si>
    <t>عنب ابيض 4/4.5 كيلو</t>
  </si>
  <si>
    <t>2435070</t>
  </si>
  <si>
    <t>GRAPES WIHTE S/LESS I ND 4/5 KG</t>
  </si>
  <si>
    <t>2435460</t>
  </si>
  <si>
    <t>GUAVA 1.5/2KG</t>
  </si>
  <si>
    <t>2436050</t>
  </si>
  <si>
    <t>MANGO AFR?CA</t>
  </si>
  <si>
    <t>2436160</t>
  </si>
  <si>
    <t>MANGO EGYPTIAN ZOBDA 4/4.5 KGS</t>
  </si>
  <si>
    <t>2436300</t>
  </si>
  <si>
    <t>MANGO BRAZLIAN3.5/4KG</t>
  </si>
  <si>
    <t>2436310</t>
  </si>
  <si>
    <t>مانجو زبده</t>
  </si>
  <si>
    <t>2436600</t>
  </si>
  <si>
    <t>PEARS COSCIA / SPAIN 8KG _ 2*4</t>
  </si>
  <si>
    <t>2436680</t>
  </si>
  <si>
    <t>PEAAS DANJOU US 9to10kG</t>
  </si>
  <si>
    <t>2436840</t>
  </si>
  <si>
    <t>POMELO 7/8KGS</t>
  </si>
  <si>
    <t>2438930</t>
  </si>
  <si>
    <t>FIGS FRESH 1/2KGS</t>
  </si>
  <si>
    <t>2439000</t>
  </si>
  <si>
    <t>بطاطه حلوه مصريه</t>
  </si>
  <si>
    <t>2451680</t>
  </si>
  <si>
    <t>يوسفي</t>
  </si>
  <si>
    <t>2455960</t>
  </si>
  <si>
    <t>DATES FRESH ROTHANA 1.5\2KG</t>
  </si>
  <si>
    <t>25522</t>
  </si>
  <si>
    <t>جونسا</t>
  </si>
  <si>
    <t>25643</t>
  </si>
  <si>
    <t>ملفوف محشي</t>
  </si>
  <si>
    <t>25693</t>
  </si>
  <si>
    <t>كبا هندي</t>
  </si>
  <si>
    <t>257760</t>
  </si>
  <si>
    <t>MANDARIN AFRICAN9.5/10.</t>
  </si>
  <si>
    <t>2577760</t>
  </si>
  <si>
    <t>MANDARIN AFRICAN 9.5 / 10 KG</t>
  </si>
  <si>
    <t>2602560</t>
  </si>
  <si>
    <t>APRICOT 4\4.5KG</t>
  </si>
  <si>
    <t>2604600</t>
  </si>
  <si>
    <t>MANDARI  PAKISTANI</t>
  </si>
  <si>
    <t>2667860</t>
  </si>
  <si>
    <t>TOMATO MORC/JORD/SYR 7.5 KG</t>
  </si>
  <si>
    <t>2688160</t>
  </si>
  <si>
    <t>MANGO YEMENI 2.5/3KGS</t>
  </si>
  <si>
    <t>2694180</t>
  </si>
  <si>
    <t>نكتارين بونيت</t>
  </si>
  <si>
    <t>2718810</t>
  </si>
  <si>
    <t>خوخ صغير</t>
  </si>
  <si>
    <t>2745360</t>
  </si>
  <si>
    <t>كمثرى سوري كرتون صغير</t>
  </si>
  <si>
    <t>2745370</t>
  </si>
  <si>
    <t>خوخ كاب</t>
  </si>
  <si>
    <t>2775500</t>
  </si>
  <si>
    <t>مانجو مصرى زبدة</t>
  </si>
  <si>
    <t>2795650</t>
  </si>
  <si>
    <t>PLUMS U?TE 5\5.5KG</t>
  </si>
  <si>
    <t>2810890</t>
  </si>
  <si>
    <t>POMOGRINATE EGY 4/5 KGS</t>
  </si>
  <si>
    <t>2815000</t>
  </si>
  <si>
    <t>بخارة احمر</t>
  </si>
  <si>
    <t>2885710</t>
  </si>
  <si>
    <t>GRAPES WIHTE SEED LS INDAN KG</t>
  </si>
  <si>
    <t>2894070</t>
  </si>
  <si>
    <t>MANDARIN SPAIN CYPR KGS</t>
  </si>
  <si>
    <t>2934000</t>
  </si>
  <si>
    <t>CHERRIES PUNNET PCS</t>
  </si>
  <si>
    <t>2940460</t>
  </si>
  <si>
    <t>GRAPES BLACK PUNNET</t>
  </si>
  <si>
    <t>2968470</t>
  </si>
  <si>
    <t>بصل احمر 3/4 كيس</t>
  </si>
  <si>
    <t>2977569</t>
  </si>
  <si>
    <t>POTATOES BAG 9TO10KGS</t>
  </si>
  <si>
    <t>2986380</t>
  </si>
  <si>
    <t>MANGO EGYPT MABROKA 3.75KGS</t>
  </si>
  <si>
    <t>2986640</t>
  </si>
  <si>
    <t>PEARS FORELLE 12/13 KGS</t>
  </si>
  <si>
    <t>300102</t>
  </si>
  <si>
    <t>افندي مغربي.</t>
  </si>
  <si>
    <t>300104</t>
  </si>
  <si>
    <t>كلمنتينا اسباني</t>
  </si>
  <si>
    <t>300105</t>
  </si>
  <si>
    <t>رمان هندي</t>
  </si>
  <si>
    <t>300106</t>
  </si>
  <si>
    <t>رمان سوري</t>
  </si>
  <si>
    <t>300300</t>
  </si>
  <si>
    <t>دراجون فروت</t>
  </si>
  <si>
    <t>300911</t>
  </si>
  <si>
    <t>برقوق</t>
  </si>
  <si>
    <t>30201</t>
  </si>
  <si>
    <t>كركم.</t>
  </si>
  <si>
    <t>3034600</t>
  </si>
  <si>
    <t>طماطم TUR/JOR  5/6 كجم</t>
  </si>
  <si>
    <t>3048180</t>
  </si>
  <si>
    <t>نكتارين 2.5 الى 3 كجم</t>
  </si>
  <si>
    <t>3050660</t>
  </si>
  <si>
    <t>MANDARIN SPAIN CYPR 9/10 KGS</t>
  </si>
  <si>
    <t>3064250</t>
  </si>
  <si>
    <t>بخارة احمر/ اسود كجم</t>
  </si>
  <si>
    <t>3081920</t>
  </si>
  <si>
    <t>3121450</t>
  </si>
  <si>
    <t>3121460</t>
  </si>
  <si>
    <t>مانجا سمكة</t>
  </si>
  <si>
    <t>3129830</t>
  </si>
  <si>
    <t>CHERRIES 4.5-5KG</t>
  </si>
  <si>
    <t>3129930</t>
  </si>
  <si>
    <t>MANDARIN TURKEY3/3.50KG</t>
  </si>
  <si>
    <t>3135200</t>
  </si>
  <si>
    <t>MANGO TOMMY2.5/3KG</t>
  </si>
  <si>
    <t>3136050</t>
  </si>
  <si>
    <t>MANGO BADAMI YEMENI</t>
  </si>
  <si>
    <t>3136060</t>
  </si>
  <si>
    <t>مانجا تومي</t>
  </si>
  <si>
    <t>3136070</t>
  </si>
  <si>
    <t>مانجو زبده يمنى كجم</t>
  </si>
  <si>
    <t>3136080</t>
  </si>
  <si>
    <t>مانجا بادامي / يمني كيلو</t>
  </si>
  <si>
    <t>3184990</t>
  </si>
  <si>
    <t>MELON SWEET 10.25/10.50KGS</t>
  </si>
  <si>
    <t>3186020</t>
  </si>
  <si>
    <t>ONION SHALLOS INDIAN 4.5/5KG</t>
  </si>
  <si>
    <t>3189560</t>
  </si>
  <si>
    <t>بطاطا كيس محلي 2.5-3 كيلو</t>
  </si>
  <si>
    <t>3217460</t>
  </si>
  <si>
    <t>POMOGRINATE YEMENI 11.75</t>
  </si>
  <si>
    <t>3243240</t>
  </si>
  <si>
    <t>CHESTNUTS BAG</t>
  </si>
  <si>
    <t>3269880</t>
  </si>
  <si>
    <t>Orange Navel 14.5/15kgs</t>
  </si>
  <si>
    <t>3313470</t>
  </si>
  <si>
    <t>MANGOO TAIMOR</t>
  </si>
  <si>
    <t>3313480</t>
  </si>
  <si>
    <t>مانجا تيمور يمني كيلو</t>
  </si>
  <si>
    <t>333020</t>
  </si>
  <si>
    <t>APPLE GALA 18.5 TO 19 KGS</t>
  </si>
  <si>
    <t>3335850</t>
  </si>
  <si>
    <t>PEARS AFR ROSEMARY12/13KG</t>
  </si>
  <si>
    <t>3336270</t>
  </si>
  <si>
    <t>PEARS AFR(SEMPRE)12,5TO13</t>
  </si>
  <si>
    <t>3364940</t>
  </si>
  <si>
    <t>MANGO SMAKKH 3/3.5 KG</t>
  </si>
  <si>
    <t>3388930</t>
  </si>
  <si>
    <t>LETTUSE ICEBERG 5.5/6 KG</t>
  </si>
  <si>
    <t>3392060</t>
  </si>
  <si>
    <t>DATES FRESH LUNA 1.5\1.9KG</t>
  </si>
  <si>
    <t>3393750</t>
  </si>
  <si>
    <t>بصل احمر كيس 5/6 كجم</t>
  </si>
  <si>
    <t>3395100</t>
  </si>
  <si>
    <t>MELON SWEET 11/12 KGS</t>
  </si>
  <si>
    <t>3417760</t>
  </si>
  <si>
    <t>POMOGRINATE TURKEY 4/4.5KGS</t>
  </si>
  <si>
    <t>3779260</t>
  </si>
  <si>
    <t>MANGO EGYPT / SEDIQ 4/4.5 KGS</t>
  </si>
  <si>
    <t>3812090</t>
  </si>
  <si>
    <t>GRAPES BLACK 4.5/5KG</t>
  </si>
  <si>
    <t>3823340</t>
  </si>
  <si>
    <t>طماطم كوكتيل 500 جرام</t>
  </si>
  <si>
    <t>3848410</t>
  </si>
  <si>
    <t>MANDAAI MEGYPT8/8.5KGS</t>
  </si>
  <si>
    <t>3848411</t>
  </si>
  <si>
    <t>وحدات التبريد</t>
  </si>
  <si>
    <t>4154</t>
  </si>
  <si>
    <t>توت ازرق</t>
  </si>
  <si>
    <t>4155</t>
  </si>
  <si>
    <t>توت اسود</t>
  </si>
  <si>
    <t>448430</t>
  </si>
  <si>
    <t>ثوم بولك كيلو</t>
  </si>
  <si>
    <t>448440</t>
  </si>
  <si>
    <t>448610</t>
  </si>
  <si>
    <t>بصل احمر بالك كيلو</t>
  </si>
  <si>
    <t>4486100</t>
  </si>
  <si>
    <t>ONIONS RED BULK 15 KG</t>
  </si>
  <si>
    <t>448640</t>
  </si>
  <si>
    <t>بصل احمر كيس وسط</t>
  </si>
  <si>
    <t>448650</t>
  </si>
  <si>
    <t>بصل ابيض كيس وسط</t>
  </si>
  <si>
    <t>448660</t>
  </si>
  <si>
    <t>بصل ابيض</t>
  </si>
  <si>
    <t>448680</t>
  </si>
  <si>
    <t>بصل بني / اصفر بالك</t>
  </si>
  <si>
    <t>448780</t>
  </si>
  <si>
    <t>فلفل رومي اصفر</t>
  </si>
  <si>
    <t>448790</t>
  </si>
  <si>
    <t>فلفل رومي احمر</t>
  </si>
  <si>
    <t>448830</t>
  </si>
  <si>
    <t>بطاطس كيلو</t>
  </si>
  <si>
    <t>448950</t>
  </si>
  <si>
    <t>طماطم شيري 250 جرام</t>
  </si>
  <si>
    <t>448950.</t>
  </si>
  <si>
    <t>TOMATO CHERRY 200TO250GRMS</t>
  </si>
  <si>
    <t>449080</t>
  </si>
  <si>
    <t>ثوم</t>
  </si>
  <si>
    <t>449370</t>
  </si>
  <si>
    <t>طماطم</t>
  </si>
  <si>
    <t>449450</t>
  </si>
  <si>
    <t>خس مدور</t>
  </si>
  <si>
    <t>449950</t>
  </si>
  <si>
    <t>ثوم كرتون</t>
  </si>
  <si>
    <t>452800</t>
  </si>
  <si>
    <t>تفاح</t>
  </si>
  <si>
    <t>452830</t>
  </si>
  <si>
    <t>APRICOT  KG</t>
  </si>
  <si>
    <t>452850</t>
  </si>
  <si>
    <t>مانجو بدامي</t>
  </si>
  <si>
    <t>453340</t>
  </si>
  <si>
    <t>المن اصفر</t>
  </si>
  <si>
    <t>453360</t>
  </si>
  <si>
    <t>453380</t>
  </si>
  <si>
    <t>ليمون كبير</t>
  </si>
  <si>
    <t>453420</t>
  </si>
  <si>
    <t>مانجو باكستاني</t>
  </si>
  <si>
    <t>453450</t>
  </si>
  <si>
    <t>453460</t>
  </si>
  <si>
    <t>شمام خربز</t>
  </si>
  <si>
    <t>453480</t>
  </si>
  <si>
    <t>نكتارين</t>
  </si>
  <si>
    <t>453500</t>
  </si>
  <si>
    <t>خوخ محلي</t>
  </si>
  <si>
    <t>453530</t>
  </si>
  <si>
    <t>كمثرى</t>
  </si>
  <si>
    <t>453580</t>
  </si>
  <si>
    <t>بطيخ دائري</t>
  </si>
  <si>
    <t>453590</t>
  </si>
  <si>
    <t>453610</t>
  </si>
  <si>
    <t>رمان</t>
  </si>
  <si>
    <t>453640</t>
  </si>
  <si>
    <t>مانجا افريقي</t>
  </si>
  <si>
    <t>453700</t>
  </si>
  <si>
    <t>سفرجل</t>
  </si>
  <si>
    <t>453790</t>
  </si>
  <si>
    <t>بطيخ/حبحب كجم</t>
  </si>
  <si>
    <t>454050</t>
  </si>
  <si>
    <t>يوسفي باكستاني</t>
  </si>
  <si>
    <t>454080</t>
  </si>
  <si>
    <t>مانجا زبدة يمني</t>
  </si>
  <si>
    <t>454150</t>
  </si>
  <si>
    <t>454160</t>
  </si>
  <si>
    <t>454200</t>
  </si>
  <si>
    <t>454260</t>
  </si>
  <si>
    <t>برتقال صرة</t>
  </si>
  <si>
    <t>454261</t>
  </si>
  <si>
    <t>باباى</t>
  </si>
  <si>
    <t>454500</t>
  </si>
  <si>
    <t>برتقال فالنسيا كجم</t>
  </si>
  <si>
    <t>454520</t>
  </si>
  <si>
    <t>بوملي</t>
  </si>
  <si>
    <t>454530</t>
  </si>
  <si>
    <t>جريب فروت</t>
  </si>
  <si>
    <t>45458</t>
  </si>
  <si>
    <t>كمثري سوري ص</t>
  </si>
  <si>
    <t>454590</t>
  </si>
  <si>
    <t>454600</t>
  </si>
  <si>
    <t>افندي مغربي</t>
  </si>
  <si>
    <t>454840</t>
  </si>
  <si>
    <t>يوسف تركي</t>
  </si>
  <si>
    <t>455530</t>
  </si>
  <si>
    <t>عنب</t>
  </si>
  <si>
    <t>50014</t>
  </si>
  <si>
    <t>بروكلي صندوق</t>
  </si>
  <si>
    <t>50203</t>
  </si>
  <si>
    <t>بضاعه هندي</t>
  </si>
  <si>
    <t>50601</t>
  </si>
  <si>
    <t>مانجو فص</t>
  </si>
  <si>
    <t>51488</t>
  </si>
  <si>
    <t>خيا كرتون</t>
  </si>
  <si>
    <t>51542</t>
  </si>
  <si>
    <t>خس كرتون</t>
  </si>
  <si>
    <t>518093</t>
  </si>
  <si>
    <t>BEANS STRING</t>
  </si>
  <si>
    <t>5269</t>
  </si>
  <si>
    <t>غزال</t>
  </si>
  <si>
    <t>54165</t>
  </si>
  <si>
    <t>عصير كرتون</t>
  </si>
  <si>
    <t>54684</t>
  </si>
  <si>
    <t>ابوصره كرتون</t>
  </si>
  <si>
    <t>54989</t>
  </si>
  <si>
    <t>بصل اصفر</t>
  </si>
  <si>
    <t>5545</t>
  </si>
  <si>
    <t>حار هندي</t>
  </si>
  <si>
    <t>56212</t>
  </si>
  <si>
    <t>جنارك</t>
  </si>
  <si>
    <t>5654</t>
  </si>
  <si>
    <t>ثوم مقشر</t>
  </si>
  <si>
    <t>5656</t>
  </si>
  <si>
    <t>576245</t>
  </si>
  <si>
    <t>FIG FRESH BOX</t>
  </si>
  <si>
    <t>578471</t>
  </si>
  <si>
    <t>MANGO MABROUKA</t>
  </si>
  <si>
    <t>60702</t>
  </si>
  <si>
    <t>كمثري مصري</t>
  </si>
  <si>
    <t>6398</t>
  </si>
  <si>
    <t>كزبرة</t>
  </si>
  <si>
    <t>645615</t>
  </si>
  <si>
    <t>PEAR PUNNET</t>
  </si>
  <si>
    <t>654558</t>
  </si>
  <si>
    <t>MANDARIN</t>
  </si>
  <si>
    <t>6958</t>
  </si>
  <si>
    <t>مانجو شيله</t>
  </si>
  <si>
    <t>720830</t>
  </si>
  <si>
    <t>MANDARIN FREMONT KG</t>
  </si>
  <si>
    <t>721480</t>
  </si>
  <si>
    <t>جزر</t>
  </si>
  <si>
    <t>772690</t>
  </si>
  <si>
    <t>فراوله</t>
  </si>
  <si>
    <t>77828</t>
  </si>
  <si>
    <t>GRAPES RED</t>
  </si>
  <si>
    <t>77841</t>
  </si>
  <si>
    <t>GRAPES RED SEEDLESS</t>
  </si>
  <si>
    <t>77852</t>
  </si>
  <si>
    <t>GRAPES WHITE</t>
  </si>
  <si>
    <t>77863</t>
  </si>
  <si>
    <t>MELON SWEET</t>
  </si>
  <si>
    <t>77867</t>
  </si>
  <si>
    <t>water melon</t>
  </si>
  <si>
    <t>77868</t>
  </si>
  <si>
    <t>WATERMELON ROUND</t>
  </si>
  <si>
    <t>77930</t>
  </si>
  <si>
    <t>STRAWBERRY PUNNET</t>
  </si>
  <si>
    <t>77990</t>
  </si>
  <si>
    <t>LIME BIN ZOHAIR</t>
  </si>
  <si>
    <t>78066</t>
  </si>
  <si>
    <t>APRICOT</t>
  </si>
  <si>
    <t>78081</t>
  </si>
  <si>
    <t>NECTTARINE</t>
  </si>
  <si>
    <t>78085</t>
  </si>
  <si>
    <t>PEACH PUNET</t>
  </si>
  <si>
    <t>78102</t>
  </si>
  <si>
    <t>PEACH</t>
  </si>
  <si>
    <t>78144</t>
  </si>
  <si>
    <t>POMEGRANATE RED</t>
  </si>
  <si>
    <t>78147</t>
  </si>
  <si>
    <t>POMEGRANATE YELLOW</t>
  </si>
  <si>
    <t>78149</t>
  </si>
  <si>
    <t>AVOCADO</t>
  </si>
  <si>
    <t>78198</t>
  </si>
  <si>
    <t>GUAVA BOX</t>
  </si>
  <si>
    <t>78249</t>
  </si>
  <si>
    <t>MANGO TOMMY</t>
  </si>
  <si>
    <t>78253</t>
  </si>
  <si>
    <t>MANGO FISH</t>
  </si>
  <si>
    <t>78272</t>
  </si>
  <si>
    <t>PINEAPPLE</t>
  </si>
  <si>
    <t>78427</t>
  </si>
  <si>
    <t>GREEN PEPPER TORSHY</t>
  </si>
  <si>
    <t>78432</t>
  </si>
  <si>
    <t>رومى برتقالى</t>
  </si>
  <si>
    <t>78444</t>
  </si>
  <si>
    <t>CHILLI GREEN</t>
  </si>
  <si>
    <t>78447</t>
  </si>
  <si>
    <t>CHILLI RED</t>
  </si>
  <si>
    <t>78477</t>
  </si>
  <si>
    <t>78493</t>
  </si>
  <si>
    <t>TOMATO EP</t>
  </si>
  <si>
    <t>78506</t>
  </si>
  <si>
    <t>LETTUCE ROMAINE</t>
  </si>
  <si>
    <t>78541</t>
  </si>
  <si>
    <t>CUCUMBER</t>
  </si>
  <si>
    <t>78629</t>
  </si>
  <si>
    <t>CABBAGE RED</t>
  </si>
  <si>
    <t>78665</t>
  </si>
  <si>
    <t>GREEN BEANS</t>
  </si>
  <si>
    <t>78680</t>
  </si>
  <si>
    <t>POTATO KG</t>
  </si>
  <si>
    <t>78683</t>
  </si>
  <si>
    <t>POTATO 1.6/1.8 KG</t>
  </si>
  <si>
    <t>78699</t>
  </si>
  <si>
    <t>POTATO SWEET</t>
  </si>
  <si>
    <t>78715</t>
  </si>
  <si>
    <t>GARLIC CHINA</t>
  </si>
  <si>
    <t>78727</t>
  </si>
  <si>
    <t>ONION GOLDEN.</t>
  </si>
  <si>
    <t>78731</t>
  </si>
  <si>
    <t>ONION RED MEDIUM</t>
  </si>
  <si>
    <t>80280</t>
  </si>
  <si>
    <t>عنب مشكل</t>
  </si>
  <si>
    <t>850820</t>
  </si>
  <si>
    <t>8508200</t>
  </si>
  <si>
    <t>850830</t>
  </si>
  <si>
    <t>8508309</t>
  </si>
  <si>
    <t>88888</t>
  </si>
  <si>
    <t>حبل اصفر</t>
  </si>
  <si>
    <t>892450</t>
  </si>
  <si>
    <t>8957</t>
  </si>
  <si>
    <t>شمندر</t>
  </si>
  <si>
    <t>923350</t>
  </si>
  <si>
    <t>GRAPES RED OUNNET PCS</t>
  </si>
  <si>
    <t>923351</t>
  </si>
  <si>
    <t>كرتون</t>
  </si>
  <si>
    <t>9853</t>
  </si>
  <si>
    <t>ملفوف</t>
  </si>
  <si>
    <t>9898</t>
  </si>
  <si>
    <t>ملفوف صيني</t>
  </si>
  <si>
    <t>990970</t>
  </si>
  <si>
    <t>KIUI FRUIT PUNNET</t>
  </si>
  <si>
    <t>9988</t>
  </si>
  <si>
    <t>ثوم شوال</t>
  </si>
  <si>
    <t>999</t>
  </si>
  <si>
    <t>لوز اخضر</t>
  </si>
  <si>
    <t>99999</t>
  </si>
  <si>
    <t>حبل احمر</t>
  </si>
  <si>
    <t>A2</t>
  </si>
  <si>
    <t>ايجار معشق</t>
  </si>
  <si>
    <t>D01</t>
  </si>
  <si>
    <t>خصم مسموح به</t>
  </si>
  <si>
    <t>R01</t>
  </si>
  <si>
    <t>مرتجع بضاعة</t>
  </si>
  <si>
    <t>T999</t>
  </si>
  <si>
    <t>خدمات نقل</t>
  </si>
  <si>
    <t>رقم اليوم:</t>
  </si>
  <si>
    <t>التاريخ:</t>
  </si>
  <si>
    <t>اليوم:</t>
  </si>
  <si>
    <t>جدول المبيعات اليومية</t>
  </si>
  <si>
    <t>جدول المشتريات وفواتير الموردين (سطر لكل فاتورة — يسمح بأكثر من فاتورة لنفس الصنف)</t>
  </si>
  <si>
    <t>تحليل الربحية لكل صنف مبيع (تلقائي)</t>
  </si>
  <si>
    <t>اسم الصنف (تلقائي)</t>
  </si>
  <si>
    <t>الكمية المباعة</t>
  </si>
  <si>
    <t>سعر البيع</t>
  </si>
  <si>
    <t>الإجمالي قبل الضريبة</t>
  </si>
  <si>
    <t>الضريبة</t>
  </si>
  <si>
    <t>الإجمالي شامل الضريبة</t>
  </si>
  <si>
    <t>حالة الفاتورة</t>
  </si>
  <si>
    <t>اسم المورد</t>
  </si>
  <si>
    <t>رقم الفاتورة</t>
  </si>
  <si>
    <t>الكمية المشتراة</t>
  </si>
  <si>
    <t>سعر الشراء</t>
  </si>
  <si>
    <t>إجمالي الكمية المشتراة</t>
  </si>
  <si>
    <t>عدد فواتير الشراء</t>
  </si>
  <si>
    <t>إجمالي تكلفة الشراء</t>
  </si>
  <si>
    <t>متوسط سعر الشراء</t>
  </si>
  <si>
    <t>صافي الربح (قبل الضريبة)</t>
  </si>
  <si>
    <t>حالة فواتير الصنف (إجمالي)</t>
  </si>
  <si>
    <t>فاكهة العرب</t>
  </si>
  <si>
    <t>سعد العلواني</t>
  </si>
  <si>
    <t>ماجى فروت 6681089</t>
  </si>
  <si>
    <t>احمد ناجي</t>
  </si>
  <si>
    <t>فواكه الإنجاز تاريخ 2/6</t>
  </si>
  <si>
    <t>سعد العلواني بتاريخ 2/6</t>
  </si>
  <si>
    <t>الحسن كونتينر 6369532</t>
  </si>
  <si>
    <t>الإجماليات</t>
  </si>
  <si>
    <t>الحسن 6369532</t>
  </si>
  <si>
    <t>فواكه الإنجاز</t>
  </si>
  <si>
    <t>الأغذية الطازجه</t>
  </si>
  <si>
    <t>ماجى 6681089</t>
  </si>
  <si>
    <t>جميل ناجي</t>
  </si>
  <si>
    <t>طيبات العصر</t>
  </si>
  <si>
    <t>فواكه الإنجازات</t>
  </si>
  <si>
    <t>فواكه الدنيا</t>
  </si>
  <si>
    <t>احمد ناجي /قلب الثور</t>
  </si>
  <si>
    <t>فواكة الإنجازات</t>
  </si>
  <si>
    <t>سمايا الخير</t>
  </si>
  <si>
    <t>بريق الفاكهه</t>
  </si>
  <si>
    <t>سعد العلوني</t>
  </si>
  <si>
    <t>احمد عيد البشري</t>
  </si>
  <si>
    <t>يحيي الخطيب</t>
  </si>
  <si>
    <t>عزم الإنجاز</t>
  </si>
  <si>
    <t>الاغصان المثمره</t>
  </si>
  <si>
    <t>عبر الإقليم</t>
  </si>
  <si>
    <t>الحسن 9193049</t>
  </si>
  <si>
    <t>تاكسيا</t>
  </si>
  <si>
    <t>نخبة الاغصان</t>
  </si>
  <si>
    <t>محمد يوسف الجهني</t>
  </si>
  <si>
    <t>مواسم الفاكهه</t>
  </si>
  <si>
    <t>الاغذيه الطازجه</t>
  </si>
  <si>
    <t>الحسون</t>
  </si>
  <si>
    <t>حصاد الجنان</t>
  </si>
  <si>
    <t>غالب</t>
  </si>
  <si>
    <t>الحصاد الشامل</t>
  </si>
  <si>
    <t>048663</t>
  </si>
  <si>
    <t>047912</t>
  </si>
  <si>
    <t>048229</t>
  </si>
  <si>
    <t>حاوية 8341953</t>
  </si>
  <si>
    <t>047909</t>
  </si>
  <si>
    <t>جورج</t>
  </si>
  <si>
    <t>فصل الاعمال</t>
  </si>
  <si>
    <t>الفاكهة العربيه</t>
  </si>
  <si>
    <t>ايور العربيه</t>
  </si>
  <si>
    <t>تبوك</t>
  </si>
  <si>
    <t>000026</t>
  </si>
  <si>
    <t>فور جلاس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</si>
</sst>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4"/>
      <color rgb="FFFFFFFF"/>
      <name val="Arial"/>
      <family val="2"/>
    </font>
    <font>
      <b/>
      <sz val="11"/>
      <color rgb="FF000000"/>
      <name val="Arial"/>
      <family val="2"/>
    </font>
    <font>
      <b/>
      <sz val="11"/>
      <color rgb="FF0000FF"/>
      <name val="Arial"/>
      <family val="2"/>
    </font>
    <font>
      <sz val="9"/>
      <color rgb="FF595959"/>
      <name val="Arial"/>
      <family val="2"/>
    </font>
    <font>
      <b/>
      <sz val="12"/>
      <color rgb="FFFFFFFF"/>
      <name val="Arial"/>
      <family val="2"/>
    </font>
    <font>
      <b/>
      <sz val="10"/>
      <color rgb="FF000000"/>
      <name val="Arial"/>
      <family val="2"/>
    </font>
    <font>
      <sz val="10"/>
      <color rgb="FF000000"/>
      <name val="Arial"/>
      <family val="2"/>
    </font>
    <font>
      <b/>
      <sz val="15"/>
      <color rgb="FFFFFFFF"/>
      <name val="Arial"/>
      <family val="2"/>
    </font>
    <font>
      <b/>
      <sz val="10"/>
      <color rgb="FFFFFFFF"/>
      <name val="Arial"/>
      <family val="2"/>
    </font>
    <font>
      <b/>
      <sz val="13"/>
      <color rgb="FF2E7D46"/>
      <name val="Arial"/>
      <family val="2"/>
    </font>
    <font>
      <b/>
      <sz val="13"/>
      <color rgb="FF1F4E79"/>
      <name val="Arial"/>
      <family val="2"/>
    </font>
    <font>
      <b/>
      <sz val="13"/>
      <color rgb="FF8A5A00"/>
      <name val="Arial"/>
      <family val="2"/>
    </font>
    <font>
      <b/>
      <sz val="13"/>
      <color rgb="FF7030A0"/>
      <name val="Arial"/>
      <family val="2"/>
    </font>
    <font>
      <b/>
      <sz val="10"/>
      <color rgb="FF1F4E79"/>
      <name val="Arial"/>
      <family val="2"/>
    </font>
    <font>
      <b/>
      <sz val="11"/>
      <color rgb="FFFFFFFF"/>
      <name val="Arial"/>
      <family val="2"/>
    </font>
    <font>
      <b/>
      <sz val="9"/>
      <color rgb="FF000000"/>
      <name val="Arial"/>
      <family val="2"/>
    </font>
  </fonts>
  <fills count="14">
    <fill>
      <patternFill patternType="none"/>
    </fill>
    <fill>
      <patternFill patternType="gray125"/>
    </fill>
    <fill>
      <patternFill patternType="solid">
        <fgColor rgb="FF1F3864"/>
        <bgColor rgb="FF1F4E79"/>
      </patternFill>
    </fill>
    <fill>
      <patternFill patternType="solid">
        <fgColor rgb="FFFFFF00"/>
        <bgColor rgb="FFFFCC00"/>
      </patternFill>
    </fill>
    <fill>
      <patternFill patternType="solid">
        <fgColor rgb="FF2E7D46"/>
        <bgColor rgb="FF008080"/>
      </patternFill>
    </fill>
    <fill>
      <patternFill patternType="solid">
        <fgColor rgb="FF1F4E79"/>
        <bgColor rgb="FF1F3864"/>
      </patternFill>
    </fill>
    <fill>
      <patternFill patternType="solid">
        <fgColor rgb="FF8A5A00"/>
        <bgColor rgb="FF9C5700"/>
      </patternFill>
    </fill>
    <fill>
      <patternFill patternType="solid">
        <fgColor rgb="FF7030A0"/>
        <bgColor rgb="FF993366"/>
      </patternFill>
    </fill>
    <fill>
      <patternFill patternType="solid">
        <fgColor rgb="FFF2F2F2"/>
        <bgColor rgb="FFFFFBEA"/>
      </patternFill>
    </fill>
    <fill>
      <patternFill patternType="solid">
        <fgColor rgb="FFD9D9D9"/>
        <bgColor rgb="FFE7E6E6"/>
      </patternFill>
    </fill>
    <fill>
      <patternFill patternType="solid">
        <fgColor rgb="FFDDF0E2"/>
        <bgColor rgb="FFDCE9F5"/>
      </patternFill>
    </fill>
    <fill>
      <patternFill patternType="solid">
        <fgColor rgb="FFDCE9F5"/>
        <bgColor rgb="FFE7E6E6"/>
      </patternFill>
    </fill>
    <fill>
      <patternFill patternType="solid">
        <fgColor rgb="FFFBF0D5"/>
        <bgColor rgb="FFFFE8CC"/>
      </patternFill>
    </fill>
    <fill>
      <patternFill patternType="solid">
        <fgColor rgb="FFFFFBEA"/>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808080"/>
      </top>
      <bottom style="medium">
        <color rgb="FF808080"/>
      </bottom>
      <diagonal/>
    </border>
  </borders>
  <cellStyleXfs count="1">
    <xf numFmtId="0" fontId="0" fillId="0" borderId="0"/>
  </cellStyleXfs>
  <cellXfs count="47">
    <xf numFmtId="0" fontId="0" fillId="0" borderId="0" xfId="0"/>
    <xf numFmtId="0" fontId="15" fillId="6" borderId="0" xfId="0" applyFont="1" applyFill="1" applyAlignment="1">
      <alignment horizontal="center" vertical="center" wrapText="1"/>
    </xf>
    <xf numFmtId="0" fontId="15" fillId="5" borderId="0" xfId="0" applyFont="1" applyFill="1" applyAlignment="1">
      <alignment horizontal="center" vertical="center" wrapText="1"/>
    </xf>
    <xf numFmtId="0" fontId="15" fillId="4" borderId="0" xfId="0" applyFont="1" applyFill="1" applyAlignment="1">
      <alignment horizontal="center" vertical="center" wrapText="1"/>
    </xf>
    <xf numFmtId="0" fontId="6" fillId="0" borderId="0" xfId="0" applyFont="1" applyAlignment="1">
      <alignment horizontal="center" vertical="center" wrapText="1"/>
    </xf>
    <xf numFmtId="0" fontId="6" fillId="8"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7" fillId="0" borderId="0" xfId="0" applyFont="1" applyAlignment="1">
      <alignment horizontal="right" vertical="center" wrapText="1"/>
    </xf>
    <xf numFmtId="0" fontId="5"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right" vertical="center"/>
    </xf>
    <xf numFmtId="0" fontId="3" fillId="3" borderId="1" xfId="0" applyFont="1" applyFill="1" applyBorder="1" applyAlignment="1" applyProtection="1">
      <alignment horizontal="center" vertical="center" wrapText="1"/>
      <protection locked="0"/>
    </xf>
    <xf numFmtId="0" fontId="4" fillId="0" borderId="0" xfId="0" applyFont="1" applyAlignment="1">
      <alignment horizontal="right"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9" fontId="3" fillId="3" borderId="1" xfId="0" applyNumberFormat="1" applyFont="1" applyFill="1" applyBorder="1" applyAlignment="1" applyProtection="1">
      <alignment horizontal="center" vertical="center" wrapText="1"/>
      <protection locked="0"/>
    </xf>
    <xf numFmtId="0" fontId="6" fillId="0" borderId="0" xfId="0" applyFont="1" applyAlignment="1">
      <alignment horizontal="right" vertical="center"/>
    </xf>
    <xf numFmtId="0" fontId="9" fillId="4" borderId="0" xfId="0" applyFont="1" applyFill="1" applyAlignment="1">
      <alignment horizontal="center" vertical="center" wrapText="1"/>
    </xf>
    <xf numFmtId="0" fontId="9" fillId="5" borderId="0" xfId="0" applyFont="1" applyFill="1" applyAlignment="1">
      <alignment horizontal="center" vertical="center" wrapText="1"/>
    </xf>
    <xf numFmtId="0" fontId="9" fillId="6" borderId="0" xfId="0" applyFont="1" applyFill="1" applyAlignment="1">
      <alignment horizontal="center" vertical="center" wrapText="1"/>
    </xf>
    <xf numFmtId="0" fontId="9" fillId="7" borderId="0" xfId="0" applyFont="1" applyFill="1" applyAlignment="1">
      <alignment horizontal="center" vertical="center" wrapText="1"/>
    </xf>
    <xf numFmtId="4" fontId="10"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0" fontId="14" fillId="0" borderId="0" xfId="0" applyFont="1" applyAlignment="1">
      <alignment horizontal="center" vertical="center" wrapText="1"/>
    </xf>
    <xf numFmtId="0" fontId="9"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0" fontId="6" fillId="8" borderId="2" xfId="0" applyFont="1" applyFill="1" applyBorder="1" applyAlignment="1">
      <alignment horizontal="center" vertical="center" wrapText="1"/>
    </xf>
    <xf numFmtId="4" fontId="6" fillId="8" borderId="2"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0" fontId="2" fillId="9"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right" vertical="center"/>
    </xf>
    <xf numFmtId="14" fontId="14" fillId="0" borderId="0" xfId="0" applyNumberFormat="1" applyFont="1" applyAlignment="1">
      <alignment horizontal="center" vertical="center" wrapText="1"/>
    </xf>
    <xf numFmtId="0" fontId="16" fillId="10"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49" fontId="7" fillId="13" borderId="1" xfId="0" applyNumberFormat="1" applyFont="1" applyFill="1" applyBorder="1" applyAlignment="1" applyProtection="1">
      <alignment horizontal="center" vertical="center" wrapText="1"/>
      <protection locked="0"/>
    </xf>
    <xf numFmtId="3" fontId="7" fillId="13" borderId="1" xfId="0" applyNumberFormat="1" applyFont="1" applyFill="1" applyBorder="1" applyAlignment="1" applyProtection="1">
      <alignment horizontal="center" vertical="center" wrapText="1"/>
      <protection locked="0"/>
    </xf>
    <xf numFmtId="4" fontId="7" fillId="13" borderId="1" xfId="0" applyNumberFormat="1" applyFont="1" applyFill="1" applyBorder="1" applyAlignment="1" applyProtection="1">
      <alignment horizontal="center" vertical="center" wrapText="1"/>
      <protection locked="0"/>
    </xf>
    <xf numFmtId="0" fontId="7" fillId="13" borderId="1" xfId="0" applyFont="1" applyFill="1" applyBorder="1" applyAlignment="1" applyProtection="1">
      <alignment horizontal="right" vertical="center"/>
      <protection locked="0"/>
    </xf>
    <xf numFmtId="3" fontId="7" fillId="0" borderId="1" xfId="0" applyNumberFormat="1" applyFont="1" applyBorder="1" applyAlignment="1">
      <alignment horizontal="center" vertical="center" wrapText="1"/>
    </xf>
    <xf numFmtId="3" fontId="6" fillId="8" borderId="2" xfId="0" applyNumberFormat="1" applyFont="1" applyFill="1" applyBorder="1" applyAlignment="1">
      <alignment horizontal="center" vertical="center" wrapText="1"/>
    </xf>
  </cellXfs>
  <cellStyles count="1">
    <cellStyle name="Normal" xfId="0" builtinId="0"/>
  </cellStyles>
  <dxfs count="311">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CE4E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5A00"/>
      <rgbColor rgb="FF800080"/>
      <rgbColor rgb="FF008080"/>
      <rgbColor rgb="FFBFBFBF"/>
      <rgbColor rgb="FF808080"/>
      <rgbColor rgb="FF9999FF"/>
      <rgbColor rgb="FF7030A0"/>
      <rgbColor rgb="FFFFFBEA"/>
      <rgbColor rgb="FFDDF0E2"/>
      <rgbColor rgb="FF660066"/>
      <rgbColor rgb="FFFF8080"/>
      <rgbColor rgb="FF0066CC"/>
      <rgbColor rgb="FFD9D9D9"/>
      <rgbColor rgb="FF000080"/>
      <rgbColor rgb="FFFF00FF"/>
      <rgbColor rgb="FFF2F2F2"/>
      <rgbColor rgb="FF00FFFF"/>
      <rgbColor rgb="FF800080"/>
      <rgbColor rgb="FF800000"/>
      <rgbColor rgb="FF008080"/>
      <rgbColor rgb="FF0000FF"/>
      <rgbColor rgb="FF00CCFF"/>
      <rgbColor rgb="FFDCE9F5"/>
      <rgbColor rgb="FFC6EFCE"/>
      <rgbColor rgb="FFFBF0D5"/>
      <rgbColor rgb="FFE7E6E6"/>
      <rgbColor rgb="FFFCE4E4"/>
      <rgbColor rgb="FFFFE8CC"/>
      <rgbColor rgb="FFFFC7CE"/>
      <rgbColor rgb="FF3366FF"/>
      <rgbColor rgb="FF33CCCC"/>
      <rgbColor rgb="FF99CC00"/>
      <rgbColor rgb="FFFFCC00"/>
      <rgbColor rgb="FFFF9900"/>
      <rgbColor rgb="FFFF6600"/>
      <rgbColor rgb="FF595959"/>
      <rgbColor rgb="FF969696"/>
      <rgbColor rgb="FF1F3864"/>
      <rgbColor rgb="FF2E7D46"/>
      <rgbColor rgb="FF003300"/>
      <rgbColor rgb="FF333300"/>
      <rgbColor rgb="FF9C57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rightToLeft="1" zoomScaleNormal="100" workbookViewId="0">
      <selection activeCell="E22" sqref="E22"/>
    </sheetView>
  </sheetViews>
  <sheetFormatPr defaultColWidth="8.7109375" defaultRowHeight="15" x14ac:dyDescent="0.25"/>
  <cols>
    <col min="1" max="1" width="26" customWidth="1"/>
    <col min="2" max="2" width="16" customWidth="1"/>
    <col min="3" max="3" width="30" customWidth="1"/>
    <col min="4" max="5" width="20" customWidth="1"/>
  </cols>
  <sheetData>
    <row r="1" spans="1:5" ht="30" customHeight="1" x14ac:dyDescent="0.25">
      <c r="A1" s="9" t="s">
        <v>0</v>
      </c>
      <c r="B1" s="9"/>
      <c r="C1" s="9"/>
      <c r="D1" s="9"/>
      <c r="E1" s="9"/>
    </row>
    <row r="3" spans="1:5" x14ac:dyDescent="0.25">
      <c r="A3" s="10" t="s">
        <v>1</v>
      </c>
      <c r="B3" s="11">
        <v>2026</v>
      </c>
      <c r="C3" s="12" t="s">
        <v>2</v>
      </c>
    </row>
    <row r="4" spans="1:5" x14ac:dyDescent="0.25">
      <c r="A4" s="10" t="s">
        <v>3</v>
      </c>
      <c r="B4" s="11">
        <v>6</v>
      </c>
      <c r="C4" s="12" t="s">
        <v>4</v>
      </c>
    </row>
    <row r="5" spans="1:5" x14ac:dyDescent="0.25">
      <c r="A5" s="10" t="s">
        <v>5</v>
      </c>
      <c r="B5" s="13" t="str">
        <f>CHOOSE(B4,"يناير","فبراير","مارس","أبريل","مايو","يونيو","يوليو","أغسطس","سبتمبر","أكتوبر","نوفمبر","ديسمبر")</f>
        <v>يونيو</v>
      </c>
      <c r="C5" s="12" t="s">
        <v>6</v>
      </c>
    </row>
    <row r="6" spans="1:5" x14ac:dyDescent="0.25">
      <c r="A6" s="10" t="s">
        <v>7</v>
      </c>
      <c r="B6" s="13">
        <f>DAY(EOMONTH(DATE(B3,B4,1),0))</f>
        <v>30</v>
      </c>
      <c r="C6" s="12" t="s">
        <v>8</v>
      </c>
    </row>
    <row r="7" spans="1:5" x14ac:dyDescent="0.25">
      <c r="A7" s="10" t="s">
        <v>9</v>
      </c>
      <c r="B7" s="14">
        <f>DATE(B3,B4,1)</f>
        <v>46174</v>
      </c>
      <c r="C7" s="12" t="s">
        <v>6</v>
      </c>
    </row>
    <row r="8" spans="1:5" x14ac:dyDescent="0.25">
      <c r="A8" s="10" t="s">
        <v>10</v>
      </c>
      <c r="B8" s="15">
        <v>0.15</v>
      </c>
      <c r="C8" s="12" t="s">
        <v>11</v>
      </c>
    </row>
    <row r="10" spans="1:5" ht="15" customHeight="1" x14ac:dyDescent="0.25">
      <c r="A10" s="8" t="s">
        <v>12</v>
      </c>
      <c r="B10" s="8"/>
      <c r="C10" s="8"/>
      <c r="D10" s="8"/>
      <c r="E10" s="8"/>
    </row>
    <row r="11" spans="1:5" ht="27.75" customHeight="1" x14ac:dyDescent="0.25">
      <c r="A11" s="16" t="s">
        <v>13</v>
      </c>
      <c r="B11" s="7" t="s">
        <v>14</v>
      </c>
      <c r="C11" s="7"/>
      <c r="D11" s="7"/>
      <c r="E11" s="7"/>
    </row>
    <row r="12" spans="1:5" ht="27.75" customHeight="1" x14ac:dyDescent="0.25">
      <c r="A12" s="16" t="s">
        <v>15</v>
      </c>
      <c r="B12" s="7" t="s">
        <v>16</v>
      </c>
      <c r="C12" s="7"/>
      <c r="D12" s="7"/>
      <c r="E12" s="7"/>
    </row>
    <row r="13" spans="1:5" ht="27.75" customHeight="1" x14ac:dyDescent="0.25">
      <c r="A13" s="16" t="s">
        <v>17</v>
      </c>
      <c r="B13" s="7" t="s">
        <v>18</v>
      </c>
      <c r="C13" s="7"/>
      <c r="D13" s="7"/>
      <c r="E13" s="7"/>
    </row>
    <row r="14" spans="1:5" ht="27.75" customHeight="1" x14ac:dyDescent="0.25">
      <c r="A14" s="16" t="s">
        <v>19</v>
      </c>
      <c r="B14" s="7" t="s">
        <v>20</v>
      </c>
      <c r="C14" s="7"/>
      <c r="D14" s="7"/>
      <c r="E14" s="7"/>
    </row>
    <row r="15" spans="1:5" ht="27.75" customHeight="1" x14ac:dyDescent="0.25">
      <c r="A15" s="16" t="s">
        <v>21</v>
      </c>
      <c r="B15" s="7" t="s">
        <v>22</v>
      </c>
      <c r="C15" s="7"/>
      <c r="D15" s="7"/>
      <c r="E15" s="7"/>
    </row>
    <row r="16" spans="1:5" ht="27.75" customHeight="1" x14ac:dyDescent="0.25">
      <c r="A16" s="16" t="s">
        <v>23</v>
      </c>
      <c r="B16" s="7" t="s">
        <v>24</v>
      </c>
      <c r="C16" s="7"/>
      <c r="D16" s="7"/>
      <c r="E16" s="7"/>
    </row>
    <row r="17" spans="1:5" ht="27.75" customHeight="1" x14ac:dyDescent="0.25">
      <c r="A17" s="16" t="s">
        <v>25</v>
      </c>
      <c r="B17" s="7" t="s">
        <v>26</v>
      </c>
      <c r="C17" s="7"/>
      <c r="D17" s="7"/>
      <c r="E17" s="7"/>
    </row>
    <row r="18" spans="1:5" ht="27.75" customHeight="1" x14ac:dyDescent="0.25">
      <c r="A18" s="16" t="s">
        <v>27</v>
      </c>
      <c r="B18" s="7" t="s">
        <v>28</v>
      </c>
      <c r="C18" s="7"/>
      <c r="D18" s="7"/>
      <c r="E18" s="7"/>
    </row>
  </sheetData>
  <sheetProtection sheet="1" formatCells="0"/>
  <mergeCells count="10">
    <mergeCell ref="B14:E14"/>
    <mergeCell ref="B15:E15"/>
    <mergeCell ref="B16:E16"/>
    <mergeCell ref="B17:E17"/>
    <mergeCell ref="B18:E18"/>
    <mergeCell ref="A1:E1"/>
    <mergeCell ref="A10:E10"/>
    <mergeCell ref="B11:E11"/>
    <mergeCell ref="B12:E12"/>
    <mergeCell ref="B13:E13"/>
  </mergeCells>
  <dataValidations count="2">
    <dataValidation type="list" showErrorMessage="1" error="اختر رقم شهر من 1 إلى 12" sqref="B4" xr:uid="{00000000-0002-0000-0000-000000000000}">
      <formula1>"1,2,3,4,5,6,7,8,9,10,11,12"</formula1>
      <formula2>0</formula2>
    </dataValidation>
    <dataValidation type="whole" showErrorMessage="1" error="أدخل سنة بين 2020 و 2100" sqref="B3" xr:uid="{00000000-0002-0000-0000-000001000000}">
      <formula1>2020</formula1>
      <formula2>2100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
  <sheetViews>
    <sheetView rightToLeft="1" zoomScaleNormal="100" workbookViewId="0">
      <pane ySplit="7" topLeftCell="A8" activePane="bottomLeft" state="frozen"/>
      <selection pane="bottomLeft"/>
    </sheetView>
  </sheetViews>
  <sheetFormatPr defaultColWidth="8.7109375" defaultRowHeight="15" x14ac:dyDescent="0.25"/>
  <cols>
    <col min="1" max="1" width="8" customWidth="1"/>
    <col min="2" max="2" width="13" customWidth="1"/>
    <col min="3" max="4" width="16" customWidth="1"/>
    <col min="5" max="5" width="14" customWidth="1"/>
    <col min="6" max="6" width="12" customWidth="1"/>
    <col min="7" max="8" width="13" customWidth="1"/>
  </cols>
  <sheetData>
    <row r="1" spans="1:8" ht="31.5" customHeight="1" x14ac:dyDescent="0.25">
      <c r="A1" s="6" t="str">
        <f>CONCATENATE("ملخص شهر ",الإعدادات!B5," ",الإعدادات!B3)</f>
        <v>ملخص شهر يونيو 2026</v>
      </c>
      <c r="B1" s="6"/>
      <c r="C1" s="6"/>
      <c r="D1" s="6"/>
      <c r="E1" s="6"/>
      <c r="F1" s="6"/>
      <c r="G1" s="6"/>
      <c r="H1" s="6"/>
    </row>
    <row r="3" spans="1:8" ht="25.5" x14ac:dyDescent="0.25">
      <c r="B3" s="17" t="s">
        <v>29</v>
      </c>
      <c r="D3" s="18" t="s">
        <v>30</v>
      </c>
      <c r="F3" s="19" t="s">
        <v>31</v>
      </c>
      <c r="H3" s="20" t="s">
        <v>32</v>
      </c>
    </row>
    <row r="4" spans="1:8" ht="16.5" x14ac:dyDescent="0.25">
      <c r="B4" s="21">
        <f ca="1">SUM(C8:C38)</f>
        <v>3643044.58</v>
      </c>
      <c r="D4" s="22">
        <f ca="1">SUM(D8:D38)</f>
        <v>121287</v>
      </c>
      <c r="F4" s="23">
        <f ca="1">SUM(E8:E38)</f>
        <v>3521757.5799999996</v>
      </c>
      <c r="H4" s="24">
        <f ca="1">IF(N(B4)=0,"",F4/B4)</f>
        <v>0.96670724243511719</v>
      </c>
    </row>
    <row r="5" spans="1:8" x14ac:dyDescent="0.25">
      <c r="B5" s="16" t="s">
        <v>33</v>
      </c>
      <c r="C5" s="25" t="str">
        <f ca="1">IFERROR("يوم "&amp;INDEX(A8:A38,MATCH(MAX(E8:E38),E8:E38,0)),"")</f>
        <v>يوم 22</v>
      </c>
      <c r="E5" s="16" t="s">
        <v>34</v>
      </c>
      <c r="F5" s="25" t="str">
        <f ca="1">IFERROR("يوم "&amp;INDEX(A8:A38,MATCH(MIN(E8:E38),E8:E38,0)),"")</f>
        <v>يوم 14</v>
      </c>
    </row>
    <row r="7" spans="1:8" ht="30" customHeight="1" x14ac:dyDescent="0.25">
      <c r="A7" s="26" t="s">
        <v>35</v>
      </c>
      <c r="B7" s="26" t="s">
        <v>36</v>
      </c>
      <c r="C7" s="26" t="s">
        <v>37</v>
      </c>
      <c r="D7" s="26" t="s">
        <v>38</v>
      </c>
      <c r="E7" s="26" t="s">
        <v>31</v>
      </c>
      <c r="F7" s="26" t="s">
        <v>39</v>
      </c>
      <c r="G7" s="26" t="s">
        <v>40</v>
      </c>
      <c r="H7" s="26" t="s">
        <v>41</v>
      </c>
    </row>
    <row r="8" spans="1:8" x14ac:dyDescent="0.25">
      <c r="A8" s="27">
        <v>1</v>
      </c>
      <c r="B8" s="28">
        <f>IF($A8&lt;=الإعدادات!$B$6,DATE(الإعدادات!$B$3,الإعدادات!$B$4,$A8),"")</f>
        <v>46174</v>
      </c>
      <c r="C8" s="29">
        <f ca="1">IF($A8&lt;=الإعدادات!$B$6,N(INDIRECT("'يوم "&amp;$A8&amp;"'!E50")),"")</f>
        <v>118290</v>
      </c>
      <c r="D8" s="29">
        <f ca="1">IF($A8&lt;=الإعدادات!$B$6,N(INDIRECT("'يوم "&amp;$A8&amp;"'!O50")),"")</f>
        <v>72372</v>
      </c>
      <c r="E8" s="29">
        <f ca="1">IF($A8&lt;=الإعدادات!$B$6,N(INDIRECT("'يوم "&amp;$A8&amp;"'!V50")),"")</f>
        <v>45918</v>
      </c>
      <c r="F8" s="30">
        <f t="shared" ref="F8:F39" ca="1" si="0">IF(N(C8)=0,"",E8/C8)</f>
        <v>0.3881815876236368</v>
      </c>
      <c r="G8" s="29">
        <f ca="1">IF($A8&lt;=الإعدادات!$B$6,N(INDIRECT("'يوم "&amp;$A8&amp;"'!F50")),"")</f>
        <v>17743.5</v>
      </c>
      <c r="H8" s="29">
        <f ca="1">IF($A8&lt;=الإعدادات!$B$6,N(INDIRECT("'يوم "&amp;$A8&amp;"'!P50")),"")</f>
        <v>10855.8</v>
      </c>
    </row>
    <row r="9" spans="1:8" x14ac:dyDescent="0.25">
      <c r="A9" s="27">
        <v>2</v>
      </c>
      <c r="B9" s="28">
        <f>IF($A9&lt;=الإعدادات!$B$6,DATE(الإعدادات!$B$3,الإعدادات!$B$4,$A9),"")</f>
        <v>46175</v>
      </c>
      <c r="C9" s="29">
        <f ca="1">IF($A9&lt;=الإعدادات!$B$6,N(INDIRECT("'يوم "&amp;$A9&amp;"'!E50")),"")</f>
        <v>126838</v>
      </c>
      <c r="D9" s="29">
        <f ca="1">IF($A9&lt;=الإعدادات!$B$6,N(INDIRECT("'يوم "&amp;$A9&amp;"'!O50")),"")</f>
        <v>23982</v>
      </c>
      <c r="E9" s="29">
        <f ca="1">IF($A9&lt;=الإعدادات!$B$6,N(INDIRECT("'يوم "&amp;$A9&amp;"'!V50")),"")</f>
        <v>102856</v>
      </c>
      <c r="F9" s="30">
        <f t="shared" ca="1" si="0"/>
        <v>0.81092417098976644</v>
      </c>
      <c r="G9" s="29">
        <f ca="1">IF($A9&lt;=الإعدادات!$B$6,N(INDIRECT("'يوم "&amp;$A9&amp;"'!F50")),"")</f>
        <v>19025.699999999997</v>
      </c>
      <c r="H9" s="29">
        <f ca="1">IF($A9&lt;=الإعدادات!$B$6,N(INDIRECT("'يوم "&amp;$A9&amp;"'!P50")),"")</f>
        <v>3597.3</v>
      </c>
    </row>
    <row r="10" spans="1:8" x14ac:dyDescent="0.25">
      <c r="A10" s="27">
        <v>3</v>
      </c>
      <c r="B10" s="28">
        <f>IF($A10&lt;=الإعدادات!$B$6,DATE(الإعدادات!$B$3,الإعدادات!$B$4,$A10),"")</f>
        <v>46176</v>
      </c>
      <c r="C10" s="29">
        <f ca="1">IF($A10&lt;=الإعدادات!$B$6,N(INDIRECT("'يوم "&amp;$A10&amp;"'!E50")),"")</f>
        <v>109959</v>
      </c>
      <c r="D10" s="29">
        <f ca="1">IF($A10&lt;=الإعدادات!$B$6,N(INDIRECT("'يوم "&amp;$A10&amp;"'!O50")),"")</f>
        <v>24933</v>
      </c>
      <c r="E10" s="29">
        <f ca="1">IF($A10&lt;=الإعدادات!$B$6,N(INDIRECT("'يوم "&amp;$A10&amp;"'!V50")),"")</f>
        <v>85026</v>
      </c>
      <c r="F10" s="30">
        <f t="shared" ca="1" si="0"/>
        <v>0.77325184841622785</v>
      </c>
      <c r="G10" s="29">
        <f ca="1">IF($A10&lt;=الإعدادات!$B$6,N(INDIRECT("'يوم "&amp;$A10&amp;"'!F50")),"")</f>
        <v>16493.849999999999</v>
      </c>
      <c r="H10" s="29">
        <f ca="1">IF($A10&lt;=الإعدادات!$B$6,N(INDIRECT("'يوم "&amp;$A10&amp;"'!P50")),"")</f>
        <v>3739.95</v>
      </c>
    </row>
    <row r="11" spans="1:8" x14ac:dyDescent="0.25">
      <c r="A11" s="27">
        <v>4</v>
      </c>
      <c r="B11" s="28">
        <f>IF($A11&lt;=الإعدادات!$B$6,DATE(الإعدادات!$B$3,الإعدادات!$B$4,$A11),"")</f>
        <v>46177</v>
      </c>
      <c r="C11" s="29">
        <f ca="1">IF($A11&lt;=الإعدادات!$B$6,N(INDIRECT("'يوم "&amp;$A11&amp;"'!E50")),"")</f>
        <v>197405.6</v>
      </c>
      <c r="D11" s="29">
        <f ca="1">IF($A11&lt;=الإعدادات!$B$6,N(INDIRECT("'يوم "&amp;$A11&amp;"'!O50")),"")</f>
        <v>0</v>
      </c>
      <c r="E11" s="29">
        <f ca="1">IF($A11&lt;=الإعدادات!$B$6,N(INDIRECT("'يوم "&amp;$A11&amp;"'!V50")),"")</f>
        <v>197405.6</v>
      </c>
      <c r="F11" s="30">
        <f t="shared" ca="1" si="0"/>
        <v>1</v>
      </c>
      <c r="G11" s="29">
        <f ca="1">IF($A11&lt;=الإعدادات!$B$6,N(INDIRECT("'يوم "&amp;$A11&amp;"'!F50")),"")</f>
        <v>29610.839999999997</v>
      </c>
      <c r="H11" s="29">
        <f ca="1">IF($A11&lt;=الإعدادات!$B$6,N(INDIRECT("'يوم "&amp;$A11&amp;"'!P50")),"")</f>
        <v>0</v>
      </c>
    </row>
    <row r="12" spans="1:8" x14ac:dyDescent="0.25">
      <c r="A12" s="27">
        <v>5</v>
      </c>
      <c r="B12" s="28">
        <f>IF($A12&lt;=الإعدادات!$B$6,DATE(الإعدادات!$B$3,الإعدادات!$B$4,$A12),"")</f>
        <v>46178</v>
      </c>
      <c r="C12" s="29">
        <f ca="1">IF($A12&lt;=الإعدادات!$B$6,N(INDIRECT("'يوم "&amp;$A12&amp;"'!E50")),"")</f>
        <v>91634</v>
      </c>
      <c r="D12" s="29">
        <f ca="1">IF($A12&lt;=الإعدادات!$B$6,N(INDIRECT("'يوم "&amp;$A12&amp;"'!O50")),"")</f>
        <v>0</v>
      </c>
      <c r="E12" s="29">
        <f ca="1">IF($A12&lt;=الإعدادات!$B$6,N(INDIRECT("'يوم "&amp;$A12&amp;"'!V50")),"")</f>
        <v>91634</v>
      </c>
      <c r="F12" s="30">
        <f t="shared" ca="1" si="0"/>
        <v>1</v>
      </c>
      <c r="G12" s="29">
        <f ca="1">IF($A12&lt;=الإعدادات!$B$6,N(INDIRECT("'يوم "&amp;$A12&amp;"'!F50")),"")</f>
        <v>13745.099999999999</v>
      </c>
      <c r="H12" s="29">
        <f ca="1">IF($A12&lt;=الإعدادات!$B$6,N(INDIRECT("'يوم "&amp;$A12&amp;"'!P50")),"")</f>
        <v>0</v>
      </c>
    </row>
    <row r="13" spans="1:8" x14ac:dyDescent="0.25">
      <c r="A13" s="27">
        <v>6</v>
      </c>
      <c r="B13" s="28">
        <f>IF($A13&lt;=الإعدادات!$B$6,DATE(الإعدادات!$B$3,الإعدادات!$B$4,$A13),"")</f>
        <v>46179</v>
      </c>
      <c r="C13" s="29">
        <f ca="1">IF($A13&lt;=الإعدادات!$B$6,N(INDIRECT("'يوم "&amp;$A13&amp;"'!E50")),"")</f>
        <v>136471.98000000001</v>
      </c>
      <c r="D13" s="29">
        <f ca="1">IF($A13&lt;=الإعدادات!$B$6,N(INDIRECT("'يوم "&amp;$A13&amp;"'!O50")),"")</f>
        <v>0</v>
      </c>
      <c r="E13" s="29">
        <f ca="1">IF($A13&lt;=الإعدادات!$B$6,N(INDIRECT("'يوم "&amp;$A13&amp;"'!V50")),"")</f>
        <v>136471.98000000001</v>
      </c>
      <c r="F13" s="30">
        <f t="shared" ca="1" si="0"/>
        <v>1</v>
      </c>
      <c r="G13" s="29">
        <f ca="1">IF($A13&lt;=الإعدادات!$B$6,N(INDIRECT("'يوم "&amp;$A13&amp;"'!F50")),"")</f>
        <v>20470.796999999999</v>
      </c>
      <c r="H13" s="29">
        <f ca="1">IF($A13&lt;=الإعدادات!$B$6,N(INDIRECT("'يوم "&amp;$A13&amp;"'!P50")),"")</f>
        <v>0</v>
      </c>
    </row>
    <row r="14" spans="1:8" x14ac:dyDescent="0.25">
      <c r="A14" s="27">
        <v>7</v>
      </c>
      <c r="B14" s="28">
        <f>IF($A14&lt;=الإعدادات!$B$6,DATE(الإعدادات!$B$3,الإعدادات!$B$4,$A14),"")</f>
        <v>46180</v>
      </c>
      <c r="C14" s="29">
        <f ca="1">IF($A14&lt;=الإعدادات!$B$6,N(INDIRECT("'يوم "&amp;$A14&amp;"'!E50")),"")</f>
        <v>109522</v>
      </c>
      <c r="D14" s="29">
        <f ca="1">IF($A14&lt;=الإعدادات!$B$6,N(INDIRECT("'يوم "&amp;$A14&amp;"'!O50")),"")</f>
        <v>0</v>
      </c>
      <c r="E14" s="29">
        <f ca="1">IF($A14&lt;=الإعدادات!$B$6,N(INDIRECT("'يوم "&amp;$A14&amp;"'!V50")),"")</f>
        <v>109522</v>
      </c>
      <c r="F14" s="30">
        <f t="shared" ca="1" si="0"/>
        <v>1</v>
      </c>
      <c r="G14" s="29">
        <f ca="1">IF($A14&lt;=الإعدادات!$B$6,N(INDIRECT("'يوم "&amp;$A14&amp;"'!F50")),"")</f>
        <v>16428.3</v>
      </c>
      <c r="H14" s="29">
        <f ca="1">IF($A14&lt;=الإعدادات!$B$6,N(INDIRECT("'يوم "&amp;$A14&amp;"'!P50")),"")</f>
        <v>0</v>
      </c>
    </row>
    <row r="15" spans="1:8" x14ac:dyDescent="0.25">
      <c r="A15" s="27">
        <v>8</v>
      </c>
      <c r="B15" s="28">
        <f>IF($A15&lt;=الإعدادات!$B$6,DATE(الإعدادات!$B$3,الإعدادات!$B$4,$A15),"")</f>
        <v>46181</v>
      </c>
      <c r="C15" s="29">
        <f ca="1">IF($A15&lt;=الإعدادات!$B$6,N(INDIRECT("'يوم "&amp;$A15&amp;"'!E50")),"")</f>
        <v>78957</v>
      </c>
      <c r="D15" s="29">
        <f ca="1">IF($A15&lt;=الإعدادات!$B$6,N(INDIRECT("'يوم "&amp;$A15&amp;"'!O50")),"")</f>
        <v>0</v>
      </c>
      <c r="E15" s="29">
        <f ca="1">IF($A15&lt;=الإعدادات!$B$6,N(INDIRECT("'يوم "&amp;$A15&amp;"'!V50")),"")</f>
        <v>78957</v>
      </c>
      <c r="F15" s="30">
        <f t="shared" ca="1" si="0"/>
        <v>1</v>
      </c>
      <c r="G15" s="29">
        <f ca="1">IF($A15&lt;=الإعدادات!$B$6,N(INDIRECT("'يوم "&amp;$A15&amp;"'!F50")),"")</f>
        <v>11843.550000000001</v>
      </c>
      <c r="H15" s="29">
        <f ca="1">IF($A15&lt;=الإعدادات!$B$6,N(INDIRECT("'يوم "&amp;$A15&amp;"'!P50")),"")</f>
        <v>0</v>
      </c>
    </row>
    <row r="16" spans="1:8" x14ac:dyDescent="0.25">
      <c r="A16" s="27">
        <v>9</v>
      </c>
      <c r="B16" s="28">
        <f>IF($A16&lt;=الإعدادات!$B$6,DATE(الإعدادات!$B$3,الإعدادات!$B$4,$A16),"")</f>
        <v>46182</v>
      </c>
      <c r="C16" s="29">
        <f ca="1">IF($A16&lt;=الإعدادات!$B$6,N(INDIRECT("'يوم "&amp;$A16&amp;"'!E50")),"")</f>
        <v>103299.2</v>
      </c>
      <c r="D16" s="29">
        <f ca="1">IF($A16&lt;=الإعدادات!$B$6,N(INDIRECT("'يوم "&amp;$A16&amp;"'!O50")),"")</f>
        <v>0</v>
      </c>
      <c r="E16" s="29">
        <f ca="1">IF($A16&lt;=الإعدادات!$B$6,N(INDIRECT("'يوم "&amp;$A16&amp;"'!V50")),"")</f>
        <v>103299.2</v>
      </c>
      <c r="F16" s="30">
        <f t="shared" ca="1" si="0"/>
        <v>1</v>
      </c>
      <c r="G16" s="29">
        <f ca="1">IF($A16&lt;=الإعدادات!$B$6,N(INDIRECT("'يوم "&amp;$A16&amp;"'!F50")),"")</f>
        <v>15494.880000000001</v>
      </c>
      <c r="H16" s="29">
        <f ca="1">IF($A16&lt;=الإعدادات!$B$6,N(INDIRECT("'يوم "&amp;$A16&amp;"'!P50")),"")</f>
        <v>0</v>
      </c>
    </row>
    <row r="17" spans="1:8" x14ac:dyDescent="0.25">
      <c r="A17" s="27">
        <v>10</v>
      </c>
      <c r="B17" s="28">
        <f>IF($A17&lt;=الإعدادات!$B$6,DATE(الإعدادات!$B$3,الإعدادات!$B$4,$A17),"")</f>
        <v>46183</v>
      </c>
      <c r="C17" s="29">
        <f ca="1">IF($A17&lt;=الإعدادات!$B$6,N(INDIRECT("'يوم "&amp;$A17&amp;"'!E50")),"")</f>
        <v>119752.70000000001</v>
      </c>
      <c r="D17" s="29">
        <f ca="1">IF($A17&lt;=الإعدادات!$B$6,N(INDIRECT("'يوم "&amp;$A17&amp;"'!O50")),"")</f>
        <v>0</v>
      </c>
      <c r="E17" s="29">
        <f ca="1">IF($A17&lt;=الإعدادات!$B$6,N(INDIRECT("'يوم "&amp;$A17&amp;"'!V50")),"")</f>
        <v>119752.70000000001</v>
      </c>
      <c r="F17" s="30">
        <f t="shared" ca="1" si="0"/>
        <v>1</v>
      </c>
      <c r="G17" s="29">
        <f ca="1">IF($A17&lt;=الإعدادات!$B$6,N(INDIRECT("'يوم "&amp;$A17&amp;"'!F50")),"")</f>
        <v>17962.904999999999</v>
      </c>
      <c r="H17" s="29">
        <f ca="1">IF($A17&lt;=الإعدادات!$B$6,N(INDIRECT("'يوم "&amp;$A17&amp;"'!P50")),"")</f>
        <v>0</v>
      </c>
    </row>
    <row r="18" spans="1:8" x14ac:dyDescent="0.25">
      <c r="A18" s="27">
        <v>11</v>
      </c>
      <c r="B18" s="28">
        <f>IF($A18&lt;=الإعدادات!$B$6,DATE(الإعدادات!$B$3,الإعدادات!$B$4,$A18),"")</f>
        <v>46184</v>
      </c>
      <c r="C18" s="29">
        <f ca="1">IF($A18&lt;=الإعدادات!$B$6,N(INDIRECT("'يوم "&amp;$A18&amp;"'!E50")),"")</f>
        <v>214039</v>
      </c>
      <c r="D18" s="29">
        <f ca="1">IF($A18&lt;=الإعدادات!$B$6,N(INDIRECT("'يوم "&amp;$A18&amp;"'!O50")),"")</f>
        <v>0</v>
      </c>
      <c r="E18" s="29">
        <f ca="1">IF($A18&lt;=الإعدادات!$B$6,N(INDIRECT("'يوم "&amp;$A18&amp;"'!V50")),"")</f>
        <v>214039</v>
      </c>
      <c r="F18" s="30">
        <f t="shared" ca="1" si="0"/>
        <v>1</v>
      </c>
      <c r="G18" s="29">
        <f ca="1">IF($A18&lt;=الإعدادات!$B$6,N(INDIRECT("'يوم "&amp;$A18&amp;"'!F50")),"")</f>
        <v>32105.85</v>
      </c>
      <c r="H18" s="29">
        <f ca="1">IF($A18&lt;=الإعدادات!$B$6,N(INDIRECT("'يوم "&amp;$A18&amp;"'!P50")),"")</f>
        <v>0</v>
      </c>
    </row>
    <row r="19" spans="1:8" x14ac:dyDescent="0.25">
      <c r="A19" s="27">
        <v>12</v>
      </c>
      <c r="B19" s="28">
        <f>IF($A19&lt;=الإعدادات!$B$6,DATE(الإعدادات!$B$3,الإعدادات!$B$4,$A19),"")</f>
        <v>46185</v>
      </c>
      <c r="C19" s="29">
        <f ca="1">IF($A19&lt;=الإعدادات!$B$6,N(INDIRECT("'يوم "&amp;$A19&amp;"'!E50")),"")</f>
        <v>111492</v>
      </c>
      <c r="D19" s="29">
        <f ca="1">IF($A19&lt;=الإعدادات!$B$6,N(INDIRECT("'يوم "&amp;$A19&amp;"'!O50")),"")</f>
        <v>0</v>
      </c>
      <c r="E19" s="29">
        <f ca="1">IF($A19&lt;=الإعدادات!$B$6,N(INDIRECT("'يوم "&amp;$A19&amp;"'!V50")),"")</f>
        <v>111492</v>
      </c>
      <c r="F19" s="30">
        <f t="shared" ca="1" si="0"/>
        <v>1</v>
      </c>
      <c r="G19" s="29">
        <f ca="1">IF($A19&lt;=الإعدادات!$B$6,N(INDIRECT("'يوم "&amp;$A19&amp;"'!F50")),"")</f>
        <v>16723.800000000003</v>
      </c>
      <c r="H19" s="29">
        <f ca="1">IF($A19&lt;=الإعدادات!$B$6,N(INDIRECT("'يوم "&amp;$A19&amp;"'!P50")),"")</f>
        <v>0</v>
      </c>
    </row>
    <row r="20" spans="1:8" x14ac:dyDescent="0.25">
      <c r="A20" s="27">
        <v>13</v>
      </c>
      <c r="B20" s="28">
        <f>IF($A20&lt;=الإعدادات!$B$6,DATE(الإعدادات!$B$3,الإعدادات!$B$4,$A20),"")</f>
        <v>46186</v>
      </c>
      <c r="C20" s="29">
        <f ca="1">IF($A20&lt;=الإعدادات!$B$6,N(INDIRECT("'يوم "&amp;$A20&amp;"'!E50")),"")</f>
        <v>69602</v>
      </c>
      <c r="D20" s="29">
        <f ca="1">IF($A20&lt;=الإعدادات!$B$6,N(INDIRECT("'يوم "&amp;$A20&amp;"'!O50")),"")</f>
        <v>0</v>
      </c>
      <c r="E20" s="29">
        <f ca="1">IF($A20&lt;=الإعدادات!$B$6,N(INDIRECT("'يوم "&amp;$A20&amp;"'!V50")),"")</f>
        <v>69602</v>
      </c>
      <c r="F20" s="30">
        <f t="shared" ca="1" si="0"/>
        <v>1</v>
      </c>
      <c r="G20" s="29">
        <f ca="1">IF($A20&lt;=الإعدادات!$B$6,N(INDIRECT("'يوم "&amp;$A20&amp;"'!F50")),"")</f>
        <v>10440.299999999999</v>
      </c>
      <c r="H20" s="29">
        <f ca="1">IF($A20&lt;=الإعدادات!$B$6,N(INDIRECT("'يوم "&amp;$A20&amp;"'!P50")),"")</f>
        <v>0</v>
      </c>
    </row>
    <row r="21" spans="1:8" x14ac:dyDescent="0.25">
      <c r="A21" s="27">
        <v>14</v>
      </c>
      <c r="B21" s="28">
        <f>IF($A21&lt;=الإعدادات!$B$6,DATE(الإعدادات!$B$3,الإعدادات!$B$4,$A21),"")</f>
        <v>46187</v>
      </c>
      <c r="C21" s="29">
        <f ca="1">IF($A21&lt;=الإعدادات!$B$6,N(INDIRECT("'يوم "&amp;$A21&amp;"'!E50")),"")</f>
        <v>0</v>
      </c>
      <c r="D21" s="29">
        <f ca="1">IF($A21&lt;=الإعدادات!$B$6,N(INDIRECT("'يوم "&amp;$A21&amp;"'!O50")),"")</f>
        <v>0</v>
      </c>
      <c r="E21" s="29">
        <f ca="1">IF($A21&lt;=الإعدادات!$B$6,N(INDIRECT("'يوم "&amp;$A21&amp;"'!V50")),"")</f>
        <v>0</v>
      </c>
      <c r="F21" s="30" t="str">
        <f t="shared" ca="1" si="0"/>
        <v/>
      </c>
      <c r="G21" s="29">
        <f ca="1">IF($A21&lt;=الإعدادات!$B$6,N(INDIRECT("'يوم "&amp;$A21&amp;"'!F50")),"")</f>
        <v>0</v>
      </c>
      <c r="H21" s="29">
        <f ca="1">IF($A21&lt;=الإعدادات!$B$6,N(INDIRECT("'يوم "&amp;$A21&amp;"'!P50")),"")</f>
        <v>0</v>
      </c>
    </row>
    <row r="22" spans="1:8" x14ac:dyDescent="0.25">
      <c r="A22" s="27">
        <v>15</v>
      </c>
      <c r="B22" s="28">
        <f>IF($A22&lt;=الإعدادات!$B$6,DATE(الإعدادات!$B$3,الإعدادات!$B$4,$A22),"")</f>
        <v>46188</v>
      </c>
      <c r="C22" s="29">
        <f ca="1">IF($A22&lt;=الإعدادات!$B$6,N(INDIRECT("'يوم "&amp;$A22&amp;"'!E50")),"")</f>
        <v>178820.7</v>
      </c>
      <c r="D22" s="29">
        <f ca="1">IF($A22&lt;=الإعدادات!$B$6,N(INDIRECT("'يوم "&amp;$A22&amp;"'!O50")),"")</f>
        <v>0</v>
      </c>
      <c r="E22" s="29">
        <f ca="1">IF($A22&lt;=الإعدادات!$B$6,N(INDIRECT("'يوم "&amp;$A22&amp;"'!V50")),"")</f>
        <v>178820.7</v>
      </c>
      <c r="F22" s="30">
        <f t="shared" ca="1" si="0"/>
        <v>1</v>
      </c>
      <c r="G22" s="29">
        <f ca="1">IF($A22&lt;=الإعدادات!$B$6,N(INDIRECT("'يوم "&amp;$A22&amp;"'!F50")),"")</f>
        <v>26823.105</v>
      </c>
      <c r="H22" s="29">
        <f ca="1">IF($A22&lt;=الإعدادات!$B$6,N(INDIRECT("'يوم "&amp;$A22&amp;"'!P50")),"")</f>
        <v>0</v>
      </c>
    </row>
    <row r="23" spans="1:8" x14ac:dyDescent="0.25">
      <c r="A23" s="27">
        <v>16</v>
      </c>
      <c r="B23" s="28">
        <f>IF($A23&lt;=الإعدادات!$B$6,DATE(الإعدادات!$B$3,الإعدادات!$B$4,$A23),"")</f>
        <v>46189</v>
      </c>
      <c r="C23" s="29">
        <f ca="1">IF($A23&lt;=الإعدادات!$B$6,N(INDIRECT("'يوم "&amp;$A23&amp;"'!E50")),"")</f>
        <v>51607.399999999994</v>
      </c>
      <c r="D23" s="29">
        <f ca="1">IF($A23&lt;=الإعدادات!$B$6,N(INDIRECT("'يوم "&amp;$A23&amp;"'!O50")),"")</f>
        <v>0</v>
      </c>
      <c r="E23" s="29">
        <f ca="1">IF($A23&lt;=الإعدادات!$B$6,N(INDIRECT("'يوم "&amp;$A23&amp;"'!V50")),"")</f>
        <v>51607.399999999994</v>
      </c>
      <c r="F23" s="30">
        <f t="shared" ca="1" si="0"/>
        <v>1</v>
      </c>
      <c r="G23" s="29">
        <f ca="1">IF($A23&lt;=الإعدادات!$B$6,N(INDIRECT("'يوم "&amp;$A23&amp;"'!F50")),"")</f>
        <v>7741.11</v>
      </c>
      <c r="H23" s="29">
        <f ca="1">IF($A23&lt;=الإعدادات!$B$6,N(INDIRECT("'يوم "&amp;$A23&amp;"'!P50")),"")</f>
        <v>0</v>
      </c>
    </row>
    <row r="24" spans="1:8" x14ac:dyDescent="0.25">
      <c r="A24" s="27">
        <v>17</v>
      </c>
      <c r="B24" s="28">
        <f>IF($A24&lt;=الإعدادات!$B$6,DATE(الإعدادات!$B$3,الإعدادات!$B$4,$A24),"")</f>
        <v>46190</v>
      </c>
      <c r="C24" s="29">
        <f ca="1">IF($A24&lt;=الإعدادات!$B$6,N(INDIRECT("'يوم "&amp;$A24&amp;"'!E50")),"")</f>
        <v>112340.5</v>
      </c>
      <c r="D24" s="29">
        <f ca="1">IF($A24&lt;=الإعدادات!$B$6,N(INDIRECT("'يوم "&amp;$A24&amp;"'!O50")),"")</f>
        <v>0</v>
      </c>
      <c r="E24" s="29">
        <f ca="1">IF($A24&lt;=الإعدادات!$B$6,N(INDIRECT("'يوم "&amp;$A24&amp;"'!V50")),"")</f>
        <v>112340.5</v>
      </c>
      <c r="F24" s="30">
        <f t="shared" ca="1" si="0"/>
        <v>1</v>
      </c>
      <c r="G24" s="29">
        <f ca="1">IF($A24&lt;=الإعدادات!$B$6,N(INDIRECT("'يوم "&amp;$A24&amp;"'!F50")),"")</f>
        <v>16851.075000000001</v>
      </c>
      <c r="H24" s="29">
        <f ca="1">IF($A24&lt;=الإعدادات!$B$6,N(INDIRECT("'يوم "&amp;$A24&amp;"'!P50")),"")</f>
        <v>0</v>
      </c>
    </row>
    <row r="25" spans="1:8" x14ac:dyDescent="0.25">
      <c r="A25" s="27">
        <v>18</v>
      </c>
      <c r="B25" s="28">
        <f>IF($A25&lt;=الإعدادات!$B$6,DATE(الإعدادات!$B$3,الإعدادات!$B$4,$A25),"")</f>
        <v>46191</v>
      </c>
      <c r="C25" s="29">
        <f ca="1">IF($A25&lt;=الإعدادات!$B$6,N(INDIRECT("'يوم "&amp;$A25&amp;"'!E50")),"")</f>
        <v>193287.4</v>
      </c>
      <c r="D25" s="29">
        <f ca="1">IF($A25&lt;=الإعدادات!$B$6,N(INDIRECT("'يوم "&amp;$A25&amp;"'!O50")),"")</f>
        <v>0</v>
      </c>
      <c r="E25" s="29">
        <f ca="1">IF($A25&lt;=الإعدادات!$B$6,N(INDIRECT("'يوم "&amp;$A25&amp;"'!V50")),"")</f>
        <v>193287.4</v>
      </c>
      <c r="F25" s="30">
        <f t="shared" ca="1" si="0"/>
        <v>1</v>
      </c>
      <c r="G25" s="29">
        <f ca="1">IF($A25&lt;=الإعدادات!$B$6,N(INDIRECT("'يوم "&amp;$A25&amp;"'!F50")),"")</f>
        <v>28993.109999999997</v>
      </c>
      <c r="H25" s="29">
        <f ca="1">IF($A25&lt;=الإعدادات!$B$6,N(INDIRECT("'يوم "&amp;$A25&amp;"'!P50")),"")</f>
        <v>0</v>
      </c>
    </row>
    <row r="26" spans="1:8" x14ac:dyDescent="0.25">
      <c r="A26" s="27">
        <v>19</v>
      </c>
      <c r="B26" s="28">
        <f>IF($A26&lt;=الإعدادات!$B$6,DATE(الإعدادات!$B$3,الإعدادات!$B$4,$A26),"")</f>
        <v>46192</v>
      </c>
      <c r="C26" s="29">
        <f ca="1">IF($A26&lt;=الإعدادات!$B$6,N(INDIRECT("'يوم "&amp;$A26&amp;"'!E50")),"")</f>
        <v>52560</v>
      </c>
      <c r="D26" s="29">
        <f ca="1">IF($A26&lt;=الإعدادات!$B$6,N(INDIRECT("'يوم "&amp;$A26&amp;"'!O50")),"")</f>
        <v>0</v>
      </c>
      <c r="E26" s="29">
        <f ca="1">IF($A26&lt;=الإعدادات!$B$6,N(INDIRECT("'يوم "&amp;$A26&amp;"'!V50")),"")</f>
        <v>52560</v>
      </c>
      <c r="F26" s="30">
        <f t="shared" ca="1" si="0"/>
        <v>1</v>
      </c>
      <c r="G26" s="29">
        <f ca="1">IF($A26&lt;=الإعدادات!$B$6,N(INDIRECT("'يوم "&amp;$A26&amp;"'!F50")),"")</f>
        <v>7884</v>
      </c>
      <c r="H26" s="29">
        <f ca="1">IF($A26&lt;=الإعدادات!$B$6,N(INDIRECT("'يوم "&amp;$A26&amp;"'!P50")),"")</f>
        <v>0</v>
      </c>
    </row>
    <row r="27" spans="1:8" x14ac:dyDescent="0.25">
      <c r="A27" s="27">
        <v>20</v>
      </c>
      <c r="B27" s="28">
        <f>IF($A27&lt;=الإعدادات!$B$6,DATE(الإعدادات!$B$3,الإعدادات!$B$4,$A27),"")</f>
        <v>46193</v>
      </c>
      <c r="C27" s="29">
        <f ca="1">IF($A27&lt;=الإعدادات!$B$6,N(INDIRECT("'يوم "&amp;$A27&amp;"'!E50")),"")</f>
        <v>108374</v>
      </c>
      <c r="D27" s="29">
        <f ca="1">IF($A27&lt;=الإعدادات!$B$6,N(INDIRECT("'يوم "&amp;$A27&amp;"'!O50")),"")</f>
        <v>0</v>
      </c>
      <c r="E27" s="29">
        <f ca="1">IF($A27&lt;=الإعدادات!$B$6,N(INDIRECT("'يوم "&amp;$A27&amp;"'!V50")),"")</f>
        <v>108374</v>
      </c>
      <c r="F27" s="30">
        <f t="shared" ca="1" si="0"/>
        <v>1</v>
      </c>
      <c r="G27" s="29">
        <f ca="1">IF($A27&lt;=الإعدادات!$B$6,N(INDIRECT("'يوم "&amp;$A27&amp;"'!F50")),"")</f>
        <v>16256.1</v>
      </c>
      <c r="H27" s="29">
        <f ca="1">IF($A27&lt;=الإعدادات!$B$6,N(INDIRECT("'يوم "&amp;$A27&amp;"'!P50")),"")</f>
        <v>0</v>
      </c>
    </row>
    <row r="28" spans="1:8" x14ac:dyDescent="0.25">
      <c r="A28" s="27">
        <v>21</v>
      </c>
      <c r="B28" s="28">
        <f>IF($A28&lt;=الإعدادات!$B$6,DATE(الإعدادات!$B$3,الإعدادات!$B$4,$A28),"")</f>
        <v>46194</v>
      </c>
      <c r="C28" s="29">
        <f ca="1">IF($A28&lt;=الإعدادات!$B$6,N(INDIRECT("'يوم "&amp;$A28&amp;"'!E50")),"")</f>
        <v>108913.5</v>
      </c>
      <c r="D28" s="29">
        <f ca="1">IF($A28&lt;=الإعدادات!$B$6,N(INDIRECT("'يوم "&amp;$A28&amp;"'!O50")),"")</f>
        <v>0</v>
      </c>
      <c r="E28" s="29">
        <f ca="1">IF($A28&lt;=الإعدادات!$B$6,N(INDIRECT("'يوم "&amp;$A28&amp;"'!V50")),"")</f>
        <v>108913.5</v>
      </c>
      <c r="F28" s="30">
        <f t="shared" ca="1" si="0"/>
        <v>1</v>
      </c>
      <c r="G28" s="29">
        <f ca="1">IF($A28&lt;=الإعدادات!$B$6,N(INDIRECT("'يوم "&amp;$A28&amp;"'!F50")),"")</f>
        <v>16337.025</v>
      </c>
      <c r="H28" s="29">
        <f ca="1">IF($A28&lt;=الإعدادات!$B$6,N(INDIRECT("'يوم "&amp;$A28&amp;"'!P50")),"")</f>
        <v>0</v>
      </c>
    </row>
    <row r="29" spans="1:8" x14ac:dyDescent="0.25">
      <c r="A29" s="27">
        <v>22</v>
      </c>
      <c r="B29" s="28">
        <f>IF($A29&lt;=الإعدادات!$B$6,DATE(الإعدادات!$B$3,الإعدادات!$B$4,$A29),"")</f>
        <v>46195</v>
      </c>
      <c r="C29" s="29">
        <f ca="1">IF($A29&lt;=الإعدادات!$B$6,N(INDIRECT("'يوم "&amp;$A29&amp;"'!E50")),"")</f>
        <v>244297.5</v>
      </c>
      <c r="D29" s="29">
        <f ca="1">IF($A29&lt;=الإعدادات!$B$6,N(INDIRECT("'يوم "&amp;$A29&amp;"'!O50")),"")</f>
        <v>0</v>
      </c>
      <c r="E29" s="29">
        <f ca="1">IF($A29&lt;=الإعدادات!$B$6,N(INDIRECT("'يوم "&amp;$A29&amp;"'!V50")),"")</f>
        <v>244297.5</v>
      </c>
      <c r="F29" s="30">
        <f t="shared" ca="1" si="0"/>
        <v>1</v>
      </c>
      <c r="G29" s="29">
        <f ca="1">IF($A29&lt;=الإعدادات!$B$6,N(INDIRECT("'يوم "&amp;$A29&amp;"'!F50")),"")</f>
        <v>36644.625</v>
      </c>
      <c r="H29" s="29">
        <f ca="1">IF($A29&lt;=الإعدادات!$B$6,N(INDIRECT("'يوم "&amp;$A29&amp;"'!P50")),"")</f>
        <v>0</v>
      </c>
    </row>
    <row r="30" spans="1:8" x14ac:dyDescent="0.25">
      <c r="A30" s="27">
        <v>23</v>
      </c>
      <c r="B30" s="28">
        <f>IF($A30&lt;=الإعدادات!$B$6,DATE(الإعدادات!$B$3,الإعدادات!$B$4,$A30),"")</f>
        <v>46196</v>
      </c>
      <c r="C30" s="29">
        <f ca="1">IF($A30&lt;=الإعدادات!$B$6,N(INDIRECT("'يوم "&amp;$A30&amp;"'!E50")),"")</f>
        <v>79959.5</v>
      </c>
      <c r="D30" s="29">
        <f ca="1">IF($A30&lt;=الإعدادات!$B$6,N(INDIRECT("'يوم "&amp;$A30&amp;"'!O50")),"")</f>
        <v>0</v>
      </c>
      <c r="E30" s="29">
        <f ca="1">IF($A30&lt;=الإعدادات!$B$6,N(INDIRECT("'يوم "&amp;$A30&amp;"'!V50")),"")</f>
        <v>79959.5</v>
      </c>
      <c r="F30" s="30">
        <f t="shared" ca="1" si="0"/>
        <v>1</v>
      </c>
      <c r="G30" s="29">
        <f ca="1">IF($A30&lt;=الإعدادات!$B$6,N(INDIRECT("'يوم "&amp;$A30&amp;"'!F50")),"")</f>
        <v>11993.924999999999</v>
      </c>
      <c r="H30" s="29">
        <f ca="1">IF($A30&lt;=الإعدادات!$B$6,N(INDIRECT("'يوم "&amp;$A30&amp;"'!P50")),"")</f>
        <v>0</v>
      </c>
    </row>
    <row r="31" spans="1:8" x14ac:dyDescent="0.25">
      <c r="A31" s="27">
        <v>24</v>
      </c>
      <c r="B31" s="28">
        <f>IF($A31&lt;=الإعدادات!$B$6,DATE(الإعدادات!$B$3,الإعدادات!$B$4,$A31),"")</f>
        <v>46197</v>
      </c>
      <c r="C31" s="29">
        <f ca="1">IF($A31&lt;=الإعدادات!$B$6,N(INDIRECT("'يوم "&amp;$A31&amp;"'!E50")),"")</f>
        <v>79959.5</v>
      </c>
      <c r="D31" s="29">
        <f ca="1">IF($A31&lt;=الإعدادات!$B$6,N(INDIRECT("'يوم "&amp;$A31&amp;"'!O50")),"")</f>
        <v>0</v>
      </c>
      <c r="E31" s="29">
        <f ca="1">IF($A31&lt;=الإعدادات!$B$6,N(INDIRECT("'يوم "&amp;$A31&amp;"'!V50")),"")</f>
        <v>79959.5</v>
      </c>
      <c r="F31" s="30">
        <f t="shared" ca="1" si="0"/>
        <v>1</v>
      </c>
      <c r="G31" s="29">
        <f ca="1">IF($A31&lt;=الإعدادات!$B$6,N(INDIRECT("'يوم "&amp;$A31&amp;"'!F50")),"")</f>
        <v>11993.924999999999</v>
      </c>
      <c r="H31" s="29">
        <f ca="1">IF($A31&lt;=الإعدادات!$B$6,N(INDIRECT("'يوم "&amp;$A31&amp;"'!P50")),"")</f>
        <v>0</v>
      </c>
    </row>
    <row r="32" spans="1:8" x14ac:dyDescent="0.25">
      <c r="A32" s="27">
        <v>25</v>
      </c>
      <c r="B32" s="28">
        <f>IF($A32&lt;=الإعدادات!$B$6,DATE(الإعدادات!$B$3,الإعدادات!$B$4,$A32),"")</f>
        <v>46198</v>
      </c>
      <c r="C32" s="29">
        <f ca="1">IF($A32&lt;=الإعدادات!$B$6,N(INDIRECT("'يوم "&amp;$A32&amp;"'!E50")),"")</f>
        <v>176276.8</v>
      </c>
      <c r="D32" s="29">
        <f ca="1">IF($A32&lt;=الإعدادات!$B$6,N(INDIRECT("'يوم "&amp;$A32&amp;"'!O50")),"")</f>
        <v>0</v>
      </c>
      <c r="E32" s="29">
        <f ca="1">IF($A32&lt;=الإعدادات!$B$6,N(INDIRECT("'يوم "&amp;$A32&amp;"'!V50")),"")</f>
        <v>176276.8</v>
      </c>
      <c r="F32" s="30">
        <f t="shared" ca="1" si="0"/>
        <v>1</v>
      </c>
      <c r="G32" s="29">
        <f ca="1">IF($A32&lt;=الإعدادات!$B$6,N(INDIRECT("'يوم "&amp;$A32&amp;"'!F50")),"")</f>
        <v>26441.520000000004</v>
      </c>
      <c r="H32" s="29">
        <f ca="1">IF($A32&lt;=الإعدادات!$B$6,N(INDIRECT("'يوم "&amp;$A32&amp;"'!P50")),"")</f>
        <v>0</v>
      </c>
    </row>
    <row r="33" spans="1:8" x14ac:dyDescent="0.25">
      <c r="A33" s="27">
        <v>26</v>
      </c>
      <c r="B33" s="28">
        <f>IF($A33&lt;=الإعدادات!$B$6,DATE(الإعدادات!$B$3,الإعدادات!$B$4,$A33),"")</f>
        <v>46199</v>
      </c>
      <c r="C33" s="29">
        <f ca="1">IF($A33&lt;=الإعدادات!$B$6,N(INDIRECT("'يوم "&amp;$A33&amp;"'!E50")),"")</f>
        <v>221791</v>
      </c>
      <c r="D33" s="29">
        <f ca="1">IF($A33&lt;=الإعدادات!$B$6,N(INDIRECT("'يوم "&amp;$A33&amp;"'!O50")),"")</f>
        <v>0</v>
      </c>
      <c r="E33" s="29">
        <f ca="1">IF($A33&lt;=الإعدادات!$B$6,N(INDIRECT("'يوم "&amp;$A33&amp;"'!V50")),"")</f>
        <v>221791</v>
      </c>
      <c r="F33" s="30">
        <f t="shared" ca="1" si="0"/>
        <v>1</v>
      </c>
      <c r="G33" s="29">
        <f ca="1">IF($A33&lt;=الإعدادات!$B$6,N(INDIRECT("'يوم "&amp;$A33&amp;"'!F50")),"")</f>
        <v>33268.65</v>
      </c>
      <c r="H33" s="29">
        <f ca="1">IF($A33&lt;=الإعدادات!$B$6,N(INDIRECT("'يوم "&amp;$A33&amp;"'!P50")),"")</f>
        <v>0</v>
      </c>
    </row>
    <row r="34" spans="1:8" x14ac:dyDescent="0.25">
      <c r="A34" s="27">
        <v>27</v>
      </c>
      <c r="B34" s="28">
        <f>IF($A34&lt;=الإعدادات!$B$6,DATE(الإعدادات!$B$3,الإعدادات!$B$4,$A34),"")</f>
        <v>46200</v>
      </c>
      <c r="C34" s="29">
        <f ca="1">IF($A34&lt;=الإعدادات!$B$6,N(INDIRECT("'يوم "&amp;$A34&amp;"'!E50")),"")</f>
        <v>68409.600000000006</v>
      </c>
      <c r="D34" s="29">
        <f ca="1">IF($A34&lt;=الإعدادات!$B$6,N(INDIRECT("'يوم "&amp;$A34&amp;"'!O50")),"")</f>
        <v>0</v>
      </c>
      <c r="E34" s="29">
        <f ca="1">IF($A34&lt;=الإعدادات!$B$6,N(INDIRECT("'يوم "&amp;$A34&amp;"'!V50")),"")</f>
        <v>68409.600000000006</v>
      </c>
      <c r="F34" s="30">
        <f t="shared" ca="1" si="0"/>
        <v>1</v>
      </c>
      <c r="G34" s="29">
        <f ca="1">IF($A34&lt;=الإعدادات!$B$6,N(INDIRECT("'يوم "&amp;$A34&amp;"'!F50")),"")</f>
        <v>10261.44</v>
      </c>
      <c r="H34" s="29">
        <f ca="1">IF($A34&lt;=الإعدادات!$B$6,N(INDIRECT("'يوم "&amp;$A34&amp;"'!P50")),"")</f>
        <v>0</v>
      </c>
    </row>
    <row r="35" spans="1:8" x14ac:dyDescent="0.25">
      <c r="A35" s="27">
        <v>28</v>
      </c>
      <c r="B35" s="28">
        <f>IF($A35&lt;=الإعدادات!$B$6,DATE(الإعدادات!$B$3,الإعدادات!$B$4,$A35),"")</f>
        <v>46201</v>
      </c>
      <c r="C35" s="29">
        <f ca="1">IF($A35&lt;=الإعدادات!$B$6,N(INDIRECT("'يوم "&amp;$A35&amp;"'!E50")),"")</f>
        <v>122801.60000000001</v>
      </c>
      <c r="D35" s="29">
        <f ca="1">IF($A35&lt;=الإعدادات!$B$6,N(INDIRECT("'يوم "&amp;$A35&amp;"'!O50")),"")</f>
        <v>0</v>
      </c>
      <c r="E35" s="29">
        <f ca="1">IF($A35&lt;=الإعدادات!$B$6,N(INDIRECT("'يوم "&amp;$A35&amp;"'!V50")),"")</f>
        <v>122801.60000000001</v>
      </c>
      <c r="F35" s="30">
        <f t="shared" ca="1" si="0"/>
        <v>1</v>
      </c>
      <c r="G35" s="29">
        <f ca="1">IF($A35&lt;=الإعدادات!$B$6,N(INDIRECT("'يوم "&amp;$A35&amp;"'!F50")),"")</f>
        <v>18420.239999999998</v>
      </c>
      <c r="H35" s="29">
        <f ca="1">IF($A35&lt;=الإعدادات!$B$6,N(INDIRECT("'يوم "&amp;$A35&amp;"'!P50")),"")</f>
        <v>0</v>
      </c>
    </row>
    <row r="36" spans="1:8" x14ac:dyDescent="0.25">
      <c r="A36" s="27">
        <v>29</v>
      </c>
      <c r="B36" s="28">
        <f>IF($A36&lt;=الإعدادات!$B$6,DATE(الإعدادات!$B$3,الإعدادات!$B$4,$A36),"")</f>
        <v>46202</v>
      </c>
      <c r="C36" s="29">
        <f ca="1">IF($A36&lt;=الإعدادات!$B$6,N(INDIRECT("'يوم "&amp;$A36&amp;"'!E50")),"")</f>
        <v>167276.6</v>
      </c>
      <c r="D36" s="29">
        <f ca="1">IF($A36&lt;=الإعدادات!$B$6,N(INDIRECT("'يوم "&amp;$A36&amp;"'!O50")),"")</f>
        <v>0</v>
      </c>
      <c r="E36" s="29">
        <f ca="1">IF($A36&lt;=الإعدادات!$B$6,N(INDIRECT("'يوم "&amp;$A36&amp;"'!V50")),"")</f>
        <v>167276.6</v>
      </c>
      <c r="F36" s="30">
        <f t="shared" ca="1" si="0"/>
        <v>1</v>
      </c>
      <c r="G36" s="29">
        <f ca="1">IF($A36&lt;=الإعدادات!$B$6,N(INDIRECT("'يوم "&amp;$A36&amp;"'!F50")),"")</f>
        <v>25091.489999999998</v>
      </c>
      <c r="H36" s="29">
        <f ca="1">IF($A36&lt;=الإعدادات!$B$6,N(INDIRECT("'يوم "&amp;$A36&amp;"'!P50")),"")</f>
        <v>0</v>
      </c>
    </row>
    <row r="37" spans="1:8" x14ac:dyDescent="0.25">
      <c r="A37" s="27">
        <v>30</v>
      </c>
      <c r="B37" s="28">
        <f>IF($A37&lt;=الإعدادات!$B$6,DATE(الإعدادات!$B$3,الإعدادات!$B$4,$A37),"")</f>
        <v>46203</v>
      </c>
      <c r="C37" s="29">
        <f ca="1">IF($A37&lt;=الإعدادات!$B$6,N(INDIRECT("'يوم "&amp;$A37&amp;"'!E50")),"")</f>
        <v>89106.5</v>
      </c>
      <c r="D37" s="29">
        <f ca="1">IF($A37&lt;=الإعدادات!$B$6,N(INDIRECT("'يوم "&amp;$A37&amp;"'!O50")),"")</f>
        <v>0</v>
      </c>
      <c r="E37" s="29">
        <f ca="1">IF($A37&lt;=الإعدادات!$B$6,N(INDIRECT("'يوم "&amp;$A37&amp;"'!V50")),"")</f>
        <v>89106.5</v>
      </c>
      <c r="F37" s="30">
        <f t="shared" ca="1" si="0"/>
        <v>1</v>
      </c>
      <c r="G37" s="29">
        <f ca="1">IF($A37&lt;=الإعدادات!$B$6,N(INDIRECT("'يوم "&amp;$A37&amp;"'!F50")),"")</f>
        <v>13365.975</v>
      </c>
      <c r="H37" s="29">
        <f ca="1">IF($A37&lt;=الإعدادات!$B$6,N(INDIRECT("'يوم "&amp;$A37&amp;"'!P50")),"")</f>
        <v>0</v>
      </c>
    </row>
    <row r="38" spans="1:8" x14ac:dyDescent="0.25">
      <c r="A38" s="27">
        <v>31</v>
      </c>
      <c r="B38" s="28" t="str">
        <f>IF($A38&lt;=الإعدادات!$B$6,DATE(الإعدادات!$B$3,الإعدادات!$B$4,$A38),"")</f>
        <v/>
      </c>
      <c r="C38" s="29" t="str">
        <f ca="1">IF($A38&lt;=الإعدادات!$B$6,N(INDIRECT("'يوم "&amp;$A38&amp;"'!E50")),"")</f>
        <v/>
      </c>
      <c r="D38" s="29" t="str">
        <f ca="1">IF($A38&lt;=الإعدادات!$B$6,N(INDIRECT("'يوم "&amp;$A38&amp;"'!O50")),"")</f>
        <v/>
      </c>
      <c r="E38" s="29" t="str">
        <f ca="1">IF($A38&lt;=الإعدادات!$B$6,N(INDIRECT("'يوم "&amp;$A38&amp;"'!V50")),"")</f>
        <v/>
      </c>
      <c r="F38" s="30" t="str">
        <f t="shared" ca="1" si="0"/>
        <v/>
      </c>
      <c r="G38" s="29" t="str">
        <f ca="1">IF($A38&lt;=الإعدادات!$B$6,N(INDIRECT("'يوم "&amp;$A38&amp;"'!F50")),"")</f>
        <v/>
      </c>
      <c r="H38" s="29" t="str">
        <f ca="1">IF($A38&lt;=الإعدادات!$B$6,N(INDIRECT("'يوم "&amp;$A38&amp;"'!P50")),"")</f>
        <v/>
      </c>
    </row>
    <row r="39" spans="1:8" ht="15" customHeight="1" x14ac:dyDescent="0.25">
      <c r="A39" s="5" t="s">
        <v>42</v>
      </c>
      <c r="B39" s="5"/>
      <c r="C39" s="32">
        <f ca="1">SUM(C8:C38)</f>
        <v>3643044.58</v>
      </c>
      <c r="D39" s="32">
        <f ca="1">SUM(D8:D38)</f>
        <v>121287</v>
      </c>
      <c r="E39" s="32">
        <f ca="1">SUM(E8:E38)</f>
        <v>3521757.5799999996</v>
      </c>
      <c r="F39" s="33">
        <f t="shared" ca="1" si="0"/>
        <v>0.96670724243511719</v>
      </c>
      <c r="G39" s="32">
        <f ca="1">SUM(G8:G38)</f>
        <v>546456.68699999992</v>
      </c>
      <c r="H39" s="32">
        <f ca="1">SUM(H8:H38)</f>
        <v>18193.05</v>
      </c>
    </row>
    <row r="42" spans="1:8" ht="25.5" customHeight="1">
      <c r="A42" s="6" t="inlineStr">
        <is>
          <t xml:space="preserve">مؤشرات إضافية — مركز ضريبة القيمة المضافة والأداء اليومي</t>
        </is>
      </c>
      <c r="B42" s="6"/>
      <c r="C42" s="6"/>
      <c r="D42" s="6"/>
      <c r="E42" s="6"/>
      <c r="F42" s="6"/>
      <c r="G42" s="6"/>
      <c r="H42" s="6"/>
    </row>
    <row r="43" spans="1:8" ht="30" customHeight="1">
      <c r="B43" s="17" t="inlineStr">
        <is>
          <t xml:space="preserve">صافي ض.ق.م المستحقة للسداد (مبيعات − مشتريات)</t>
        </is>
      </c>
      <c r="D43" s="18" t="inlineStr">
        <is>
          <t xml:space="preserve">ض.ق.م المبيعات (محصّلة)</t>
        </is>
      </c>
      <c r="F43" s="19" t="inlineStr">
        <is>
          <t xml:space="preserve">ض.ق.م المشتريات (قابلة للخصم)</t>
        </is>
      </c>
      <c r="H43" s="20" t="inlineStr">
        <is>
          <t xml:space="preserve">إجمالي المبيعات شامل الضريبة</t>
        </is>
      </c>
    </row>
    <row r="44" spans="1:8" ht="16.5">
      <c r="B44" s="21">
        <f ca="1">G39-H39</f>
        <v>528263.637</v>
      </c>
      <c r="D44" s="22">
        <f ca="1">G39</f>
        <v>546456.687</v>
      </c>
      <c r="F44" s="23">
        <f ca="1">H39</f>
        <v>18193.05</v>
      </c>
      <c r="H44" s="21">
        <f ca="1">B4+G39</f>
        <v>4189501.267</v>
      </c>
    </row>
    <row r="46" spans="1:8" ht="30" customHeight="1">
      <c r="B46" s="17" t="inlineStr">
        <is>
          <t xml:space="preserve">عدد أيام العمل الفعّالة</t>
        </is>
      </c>
      <c r="D46" s="18" t="inlineStr">
        <is>
          <t xml:space="preserve">متوسط المبيعات اليومي</t>
        </is>
      </c>
      <c r="F46" s="19" t="inlineStr">
        <is>
          <t xml:space="preserve">متوسط صافي الربح اليومي</t>
        </is>
      </c>
      <c r="H46" s="20" t="inlineStr">
        <is>
          <t xml:space="preserve">أعلى مبيعات في يوم واحد</t>
        </is>
      </c>
    </row>
    <row r="47" spans="1:8" ht="16.5">
      <c r="B47" s="27">
        <f ca="1">COUNTIF(C8:C38,"&gt;0")</f>
        <v>29</v>
      </c>
      <c r="D47" s="21">
        <f ca="1">IF(N($B$47)=0,"",B4/$B$47)</f>
        <v>125622.226896552</v>
      </c>
      <c r="F47" s="21">
        <f ca="1">IF(N($B$47)=0,"",F4/$B$47)</f>
        <v>121439.916551724</v>
      </c>
      <c r="H47" s="21">
        <f ca="1">MAX(C8:C38)</f>
        <v>244297.5</v>
      </c>
    </row>
  </sheetData>
  <sheetProtection sheet="1" formatCells="0"/>
  <mergeCells count="3">
    <mergeCell ref="A1:H1"/>
    <mergeCell ref="A39:B39"/>
    <mergeCell ref="A42:H42"/>
  </mergeCells>
  <conditionalFormatting sqref="E8:E39">
    <cfRule type="cellIs" dxfId="310" priority="2" operator="less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C1000"/>
  <sheetViews>
    <sheetView rightToLeft="1" zoomScaleNormal="100" workbookViewId="0">
      <pane ySplit="2" topLeftCell="A3" activePane="bottomLeft" state="frozen"/>
      <selection pane="bottomLeft" sqref="A1:B1"/>
    </sheetView>
  </sheetViews>
  <sheetFormatPr defaultColWidth="8.7109375" defaultRowHeight="15" x14ac:dyDescent="0.25"/>
  <cols>
    <col min="1" max="1" width="16" customWidth="1"/>
    <col min="2" max="2" width="34" customWidth="1"/>
    <col min="3" max="3" width="13" hidden="1" customWidth="1"/>
  </cols>
  <sheetData>
    <row r="1" spans="1:3" ht="15" customHeight="1" x14ac:dyDescent="0.25">
      <c r="A1" s="8" t="s">
        <v>43</v>
      </c>
      <c r="B1" s="8"/>
    </row>
    <row r="2" spans="1:3" x14ac:dyDescent="0.25">
      <c r="A2" s="34" t="s">
        <v>44</v>
      </c>
      <c r="B2" s="34" t="s">
        <v>45</v>
      </c>
    </row>
    <row r="3" spans="1:3" x14ac:dyDescent="0.25">
      <c r="A3" s="35" t="s">
        <v>46</v>
      </c>
      <c r="B3" s="36" t="s">
        <v>47</v>
      </c>
      <c r="C3" t="str">
        <f t="shared" ref="C3:C66" si="0">IF(TRIM(A3)="","",IF(ISNUMBER(VALUE(TRIM(A3))),TEXT(VALUE(TRIM(A3)),"0"),TRIM(A3)))</f>
        <v>48271</v>
      </c>
    </row>
    <row r="4" spans="1:3" x14ac:dyDescent="0.25">
      <c r="A4" s="35" t="s">
        <v>48</v>
      </c>
      <c r="B4" s="36" t="s">
        <v>49</v>
      </c>
      <c r="C4" t="str">
        <f t="shared" si="0"/>
        <v>48568</v>
      </c>
    </row>
    <row r="5" spans="1:3" x14ac:dyDescent="0.25">
      <c r="A5" s="35" t="s">
        <v>50</v>
      </c>
      <c r="B5" s="36" t="s">
        <v>51</v>
      </c>
      <c r="C5" t="str">
        <f t="shared" si="0"/>
        <v>48593</v>
      </c>
    </row>
    <row r="6" spans="1:3" x14ac:dyDescent="0.25">
      <c r="A6" s="35" t="s">
        <v>52</v>
      </c>
      <c r="B6" s="36" t="s">
        <v>53</v>
      </c>
      <c r="C6" t="str">
        <f t="shared" si="0"/>
        <v>47906</v>
      </c>
    </row>
    <row r="7" spans="1:3" x14ac:dyDescent="0.25">
      <c r="A7" s="35" t="s">
        <v>54</v>
      </c>
      <c r="B7" s="36" t="s">
        <v>55</v>
      </c>
      <c r="C7" t="str">
        <f t="shared" si="0"/>
        <v>49494</v>
      </c>
    </row>
    <row r="8" spans="1:3" x14ac:dyDescent="0.25">
      <c r="A8" s="35" t="s">
        <v>56</v>
      </c>
      <c r="B8" s="36" t="s">
        <v>57</v>
      </c>
      <c r="C8" t="str">
        <f t="shared" si="0"/>
        <v>9</v>
      </c>
    </row>
    <row r="9" spans="1:3" x14ac:dyDescent="0.25">
      <c r="A9" s="35" t="s">
        <v>58</v>
      </c>
      <c r="B9" s="36" t="s">
        <v>59</v>
      </c>
      <c r="C9" t="str">
        <f t="shared" si="0"/>
        <v>48432</v>
      </c>
    </row>
    <row r="10" spans="1:3" x14ac:dyDescent="0.25">
      <c r="A10" s="35" t="s">
        <v>60</v>
      </c>
      <c r="B10" s="36" t="s">
        <v>61</v>
      </c>
      <c r="C10" t="str">
        <f t="shared" si="0"/>
        <v>49500</v>
      </c>
    </row>
    <row r="11" spans="1:3" x14ac:dyDescent="0.25">
      <c r="A11" s="35" t="s">
        <v>62</v>
      </c>
      <c r="B11" s="36" t="s">
        <v>63</v>
      </c>
      <c r="C11" t="str">
        <f t="shared" si="0"/>
        <v>55071</v>
      </c>
    </row>
    <row r="12" spans="1:3" x14ac:dyDescent="0.25">
      <c r="A12" s="35" t="s">
        <v>64</v>
      </c>
      <c r="B12" s="36" t="s">
        <v>65</v>
      </c>
      <c r="C12" t="str">
        <f t="shared" si="0"/>
        <v>10</v>
      </c>
    </row>
    <row r="13" spans="1:3" x14ac:dyDescent="0.25">
      <c r="A13" s="35" t="s">
        <v>66</v>
      </c>
      <c r="B13" s="36" t="s">
        <v>67</v>
      </c>
      <c r="C13" t="str">
        <f t="shared" si="0"/>
        <v>48623</v>
      </c>
    </row>
    <row r="14" spans="1:3" x14ac:dyDescent="0.25">
      <c r="A14" s="35" t="s">
        <v>68</v>
      </c>
      <c r="B14" s="36" t="s">
        <v>69</v>
      </c>
      <c r="C14" t="str">
        <f t="shared" si="0"/>
        <v>48024</v>
      </c>
    </row>
    <row r="15" spans="1:3" x14ac:dyDescent="0.25">
      <c r="A15" s="35" t="s">
        <v>70</v>
      </c>
      <c r="B15" s="36" t="s">
        <v>71</v>
      </c>
      <c r="C15" t="str">
        <f t="shared" si="0"/>
        <v>48575</v>
      </c>
    </row>
    <row r="16" spans="1:3" x14ac:dyDescent="0.25">
      <c r="A16" s="35" t="s">
        <v>72</v>
      </c>
      <c r="B16" s="36" t="s">
        <v>73</v>
      </c>
      <c r="C16" t="str">
        <f t="shared" si="0"/>
        <v>47884</v>
      </c>
    </row>
    <row r="17" spans="1:3" x14ac:dyDescent="0.25">
      <c r="A17" s="35" t="s">
        <v>74</v>
      </c>
      <c r="B17" s="36" t="s">
        <v>75</v>
      </c>
      <c r="C17" t="str">
        <f t="shared" si="0"/>
        <v>47883</v>
      </c>
    </row>
    <row r="18" spans="1:3" x14ac:dyDescent="0.25">
      <c r="A18" s="35" t="s">
        <v>76</v>
      </c>
      <c r="B18" s="36" t="s">
        <v>77</v>
      </c>
      <c r="C18" t="str">
        <f t="shared" si="0"/>
        <v>48206</v>
      </c>
    </row>
    <row r="19" spans="1:3" x14ac:dyDescent="0.25">
      <c r="A19" s="35" t="s">
        <v>78</v>
      </c>
      <c r="B19" s="36" t="s">
        <v>79</v>
      </c>
      <c r="C19" t="str">
        <f t="shared" si="0"/>
        <v>47786</v>
      </c>
    </row>
    <row r="20" spans="1:3" x14ac:dyDescent="0.25">
      <c r="A20" s="35" t="s">
        <v>80</v>
      </c>
      <c r="B20" s="36" t="s">
        <v>81</v>
      </c>
      <c r="C20" t="str">
        <f t="shared" si="0"/>
        <v>49502</v>
      </c>
    </row>
    <row r="21" spans="1:3" x14ac:dyDescent="0.25">
      <c r="A21" s="35" t="s">
        <v>82</v>
      </c>
      <c r="B21" s="36" t="s">
        <v>83</v>
      </c>
      <c r="C21" t="str">
        <f t="shared" si="0"/>
        <v>48679</v>
      </c>
    </row>
    <row r="22" spans="1:3" x14ac:dyDescent="0.25">
      <c r="A22" s="35" t="s">
        <v>84</v>
      </c>
      <c r="B22" s="36" t="s">
        <v>85</v>
      </c>
      <c r="C22" t="str">
        <f t="shared" si="0"/>
        <v>48683</v>
      </c>
    </row>
    <row r="23" spans="1:3" x14ac:dyDescent="0.25">
      <c r="A23" s="35" t="s">
        <v>86</v>
      </c>
      <c r="B23" s="36" t="s">
        <v>87</v>
      </c>
      <c r="C23" t="str">
        <f t="shared" si="0"/>
        <v>47810</v>
      </c>
    </row>
    <row r="24" spans="1:3" x14ac:dyDescent="0.25">
      <c r="A24" s="35" t="s">
        <v>88</v>
      </c>
      <c r="B24" s="36" t="s">
        <v>89</v>
      </c>
      <c r="C24" t="str">
        <f t="shared" si="0"/>
        <v>48595</v>
      </c>
    </row>
    <row r="25" spans="1:3" x14ac:dyDescent="0.25">
      <c r="A25" s="35" t="s">
        <v>90</v>
      </c>
      <c r="B25" s="36" t="s">
        <v>91</v>
      </c>
      <c r="C25" t="str">
        <f t="shared" si="0"/>
        <v>47953</v>
      </c>
    </row>
    <row r="26" spans="1:3" x14ac:dyDescent="0.25">
      <c r="A26" s="35" t="s">
        <v>92</v>
      </c>
      <c r="B26" s="36" t="s">
        <v>93</v>
      </c>
      <c r="C26" t="str">
        <f t="shared" si="0"/>
        <v>47915</v>
      </c>
    </row>
    <row r="27" spans="1:3" x14ac:dyDescent="0.25">
      <c r="A27" s="35" t="s">
        <v>94</v>
      </c>
      <c r="B27" s="36" t="s">
        <v>95</v>
      </c>
      <c r="C27" t="str">
        <f t="shared" si="0"/>
        <v>47863</v>
      </c>
    </row>
    <row r="28" spans="1:3" x14ac:dyDescent="0.25">
      <c r="A28" s="35" t="s">
        <v>96</v>
      </c>
      <c r="B28" s="36" t="s">
        <v>97</v>
      </c>
      <c r="C28" t="str">
        <f t="shared" si="0"/>
        <v>48217</v>
      </c>
    </row>
    <row r="29" spans="1:3" x14ac:dyDescent="0.25">
      <c r="A29" s="35" t="s">
        <v>98</v>
      </c>
      <c r="B29" s="36" t="s">
        <v>99</v>
      </c>
      <c r="C29" t="str">
        <f t="shared" si="0"/>
        <v>47868</v>
      </c>
    </row>
    <row r="30" spans="1:3" x14ac:dyDescent="0.25">
      <c r="A30" s="35" t="s">
        <v>100</v>
      </c>
      <c r="B30" s="36" t="s">
        <v>101</v>
      </c>
      <c r="C30" t="str">
        <f t="shared" si="0"/>
        <v>48601</v>
      </c>
    </row>
    <row r="31" spans="1:3" x14ac:dyDescent="0.25">
      <c r="A31" s="35" t="s">
        <v>102</v>
      </c>
      <c r="B31" s="36" t="s">
        <v>103</v>
      </c>
      <c r="C31" t="str">
        <f t="shared" si="0"/>
        <v>48318</v>
      </c>
    </row>
    <row r="32" spans="1:3" x14ac:dyDescent="0.25">
      <c r="A32" s="35" t="s">
        <v>104</v>
      </c>
      <c r="B32" s="36" t="s">
        <v>105</v>
      </c>
      <c r="C32" t="str">
        <f t="shared" si="0"/>
        <v>48394</v>
      </c>
    </row>
    <row r="33" spans="1:3" x14ac:dyDescent="0.25">
      <c r="A33" s="35" t="s">
        <v>106</v>
      </c>
      <c r="B33" s="36" t="s">
        <v>107</v>
      </c>
      <c r="C33" t="str">
        <f t="shared" si="0"/>
        <v>48688</v>
      </c>
    </row>
    <row r="34" spans="1:3" x14ac:dyDescent="0.25">
      <c r="A34" s="35" t="s">
        <v>108</v>
      </c>
      <c r="B34" s="36" t="s">
        <v>109</v>
      </c>
      <c r="C34" t="str">
        <f t="shared" si="0"/>
        <v>48643</v>
      </c>
    </row>
    <row r="35" spans="1:3" x14ac:dyDescent="0.25">
      <c r="A35" s="35" t="s">
        <v>110</v>
      </c>
      <c r="B35" s="36" t="s">
        <v>111</v>
      </c>
      <c r="C35" t="str">
        <f t="shared" si="0"/>
        <v>48402</v>
      </c>
    </row>
    <row r="36" spans="1:3" x14ac:dyDescent="0.25">
      <c r="A36" s="35" t="s">
        <v>112</v>
      </c>
      <c r="B36" s="36" t="s">
        <v>87</v>
      </c>
      <c r="C36" t="str">
        <f t="shared" si="0"/>
        <v>5</v>
      </c>
    </row>
    <row r="37" spans="1:3" x14ac:dyDescent="0.25">
      <c r="A37" s="35" t="s">
        <v>113</v>
      </c>
      <c r="B37" s="36" t="s">
        <v>114</v>
      </c>
      <c r="C37" t="str">
        <f t="shared" si="0"/>
        <v>48586</v>
      </c>
    </row>
    <row r="38" spans="1:3" x14ac:dyDescent="0.25">
      <c r="A38" s="35" t="s">
        <v>115</v>
      </c>
      <c r="B38" s="36" t="s">
        <v>116</v>
      </c>
      <c r="C38" t="str">
        <f t="shared" si="0"/>
        <v>36271</v>
      </c>
    </row>
    <row r="39" spans="1:3" x14ac:dyDescent="0.25">
      <c r="A39" s="35" t="s">
        <v>117</v>
      </c>
      <c r="B39" s="36" t="s">
        <v>118</v>
      </c>
      <c r="C39" t="str">
        <f t="shared" si="0"/>
        <v>49499</v>
      </c>
    </row>
    <row r="40" spans="1:3" x14ac:dyDescent="0.25">
      <c r="A40" s="35" t="s">
        <v>62</v>
      </c>
      <c r="B40" s="36" t="s">
        <v>119</v>
      </c>
      <c r="C40" t="str">
        <f t="shared" si="0"/>
        <v>55071</v>
      </c>
    </row>
    <row r="41" spans="1:3" x14ac:dyDescent="0.25">
      <c r="A41" s="35" t="s">
        <v>62</v>
      </c>
      <c r="B41" s="36" t="s">
        <v>120</v>
      </c>
      <c r="C41" t="str">
        <f t="shared" si="0"/>
        <v>55071</v>
      </c>
    </row>
    <row r="42" spans="1:3" x14ac:dyDescent="0.25">
      <c r="A42" s="35" t="s">
        <v>121</v>
      </c>
      <c r="B42" s="36" t="s">
        <v>122</v>
      </c>
      <c r="C42" t="str">
        <f t="shared" si="0"/>
        <v>47809</v>
      </c>
    </row>
    <row r="43" spans="1:3" x14ac:dyDescent="0.25">
      <c r="A43" s="35" t="s">
        <v>123</v>
      </c>
      <c r="B43" s="36" t="s">
        <v>124</v>
      </c>
      <c r="C43" t="str">
        <f t="shared" si="0"/>
        <v>100093615</v>
      </c>
    </row>
    <row r="44" spans="1:3" x14ac:dyDescent="0.25">
      <c r="A44" s="35" t="s">
        <v>125</v>
      </c>
      <c r="B44" s="36" t="s">
        <v>126</v>
      </c>
      <c r="C44" t="str">
        <f t="shared" si="0"/>
        <v>100095207</v>
      </c>
    </row>
    <row r="45" spans="1:3" x14ac:dyDescent="0.25">
      <c r="A45" s="35" t="s">
        <v>127</v>
      </c>
      <c r="B45" s="36" t="s">
        <v>128</v>
      </c>
      <c r="C45" t="str">
        <f t="shared" si="0"/>
        <v>100095561</v>
      </c>
    </row>
    <row r="46" spans="1:3" x14ac:dyDescent="0.25">
      <c r="A46" s="35" t="s">
        <v>129</v>
      </c>
      <c r="B46" s="36" t="s">
        <v>130</v>
      </c>
      <c r="C46" t="str">
        <f t="shared" si="0"/>
        <v>100099108</v>
      </c>
    </row>
    <row r="47" spans="1:3" x14ac:dyDescent="0.25">
      <c r="A47" s="35" t="s">
        <v>131</v>
      </c>
      <c r="B47" s="36" t="s">
        <v>132</v>
      </c>
      <c r="C47" t="str">
        <f t="shared" si="0"/>
        <v>100103162</v>
      </c>
    </row>
    <row r="48" spans="1:3" x14ac:dyDescent="0.25">
      <c r="A48" s="35" t="s">
        <v>133</v>
      </c>
      <c r="B48" s="36" t="s">
        <v>134</v>
      </c>
      <c r="C48" t="str">
        <f t="shared" si="0"/>
        <v>100103871</v>
      </c>
    </row>
    <row r="49" spans="1:3" x14ac:dyDescent="0.25">
      <c r="A49" s="35" t="s">
        <v>135</v>
      </c>
      <c r="B49" s="36" t="s">
        <v>136</v>
      </c>
      <c r="C49" t="str">
        <f t="shared" si="0"/>
        <v>100105401</v>
      </c>
    </row>
    <row r="50" spans="1:3" x14ac:dyDescent="0.25">
      <c r="A50" s="35" t="s">
        <v>137</v>
      </c>
      <c r="B50" s="36" t="s">
        <v>138</v>
      </c>
      <c r="C50" t="str">
        <f t="shared" si="0"/>
        <v>100108177</v>
      </c>
    </row>
    <row r="51" spans="1:3" x14ac:dyDescent="0.25">
      <c r="A51" s="35" t="s">
        <v>139</v>
      </c>
      <c r="B51" s="36" t="s">
        <v>140</v>
      </c>
      <c r="C51" t="str">
        <f t="shared" si="0"/>
        <v>100108300</v>
      </c>
    </row>
    <row r="52" spans="1:3" x14ac:dyDescent="0.25">
      <c r="A52" s="35" t="s">
        <v>141</v>
      </c>
      <c r="B52" s="36" t="s">
        <v>142</v>
      </c>
      <c r="C52" t="str">
        <f t="shared" si="0"/>
        <v>100108491</v>
      </c>
    </row>
    <row r="53" spans="1:3" x14ac:dyDescent="0.25">
      <c r="A53" s="35" t="s">
        <v>143</v>
      </c>
      <c r="B53" s="36" t="s">
        <v>144</v>
      </c>
      <c r="C53" t="str">
        <f t="shared" si="0"/>
        <v>100108517</v>
      </c>
    </row>
    <row r="54" spans="1:3" x14ac:dyDescent="0.25">
      <c r="A54" s="35" t="s">
        <v>145</v>
      </c>
      <c r="B54" s="36" t="s">
        <v>146</v>
      </c>
      <c r="C54" t="str">
        <f t="shared" si="0"/>
        <v>100108523</v>
      </c>
    </row>
    <row r="55" spans="1:3" x14ac:dyDescent="0.25">
      <c r="A55" s="35" t="s">
        <v>147</v>
      </c>
      <c r="B55" s="36" t="s">
        <v>148</v>
      </c>
      <c r="C55" t="str">
        <f t="shared" si="0"/>
        <v>100113618</v>
      </c>
    </row>
    <row r="56" spans="1:3" x14ac:dyDescent="0.25">
      <c r="A56" s="35" t="s">
        <v>149</v>
      </c>
      <c r="B56" s="36" t="s">
        <v>150</v>
      </c>
      <c r="C56" t="str">
        <f t="shared" si="0"/>
        <v>100113662</v>
      </c>
    </row>
    <row r="57" spans="1:3" x14ac:dyDescent="0.25">
      <c r="A57" s="35" t="s">
        <v>151</v>
      </c>
      <c r="B57" s="36" t="s">
        <v>152</v>
      </c>
      <c r="C57" t="str">
        <f t="shared" si="0"/>
        <v>100114387</v>
      </c>
    </row>
    <row r="58" spans="1:3" x14ac:dyDescent="0.25">
      <c r="A58" s="35" t="s">
        <v>153</v>
      </c>
      <c r="B58" s="36" t="s">
        <v>81</v>
      </c>
      <c r="C58" t="str">
        <f t="shared" si="0"/>
        <v>100114512</v>
      </c>
    </row>
    <row r="59" spans="1:3" x14ac:dyDescent="0.25">
      <c r="A59" s="35" t="s">
        <v>154</v>
      </c>
      <c r="B59" s="36" t="s">
        <v>155</v>
      </c>
      <c r="C59" t="str">
        <f t="shared" si="0"/>
        <v>100117</v>
      </c>
    </row>
    <row r="60" spans="1:3" x14ac:dyDescent="0.25">
      <c r="A60" s="35" t="s">
        <v>156</v>
      </c>
      <c r="B60" s="36" t="s">
        <v>157</v>
      </c>
      <c r="C60" t="str">
        <f t="shared" si="0"/>
        <v>100117502</v>
      </c>
    </row>
    <row r="61" spans="1:3" x14ac:dyDescent="0.25">
      <c r="A61" s="35" t="s">
        <v>158</v>
      </c>
      <c r="B61" s="36" t="s">
        <v>159</v>
      </c>
      <c r="C61" t="str">
        <f t="shared" si="0"/>
        <v>100118699</v>
      </c>
    </row>
    <row r="62" spans="1:3" x14ac:dyDescent="0.25">
      <c r="A62" s="35" t="s">
        <v>160</v>
      </c>
      <c r="B62" s="36" t="s">
        <v>161</v>
      </c>
      <c r="C62" t="str">
        <f t="shared" si="0"/>
        <v>100118886</v>
      </c>
    </row>
    <row r="63" spans="1:3" x14ac:dyDescent="0.25">
      <c r="A63" s="35" t="s">
        <v>162</v>
      </c>
      <c r="B63" s="36" t="s">
        <v>163</v>
      </c>
      <c r="C63" t="str">
        <f t="shared" si="0"/>
        <v>100122399</v>
      </c>
    </row>
    <row r="64" spans="1:3" x14ac:dyDescent="0.25">
      <c r="A64" s="35" t="s">
        <v>164</v>
      </c>
      <c r="B64" s="36" t="s">
        <v>165</v>
      </c>
      <c r="C64" t="str">
        <f t="shared" si="0"/>
        <v>100124801</v>
      </c>
    </row>
    <row r="65" spans="1:3" x14ac:dyDescent="0.25">
      <c r="A65" s="35" t="s">
        <v>166</v>
      </c>
      <c r="B65" s="36" t="s">
        <v>167</v>
      </c>
      <c r="C65" t="str">
        <f t="shared" si="0"/>
        <v>100125651</v>
      </c>
    </row>
    <row r="66" spans="1:3" x14ac:dyDescent="0.25">
      <c r="A66" s="35" t="s">
        <v>168</v>
      </c>
      <c r="B66" s="36" t="s">
        <v>169</v>
      </c>
      <c r="C66" t="str">
        <f t="shared" si="0"/>
        <v>100126800</v>
      </c>
    </row>
    <row r="67" spans="1:3" x14ac:dyDescent="0.25">
      <c r="A67" s="35" t="s">
        <v>170</v>
      </c>
      <c r="B67" s="36" t="s">
        <v>171</v>
      </c>
      <c r="C67" t="str">
        <f t="shared" ref="C67:C130" si="1">IF(TRIM(A67)="","",IF(ISNUMBER(VALUE(TRIM(A67))),TEXT(VALUE(TRIM(A67)),"0"),TRIM(A67)))</f>
        <v>100127565</v>
      </c>
    </row>
    <row r="68" spans="1:3" x14ac:dyDescent="0.25">
      <c r="A68" s="35" t="s">
        <v>172</v>
      </c>
      <c r="B68" s="36" t="s">
        <v>173</v>
      </c>
      <c r="C68" t="str">
        <f t="shared" si="1"/>
        <v>100128494</v>
      </c>
    </row>
    <row r="69" spans="1:3" x14ac:dyDescent="0.25">
      <c r="A69" s="35" t="s">
        <v>174</v>
      </c>
      <c r="B69" s="36" t="s">
        <v>175</v>
      </c>
      <c r="C69" t="str">
        <f t="shared" si="1"/>
        <v>100130695</v>
      </c>
    </row>
    <row r="70" spans="1:3" x14ac:dyDescent="0.25">
      <c r="A70" s="35" t="s">
        <v>176</v>
      </c>
      <c r="B70" s="36" t="s">
        <v>177</v>
      </c>
      <c r="C70" t="str">
        <f t="shared" si="1"/>
        <v>100134659</v>
      </c>
    </row>
    <row r="71" spans="1:3" x14ac:dyDescent="0.25">
      <c r="A71" s="35" t="s">
        <v>178</v>
      </c>
      <c r="B71" s="36" t="s">
        <v>179</v>
      </c>
      <c r="C71" t="str">
        <f t="shared" si="1"/>
        <v>100138909</v>
      </c>
    </row>
    <row r="72" spans="1:3" x14ac:dyDescent="0.25">
      <c r="A72" s="35" t="s">
        <v>180</v>
      </c>
      <c r="B72" s="36" t="s">
        <v>181</v>
      </c>
      <c r="C72" t="str">
        <f t="shared" si="1"/>
        <v>100138955</v>
      </c>
    </row>
    <row r="73" spans="1:3" x14ac:dyDescent="0.25">
      <c r="A73" s="35" t="s">
        <v>182</v>
      </c>
      <c r="B73" s="36" t="s">
        <v>183</v>
      </c>
      <c r="C73" t="str">
        <f t="shared" si="1"/>
        <v>100144618</v>
      </c>
    </row>
    <row r="74" spans="1:3" x14ac:dyDescent="0.25">
      <c r="A74" s="35" t="s">
        <v>184</v>
      </c>
      <c r="B74" s="36" t="s">
        <v>185</v>
      </c>
      <c r="C74" t="str">
        <f t="shared" si="1"/>
        <v>100146893</v>
      </c>
    </row>
    <row r="75" spans="1:3" x14ac:dyDescent="0.25">
      <c r="A75" s="35" t="s">
        <v>186</v>
      </c>
      <c r="B75" s="36" t="s">
        <v>187</v>
      </c>
      <c r="C75" t="str">
        <f t="shared" si="1"/>
        <v>100147847</v>
      </c>
    </row>
    <row r="76" spans="1:3" x14ac:dyDescent="0.25">
      <c r="A76" s="35" t="s">
        <v>188</v>
      </c>
      <c r="B76" s="36" t="s">
        <v>189</v>
      </c>
      <c r="C76" t="str">
        <f t="shared" si="1"/>
        <v>100148372</v>
      </c>
    </row>
    <row r="77" spans="1:3" x14ac:dyDescent="0.25">
      <c r="A77" s="35" t="s">
        <v>190</v>
      </c>
      <c r="B77" s="36" t="s">
        <v>191</v>
      </c>
      <c r="C77" t="str">
        <f t="shared" si="1"/>
        <v>100148768</v>
      </c>
    </row>
    <row r="78" spans="1:3" x14ac:dyDescent="0.25">
      <c r="A78" s="35" t="s">
        <v>192</v>
      </c>
      <c r="B78" s="36" t="s">
        <v>193</v>
      </c>
      <c r="C78" t="str">
        <f t="shared" si="1"/>
        <v>100150325</v>
      </c>
    </row>
    <row r="79" spans="1:3" x14ac:dyDescent="0.25">
      <c r="A79" s="35" t="s">
        <v>194</v>
      </c>
      <c r="B79" s="36" t="s">
        <v>195</v>
      </c>
      <c r="C79" t="str">
        <f t="shared" si="1"/>
        <v>100152088</v>
      </c>
    </row>
    <row r="80" spans="1:3" x14ac:dyDescent="0.25">
      <c r="A80" s="35" t="s">
        <v>196</v>
      </c>
      <c r="B80" s="36" t="s">
        <v>197</v>
      </c>
      <c r="C80" t="str">
        <f t="shared" si="1"/>
        <v>100152216</v>
      </c>
    </row>
    <row r="81" spans="1:3" x14ac:dyDescent="0.25">
      <c r="A81" s="35" t="s">
        <v>198</v>
      </c>
      <c r="B81" s="36" t="s">
        <v>199</v>
      </c>
      <c r="C81" t="str">
        <f t="shared" si="1"/>
        <v>100154302</v>
      </c>
    </row>
    <row r="82" spans="1:3" x14ac:dyDescent="0.25">
      <c r="A82" s="35" t="s">
        <v>200</v>
      </c>
      <c r="B82" s="36" t="s">
        <v>201</v>
      </c>
      <c r="C82" t="str">
        <f t="shared" si="1"/>
        <v>100155724</v>
      </c>
    </row>
    <row r="83" spans="1:3" x14ac:dyDescent="0.25">
      <c r="A83" s="35" t="s">
        <v>202</v>
      </c>
      <c r="B83" s="36" t="s">
        <v>203</v>
      </c>
      <c r="C83" t="str">
        <f t="shared" si="1"/>
        <v>100156800</v>
      </c>
    </row>
    <row r="84" spans="1:3" x14ac:dyDescent="0.25">
      <c r="A84" s="35" t="s">
        <v>204</v>
      </c>
      <c r="B84" s="36" t="s">
        <v>205</v>
      </c>
      <c r="C84" t="str">
        <f t="shared" si="1"/>
        <v>100157463</v>
      </c>
    </row>
    <row r="85" spans="1:3" x14ac:dyDescent="0.25">
      <c r="A85" s="35" t="s">
        <v>206</v>
      </c>
      <c r="B85" s="36" t="s">
        <v>207</v>
      </c>
      <c r="C85" t="str">
        <f t="shared" si="1"/>
        <v>100158596</v>
      </c>
    </row>
    <row r="86" spans="1:3" x14ac:dyDescent="0.25">
      <c r="A86" s="35" t="s">
        <v>208</v>
      </c>
      <c r="B86" s="36" t="s">
        <v>209</v>
      </c>
      <c r="C86" t="str">
        <f t="shared" si="1"/>
        <v>100165276</v>
      </c>
    </row>
    <row r="87" spans="1:3" x14ac:dyDescent="0.25">
      <c r="A87" s="35" t="s">
        <v>210</v>
      </c>
      <c r="B87" s="36" t="s">
        <v>211</v>
      </c>
      <c r="C87" t="str">
        <f t="shared" si="1"/>
        <v>100169695</v>
      </c>
    </row>
    <row r="88" spans="1:3" x14ac:dyDescent="0.25">
      <c r="A88" s="35" t="s">
        <v>212</v>
      </c>
      <c r="B88" s="36" t="s">
        <v>213</v>
      </c>
      <c r="C88" t="str">
        <f t="shared" si="1"/>
        <v>100170297</v>
      </c>
    </row>
    <row r="89" spans="1:3" x14ac:dyDescent="0.25">
      <c r="A89" s="35" t="s">
        <v>214</v>
      </c>
      <c r="B89" s="36" t="s">
        <v>215</v>
      </c>
      <c r="C89" t="str">
        <f t="shared" si="1"/>
        <v>100173976</v>
      </c>
    </row>
    <row r="90" spans="1:3" x14ac:dyDescent="0.25">
      <c r="A90" s="35" t="s">
        <v>216</v>
      </c>
      <c r="B90" s="36" t="s">
        <v>217</v>
      </c>
      <c r="C90" t="str">
        <f t="shared" si="1"/>
        <v>100175655</v>
      </c>
    </row>
    <row r="91" spans="1:3" x14ac:dyDescent="0.25">
      <c r="A91" s="35" t="s">
        <v>218</v>
      </c>
      <c r="B91" s="36" t="s">
        <v>219</v>
      </c>
      <c r="C91" t="str">
        <f t="shared" si="1"/>
        <v>100175657</v>
      </c>
    </row>
    <row r="92" spans="1:3" x14ac:dyDescent="0.25">
      <c r="A92" s="35" t="s">
        <v>220</v>
      </c>
      <c r="B92" s="36" t="s">
        <v>221</v>
      </c>
      <c r="C92" t="str">
        <f t="shared" si="1"/>
        <v>100176300</v>
      </c>
    </row>
    <row r="93" spans="1:3" x14ac:dyDescent="0.25">
      <c r="A93" s="35" t="s">
        <v>222</v>
      </c>
      <c r="B93" s="36" t="s">
        <v>223</v>
      </c>
      <c r="C93" t="str">
        <f t="shared" si="1"/>
        <v>100181625</v>
      </c>
    </row>
    <row r="94" spans="1:3" x14ac:dyDescent="0.25">
      <c r="A94" s="35" t="s">
        <v>224</v>
      </c>
      <c r="B94" s="36" t="s">
        <v>225</v>
      </c>
      <c r="C94" t="str">
        <f t="shared" si="1"/>
        <v>100183327</v>
      </c>
    </row>
    <row r="95" spans="1:3" x14ac:dyDescent="0.25">
      <c r="A95" s="35" t="s">
        <v>226</v>
      </c>
      <c r="B95" s="36" t="s">
        <v>227</v>
      </c>
      <c r="C95" t="str">
        <f t="shared" si="1"/>
        <v>100188895</v>
      </c>
    </row>
    <row r="96" spans="1:3" x14ac:dyDescent="0.25">
      <c r="A96" s="35" t="s">
        <v>228</v>
      </c>
      <c r="B96" s="36" t="s">
        <v>229</v>
      </c>
      <c r="C96" t="str">
        <f t="shared" si="1"/>
        <v>100188963</v>
      </c>
    </row>
    <row r="97" spans="1:3" x14ac:dyDescent="0.25">
      <c r="A97" s="35" t="s">
        <v>230</v>
      </c>
      <c r="B97" s="36" t="s">
        <v>231</v>
      </c>
      <c r="C97" t="str">
        <f t="shared" si="1"/>
        <v>100188965</v>
      </c>
    </row>
    <row r="98" spans="1:3" x14ac:dyDescent="0.25">
      <c r="A98" s="35" t="s">
        <v>232</v>
      </c>
      <c r="B98" s="36" t="s">
        <v>233</v>
      </c>
      <c r="C98" t="str">
        <f t="shared" si="1"/>
        <v>100188966</v>
      </c>
    </row>
    <row r="99" spans="1:3" x14ac:dyDescent="0.25">
      <c r="A99" s="35" t="s">
        <v>234</v>
      </c>
      <c r="B99" s="36" t="s">
        <v>235</v>
      </c>
      <c r="C99" t="str">
        <f t="shared" si="1"/>
        <v>100188967</v>
      </c>
    </row>
    <row r="100" spans="1:3" x14ac:dyDescent="0.25">
      <c r="A100" s="35" t="s">
        <v>236</v>
      </c>
      <c r="B100" s="36" t="s">
        <v>237</v>
      </c>
      <c r="C100" t="str">
        <f t="shared" si="1"/>
        <v>100188969</v>
      </c>
    </row>
    <row r="101" spans="1:3" x14ac:dyDescent="0.25">
      <c r="A101" s="35" t="s">
        <v>238</v>
      </c>
      <c r="B101" s="36" t="s">
        <v>239</v>
      </c>
      <c r="C101" t="str">
        <f t="shared" si="1"/>
        <v>100191088</v>
      </c>
    </row>
    <row r="102" spans="1:3" x14ac:dyDescent="0.25">
      <c r="A102" s="35" t="s">
        <v>240</v>
      </c>
      <c r="B102" s="36" t="s">
        <v>241</v>
      </c>
      <c r="C102" t="str">
        <f t="shared" si="1"/>
        <v>100193014</v>
      </c>
    </row>
    <row r="103" spans="1:3" x14ac:dyDescent="0.25">
      <c r="A103" s="35" t="s">
        <v>242</v>
      </c>
      <c r="B103" s="36" t="s">
        <v>243</v>
      </c>
      <c r="C103" t="str">
        <f t="shared" si="1"/>
        <v>100193326</v>
      </c>
    </row>
    <row r="104" spans="1:3" x14ac:dyDescent="0.25">
      <c r="A104" s="35" t="s">
        <v>244</v>
      </c>
      <c r="B104" s="36" t="s">
        <v>245</v>
      </c>
      <c r="C104" t="str">
        <f t="shared" si="1"/>
        <v>100194542</v>
      </c>
    </row>
    <row r="105" spans="1:3" x14ac:dyDescent="0.25">
      <c r="A105" s="35" t="s">
        <v>246</v>
      </c>
      <c r="B105" s="36" t="s">
        <v>247</v>
      </c>
      <c r="C105" t="str">
        <f t="shared" si="1"/>
        <v>100194546</v>
      </c>
    </row>
    <row r="106" spans="1:3" x14ac:dyDescent="0.25">
      <c r="A106" s="35" t="s">
        <v>248</v>
      </c>
      <c r="B106" s="36" t="s">
        <v>249</v>
      </c>
      <c r="C106" t="str">
        <f t="shared" si="1"/>
        <v>100194548</v>
      </c>
    </row>
    <row r="107" spans="1:3" x14ac:dyDescent="0.25">
      <c r="A107" s="35" t="s">
        <v>250</v>
      </c>
      <c r="B107" s="36" t="s">
        <v>251</v>
      </c>
      <c r="C107" t="str">
        <f t="shared" si="1"/>
        <v>100195374</v>
      </c>
    </row>
    <row r="108" spans="1:3" x14ac:dyDescent="0.25">
      <c r="A108" s="35" t="s">
        <v>252</v>
      </c>
      <c r="B108" s="36" t="s">
        <v>253</v>
      </c>
      <c r="C108" t="str">
        <f t="shared" si="1"/>
        <v>100196521</v>
      </c>
    </row>
    <row r="109" spans="1:3" x14ac:dyDescent="0.25">
      <c r="A109" s="35" t="s">
        <v>254</v>
      </c>
      <c r="B109" s="36" t="s">
        <v>255</v>
      </c>
      <c r="C109" t="str">
        <f t="shared" si="1"/>
        <v>100197264</v>
      </c>
    </row>
    <row r="110" spans="1:3" x14ac:dyDescent="0.25">
      <c r="A110" s="35" t="s">
        <v>256</v>
      </c>
      <c r="B110" s="36" t="s">
        <v>257</v>
      </c>
      <c r="C110" t="str">
        <f t="shared" si="1"/>
        <v>100197448</v>
      </c>
    </row>
    <row r="111" spans="1:3" x14ac:dyDescent="0.25">
      <c r="A111" s="35" t="s">
        <v>258</v>
      </c>
      <c r="B111" s="36" t="s">
        <v>259</v>
      </c>
      <c r="C111" t="str">
        <f t="shared" si="1"/>
        <v>100197894</v>
      </c>
    </row>
    <row r="112" spans="1:3" x14ac:dyDescent="0.25">
      <c r="A112" s="35" t="s">
        <v>260</v>
      </c>
      <c r="B112" s="36" t="s">
        <v>261</v>
      </c>
      <c r="C112" t="str">
        <f t="shared" si="1"/>
        <v>100197916</v>
      </c>
    </row>
    <row r="113" spans="1:3" x14ac:dyDescent="0.25">
      <c r="A113" s="35" t="s">
        <v>262</v>
      </c>
      <c r="B113" s="36" t="s">
        <v>263</v>
      </c>
      <c r="C113" t="str">
        <f t="shared" si="1"/>
        <v>100198720</v>
      </c>
    </row>
    <row r="114" spans="1:3" x14ac:dyDescent="0.25">
      <c r="A114" s="35" t="s">
        <v>264</v>
      </c>
      <c r="B114" s="36" t="s">
        <v>265</v>
      </c>
      <c r="C114" t="str">
        <f t="shared" si="1"/>
        <v>100199057</v>
      </c>
    </row>
    <row r="115" spans="1:3" x14ac:dyDescent="0.25">
      <c r="A115" s="35" t="s">
        <v>266</v>
      </c>
      <c r="B115" s="36" t="s">
        <v>267</v>
      </c>
      <c r="C115" t="str">
        <f t="shared" si="1"/>
        <v>100199198</v>
      </c>
    </row>
    <row r="116" spans="1:3" x14ac:dyDescent="0.25">
      <c r="A116" s="35" t="s">
        <v>268</v>
      </c>
      <c r="B116" s="36" t="s">
        <v>269</v>
      </c>
      <c r="C116" t="str">
        <f t="shared" si="1"/>
        <v>100199905</v>
      </c>
    </row>
    <row r="117" spans="1:3" x14ac:dyDescent="0.25">
      <c r="A117" s="35" t="s">
        <v>270</v>
      </c>
      <c r="B117" s="36" t="s">
        <v>271</v>
      </c>
      <c r="C117" t="str">
        <f t="shared" si="1"/>
        <v>100199907</v>
      </c>
    </row>
    <row r="118" spans="1:3" x14ac:dyDescent="0.25">
      <c r="A118" s="35" t="s">
        <v>272</v>
      </c>
      <c r="B118" s="36" t="s">
        <v>273</v>
      </c>
      <c r="C118" t="str">
        <f t="shared" si="1"/>
        <v>100200916</v>
      </c>
    </row>
    <row r="119" spans="1:3" x14ac:dyDescent="0.25">
      <c r="A119" s="35" t="s">
        <v>274</v>
      </c>
      <c r="B119" s="36" t="s">
        <v>275</v>
      </c>
      <c r="C119" t="str">
        <f t="shared" si="1"/>
        <v>100201246</v>
      </c>
    </row>
    <row r="120" spans="1:3" x14ac:dyDescent="0.25">
      <c r="A120" s="35" t="s">
        <v>276</v>
      </c>
      <c r="B120" s="36" t="s">
        <v>277</v>
      </c>
      <c r="C120" t="str">
        <f t="shared" si="1"/>
        <v>100201476</v>
      </c>
    </row>
    <row r="121" spans="1:3" x14ac:dyDescent="0.25">
      <c r="A121" s="35" t="s">
        <v>278</v>
      </c>
      <c r="B121" s="36" t="s">
        <v>279</v>
      </c>
      <c r="C121" t="str">
        <f t="shared" si="1"/>
        <v>100201857</v>
      </c>
    </row>
    <row r="122" spans="1:3" x14ac:dyDescent="0.25">
      <c r="A122" s="35" t="s">
        <v>280</v>
      </c>
      <c r="B122" s="36" t="s">
        <v>281</v>
      </c>
      <c r="C122" t="str">
        <f t="shared" si="1"/>
        <v>100202655</v>
      </c>
    </row>
    <row r="123" spans="1:3" x14ac:dyDescent="0.25">
      <c r="A123" s="35" t="s">
        <v>282</v>
      </c>
      <c r="B123" s="36" t="s">
        <v>283</v>
      </c>
      <c r="C123" t="str">
        <f t="shared" si="1"/>
        <v>100204589</v>
      </c>
    </row>
    <row r="124" spans="1:3" x14ac:dyDescent="0.25">
      <c r="A124" s="35" t="s">
        <v>284</v>
      </c>
      <c r="B124" s="36" t="s">
        <v>285</v>
      </c>
      <c r="C124" t="str">
        <f t="shared" si="1"/>
        <v>100206357</v>
      </c>
    </row>
    <row r="125" spans="1:3" x14ac:dyDescent="0.25">
      <c r="A125" s="35" t="s">
        <v>286</v>
      </c>
      <c r="B125" s="36" t="s">
        <v>287</v>
      </c>
      <c r="C125" t="str">
        <f t="shared" si="1"/>
        <v>100206454</v>
      </c>
    </row>
    <row r="126" spans="1:3" x14ac:dyDescent="0.25">
      <c r="A126" s="35" t="s">
        <v>288</v>
      </c>
      <c r="B126" s="36" t="s">
        <v>289</v>
      </c>
      <c r="C126" t="str">
        <f t="shared" si="1"/>
        <v>100213789</v>
      </c>
    </row>
    <row r="127" spans="1:3" x14ac:dyDescent="0.25">
      <c r="A127" s="35" t="s">
        <v>290</v>
      </c>
      <c r="B127" s="36" t="s">
        <v>291</v>
      </c>
      <c r="C127" t="str">
        <f t="shared" si="1"/>
        <v>100213791</v>
      </c>
    </row>
    <row r="128" spans="1:3" x14ac:dyDescent="0.25">
      <c r="A128" s="35" t="s">
        <v>292</v>
      </c>
      <c r="B128" s="36" t="s">
        <v>293</v>
      </c>
      <c r="C128" t="str">
        <f t="shared" si="1"/>
        <v>100214453</v>
      </c>
    </row>
    <row r="129" spans="1:3" x14ac:dyDescent="0.25">
      <c r="A129" s="35" t="s">
        <v>294</v>
      </c>
      <c r="B129" s="36" t="s">
        <v>295</v>
      </c>
      <c r="C129" t="str">
        <f t="shared" si="1"/>
        <v>100214630</v>
      </c>
    </row>
    <row r="130" spans="1:3" x14ac:dyDescent="0.25">
      <c r="A130" s="35" t="s">
        <v>296</v>
      </c>
      <c r="B130" s="36" t="s">
        <v>297</v>
      </c>
      <c r="C130" t="str">
        <f t="shared" si="1"/>
        <v>100214633</v>
      </c>
    </row>
    <row r="131" spans="1:3" x14ac:dyDescent="0.25">
      <c r="A131" s="35" t="s">
        <v>298</v>
      </c>
      <c r="B131" s="36" t="s">
        <v>299</v>
      </c>
      <c r="C131" t="str">
        <f t="shared" ref="C131:C194" si="2">IF(TRIM(A131)="","",IF(ISNUMBER(VALUE(TRIM(A131))),TEXT(VALUE(TRIM(A131)),"0"),TRIM(A131)))</f>
        <v>100214639</v>
      </c>
    </row>
    <row r="132" spans="1:3" x14ac:dyDescent="0.25">
      <c r="A132" s="35" t="s">
        <v>300</v>
      </c>
      <c r="B132" s="36" t="s">
        <v>301</v>
      </c>
      <c r="C132" t="str">
        <f t="shared" si="2"/>
        <v>100214642</v>
      </c>
    </row>
    <row r="133" spans="1:3" x14ac:dyDescent="0.25">
      <c r="A133" s="35" t="s">
        <v>302</v>
      </c>
      <c r="B133" s="36" t="s">
        <v>303</v>
      </c>
      <c r="C133" t="str">
        <f t="shared" si="2"/>
        <v>100214646</v>
      </c>
    </row>
    <row r="134" spans="1:3" x14ac:dyDescent="0.25">
      <c r="A134" s="35" t="s">
        <v>304</v>
      </c>
      <c r="B134" s="36" t="s">
        <v>305</v>
      </c>
      <c r="C134" t="str">
        <f t="shared" si="2"/>
        <v>100214652</v>
      </c>
    </row>
    <row r="135" spans="1:3" x14ac:dyDescent="0.25">
      <c r="A135" s="35" t="s">
        <v>306</v>
      </c>
      <c r="B135" s="36" t="s">
        <v>307</v>
      </c>
      <c r="C135" t="str">
        <f t="shared" si="2"/>
        <v>100216294</v>
      </c>
    </row>
    <row r="136" spans="1:3" x14ac:dyDescent="0.25">
      <c r="A136" s="35" t="s">
        <v>308</v>
      </c>
      <c r="B136" s="36" t="s">
        <v>309</v>
      </c>
      <c r="C136" t="str">
        <f t="shared" si="2"/>
        <v>100216716</v>
      </c>
    </row>
    <row r="137" spans="1:3" x14ac:dyDescent="0.25">
      <c r="A137" s="35" t="s">
        <v>310</v>
      </c>
      <c r="B137" s="36" t="s">
        <v>311</v>
      </c>
      <c r="C137" t="str">
        <f t="shared" si="2"/>
        <v>100216719</v>
      </c>
    </row>
    <row r="138" spans="1:3" x14ac:dyDescent="0.25">
      <c r="A138" s="35" t="s">
        <v>312</v>
      </c>
      <c r="B138" s="36" t="s">
        <v>313</v>
      </c>
      <c r="C138" t="str">
        <f t="shared" si="2"/>
        <v>100216725</v>
      </c>
    </row>
    <row r="139" spans="1:3" x14ac:dyDescent="0.25">
      <c r="A139" s="35" t="s">
        <v>314</v>
      </c>
      <c r="B139" s="36" t="s">
        <v>315</v>
      </c>
      <c r="C139" t="str">
        <f t="shared" si="2"/>
        <v>100216730</v>
      </c>
    </row>
    <row r="140" spans="1:3" x14ac:dyDescent="0.25">
      <c r="A140" s="35" t="s">
        <v>316</v>
      </c>
      <c r="B140" s="36" t="s">
        <v>317</v>
      </c>
      <c r="C140" t="str">
        <f t="shared" si="2"/>
        <v>100217513</v>
      </c>
    </row>
    <row r="141" spans="1:3" x14ac:dyDescent="0.25">
      <c r="A141" s="35" t="s">
        <v>318</v>
      </c>
      <c r="B141" s="36" t="s">
        <v>319</v>
      </c>
      <c r="C141" t="str">
        <f t="shared" si="2"/>
        <v>100218190</v>
      </c>
    </row>
    <row r="142" spans="1:3" x14ac:dyDescent="0.25">
      <c r="A142" s="35" t="s">
        <v>320</v>
      </c>
      <c r="B142" s="36" t="s">
        <v>321</v>
      </c>
      <c r="C142" t="str">
        <f t="shared" si="2"/>
        <v>100221189</v>
      </c>
    </row>
    <row r="143" spans="1:3" x14ac:dyDescent="0.25">
      <c r="A143" s="35" t="s">
        <v>322</v>
      </c>
      <c r="B143" s="36" t="s">
        <v>323</v>
      </c>
      <c r="C143" t="str">
        <f t="shared" si="2"/>
        <v>100223539</v>
      </c>
    </row>
    <row r="144" spans="1:3" x14ac:dyDescent="0.25">
      <c r="A144" s="35" t="s">
        <v>324</v>
      </c>
      <c r="B144" s="36" t="s">
        <v>325</v>
      </c>
      <c r="C144" t="str">
        <f t="shared" si="2"/>
        <v>100223888</v>
      </c>
    </row>
    <row r="145" spans="1:3" x14ac:dyDescent="0.25">
      <c r="A145" s="35" t="s">
        <v>326</v>
      </c>
      <c r="B145" s="36" t="s">
        <v>327</v>
      </c>
      <c r="C145" t="str">
        <f t="shared" si="2"/>
        <v>100224096</v>
      </c>
    </row>
    <row r="146" spans="1:3" x14ac:dyDescent="0.25">
      <c r="A146" s="35" t="s">
        <v>328</v>
      </c>
      <c r="B146" s="36" t="s">
        <v>329</v>
      </c>
      <c r="C146" t="str">
        <f t="shared" si="2"/>
        <v>100224100</v>
      </c>
    </row>
    <row r="147" spans="1:3" x14ac:dyDescent="0.25">
      <c r="A147" s="35" t="s">
        <v>330</v>
      </c>
      <c r="B147" s="36" t="s">
        <v>331</v>
      </c>
      <c r="C147" t="str">
        <f t="shared" si="2"/>
        <v>100224377</v>
      </c>
    </row>
    <row r="148" spans="1:3" x14ac:dyDescent="0.25">
      <c r="A148" s="35" t="s">
        <v>332</v>
      </c>
      <c r="B148" s="36" t="s">
        <v>333</v>
      </c>
      <c r="C148" t="str">
        <f t="shared" si="2"/>
        <v>100234700</v>
      </c>
    </row>
    <row r="149" spans="1:3" x14ac:dyDescent="0.25">
      <c r="A149" s="35" t="s">
        <v>334</v>
      </c>
      <c r="B149" s="36" t="s">
        <v>335</v>
      </c>
      <c r="C149" t="str">
        <f t="shared" si="2"/>
        <v>100241499</v>
      </c>
    </row>
    <row r="150" spans="1:3" x14ac:dyDescent="0.25">
      <c r="A150" s="35" t="s">
        <v>336</v>
      </c>
      <c r="B150" s="36" t="s">
        <v>337</v>
      </c>
      <c r="C150" t="str">
        <f t="shared" si="2"/>
        <v>100244569</v>
      </c>
    </row>
    <row r="151" spans="1:3" x14ac:dyDescent="0.25">
      <c r="A151" s="35" t="s">
        <v>338</v>
      </c>
      <c r="B151" s="36" t="s">
        <v>339</v>
      </c>
      <c r="C151" t="str">
        <f t="shared" si="2"/>
        <v>100245</v>
      </c>
    </row>
    <row r="152" spans="1:3" x14ac:dyDescent="0.25">
      <c r="A152" s="35" t="s">
        <v>340</v>
      </c>
      <c r="B152" s="36" t="s">
        <v>341</v>
      </c>
      <c r="C152" t="str">
        <f t="shared" si="2"/>
        <v>100245029</v>
      </c>
    </row>
    <row r="153" spans="1:3" x14ac:dyDescent="0.25">
      <c r="A153" s="35" t="s">
        <v>342</v>
      </c>
      <c r="B153" s="36" t="s">
        <v>343</v>
      </c>
      <c r="C153" t="str">
        <f t="shared" si="2"/>
        <v>100245035</v>
      </c>
    </row>
    <row r="154" spans="1:3" x14ac:dyDescent="0.25">
      <c r="A154" s="35" t="s">
        <v>344</v>
      </c>
      <c r="B154" s="36" t="s">
        <v>345</v>
      </c>
      <c r="C154" t="str">
        <f t="shared" si="2"/>
        <v>100247648</v>
      </c>
    </row>
    <row r="155" spans="1:3" x14ac:dyDescent="0.25">
      <c r="A155" s="35" t="s">
        <v>346</v>
      </c>
      <c r="B155" s="36" t="s">
        <v>347</v>
      </c>
      <c r="C155" t="str">
        <f t="shared" si="2"/>
        <v>100248990</v>
      </c>
    </row>
    <row r="156" spans="1:3" x14ac:dyDescent="0.25">
      <c r="A156" s="35" t="s">
        <v>348</v>
      </c>
      <c r="B156" s="36" t="s">
        <v>349</v>
      </c>
      <c r="C156" t="str">
        <f t="shared" si="2"/>
        <v>100260389</v>
      </c>
    </row>
    <row r="157" spans="1:3" x14ac:dyDescent="0.25">
      <c r="A157" s="35" t="s">
        <v>350</v>
      </c>
      <c r="B157" s="36" t="s">
        <v>351</v>
      </c>
      <c r="C157" t="str">
        <f t="shared" si="2"/>
        <v>100267720</v>
      </c>
    </row>
    <row r="158" spans="1:3" x14ac:dyDescent="0.25">
      <c r="A158" s="35" t="s">
        <v>352</v>
      </c>
      <c r="B158" s="36" t="s">
        <v>353</v>
      </c>
      <c r="C158" t="str">
        <f t="shared" si="2"/>
        <v>100267728</v>
      </c>
    </row>
    <row r="159" spans="1:3" x14ac:dyDescent="0.25">
      <c r="A159" s="35" t="s">
        <v>354</v>
      </c>
      <c r="B159" s="36" t="s">
        <v>355</v>
      </c>
      <c r="C159" t="str">
        <f t="shared" si="2"/>
        <v>10026865</v>
      </c>
    </row>
    <row r="160" spans="1:3" x14ac:dyDescent="0.25">
      <c r="A160" s="35" t="s">
        <v>356</v>
      </c>
      <c r="B160" s="36" t="s">
        <v>357</v>
      </c>
      <c r="C160" t="str">
        <f t="shared" si="2"/>
        <v>100269865</v>
      </c>
    </row>
    <row r="161" spans="1:3" x14ac:dyDescent="0.25">
      <c r="A161" s="35" t="s">
        <v>358</v>
      </c>
      <c r="B161" s="36" t="s">
        <v>359</v>
      </c>
      <c r="C161" t="str">
        <f t="shared" si="2"/>
        <v>100270507</v>
      </c>
    </row>
    <row r="162" spans="1:3" x14ac:dyDescent="0.25">
      <c r="A162" s="35" t="s">
        <v>360</v>
      </c>
      <c r="B162" s="36" t="s">
        <v>361</v>
      </c>
      <c r="C162" t="str">
        <f t="shared" si="2"/>
        <v>10034659</v>
      </c>
    </row>
    <row r="163" spans="1:3" x14ac:dyDescent="0.25">
      <c r="A163" s="35" t="s">
        <v>362</v>
      </c>
      <c r="B163" s="36" t="s">
        <v>363</v>
      </c>
      <c r="C163" t="str">
        <f t="shared" si="2"/>
        <v>10120</v>
      </c>
    </row>
    <row r="164" spans="1:3" x14ac:dyDescent="0.25">
      <c r="A164" s="35" t="s">
        <v>364</v>
      </c>
      <c r="B164" s="36" t="s">
        <v>365</v>
      </c>
      <c r="C164" t="str">
        <f t="shared" si="2"/>
        <v>10152</v>
      </c>
    </row>
    <row r="165" spans="1:3" x14ac:dyDescent="0.25">
      <c r="A165" s="35" t="s">
        <v>366</v>
      </c>
      <c r="B165" s="36" t="s">
        <v>367</v>
      </c>
      <c r="C165" t="str">
        <f t="shared" si="2"/>
        <v>10201</v>
      </c>
    </row>
    <row r="166" spans="1:3" x14ac:dyDescent="0.25">
      <c r="A166" s="35" t="s">
        <v>368</v>
      </c>
      <c r="B166" s="36" t="s">
        <v>369</v>
      </c>
      <c r="C166" t="str">
        <f t="shared" si="2"/>
        <v>102010</v>
      </c>
    </row>
    <row r="167" spans="1:3" x14ac:dyDescent="0.25">
      <c r="A167" s="35" t="s">
        <v>370</v>
      </c>
      <c r="B167" s="36" t="s">
        <v>371</v>
      </c>
      <c r="C167" t="str">
        <f t="shared" si="2"/>
        <v>102011</v>
      </c>
    </row>
    <row r="168" spans="1:3" x14ac:dyDescent="0.25">
      <c r="A168" s="35" t="s">
        <v>372</v>
      </c>
      <c r="B168" s="36" t="s">
        <v>373</v>
      </c>
      <c r="C168" t="str">
        <f t="shared" si="2"/>
        <v>102020</v>
      </c>
    </row>
    <row r="169" spans="1:3" x14ac:dyDescent="0.25">
      <c r="A169" s="35" t="s">
        <v>374</v>
      </c>
      <c r="B169" s="36" t="s">
        <v>375</v>
      </c>
      <c r="C169" t="str">
        <f t="shared" si="2"/>
        <v>102030</v>
      </c>
    </row>
    <row r="170" spans="1:3" x14ac:dyDescent="0.25">
      <c r="A170" s="35" t="s">
        <v>376</v>
      </c>
      <c r="B170" s="36" t="s">
        <v>377</v>
      </c>
      <c r="C170" t="str">
        <f t="shared" si="2"/>
        <v>10208</v>
      </c>
    </row>
    <row r="171" spans="1:3" x14ac:dyDescent="0.25">
      <c r="A171" s="35" t="s">
        <v>378</v>
      </c>
      <c r="B171" s="36" t="s">
        <v>379</v>
      </c>
      <c r="C171" t="str">
        <f t="shared" si="2"/>
        <v>10209</v>
      </c>
    </row>
    <row r="172" spans="1:3" x14ac:dyDescent="0.25">
      <c r="A172" s="35" t="s">
        <v>380</v>
      </c>
      <c r="B172" s="36" t="s">
        <v>381</v>
      </c>
      <c r="C172" t="str">
        <f t="shared" si="2"/>
        <v>10250</v>
      </c>
    </row>
    <row r="173" spans="1:3" x14ac:dyDescent="0.25">
      <c r="A173" s="35" t="s">
        <v>382</v>
      </c>
      <c r="B173" s="36" t="s">
        <v>383</v>
      </c>
      <c r="C173" t="str">
        <f t="shared" si="2"/>
        <v>1047</v>
      </c>
    </row>
    <row r="174" spans="1:3" x14ac:dyDescent="0.25">
      <c r="A174" s="35" t="s">
        <v>384</v>
      </c>
      <c r="B174" s="36" t="s">
        <v>385</v>
      </c>
      <c r="C174" t="str">
        <f t="shared" si="2"/>
        <v>105024</v>
      </c>
    </row>
    <row r="175" spans="1:3" x14ac:dyDescent="0.25">
      <c r="A175" s="35" t="s">
        <v>386</v>
      </c>
      <c r="B175" s="36" t="s">
        <v>387</v>
      </c>
      <c r="C175" t="str">
        <f t="shared" si="2"/>
        <v>1092480</v>
      </c>
    </row>
    <row r="176" spans="1:3" x14ac:dyDescent="0.25">
      <c r="A176" s="35" t="s">
        <v>388</v>
      </c>
      <c r="B176" s="36" t="s">
        <v>389</v>
      </c>
      <c r="C176" t="str">
        <f t="shared" si="2"/>
        <v>109250046</v>
      </c>
    </row>
    <row r="177" spans="1:3" x14ac:dyDescent="0.25">
      <c r="A177" s="35" t="s">
        <v>390</v>
      </c>
      <c r="B177" s="36" t="s">
        <v>391</v>
      </c>
      <c r="C177" t="str">
        <f t="shared" si="2"/>
        <v>1092530</v>
      </c>
    </row>
    <row r="178" spans="1:3" x14ac:dyDescent="0.25">
      <c r="A178" s="35" t="s">
        <v>392</v>
      </c>
      <c r="B178" s="36" t="s">
        <v>393</v>
      </c>
      <c r="C178" t="str">
        <f t="shared" si="2"/>
        <v>111000</v>
      </c>
    </row>
    <row r="179" spans="1:3" x14ac:dyDescent="0.25">
      <c r="A179" s="35" t="s">
        <v>394</v>
      </c>
      <c r="B179" s="36" t="s">
        <v>395</v>
      </c>
      <c r="C179" t="str">
        <f t="shared" si="2"/>
        <v>11111</v>
      </c>
    </row>
    <row r="180" spans="1:3" x14ac:dyDescent="0.25">
      <c r="A180" s="35" t="s">
        <v>396</v>
      </c>
      <c r="B180" s="36" t="s">
        <v>397</v>
      </c>
      <c r="C180" t="str">
        <f t="shared" si="2"/>
        <v>111133</v>
      </c>
    </row>
    <row r="181" spans="1:3" x14ac:dyDescent="0.25">
      <c r="A181" s="35" t="s">
        <v>398</v>
      </c>
      <c r="B181" s="36" t="s">
        <v>116</v>
      </c>
      <c r="C181" t="str">
        <f t="shared" si="2"/>
        <v>11122</v>
      </c>
    </row>
    <row r="182" spans="1:3" x14ac:dyDescent="0.25">
      <c r="A182" s="35" t="s">
        <v>399</v>
      </c>
      <c r="B182" s="36" t="s">
        <v>400</v>
      </c>
      <c r="C182" t="str">
        <f t="shared" si="2"/>
        <v>111222</v>
      </c>
    </row>
    <row r="183" spans="1:3" x14ac:dyDescent="0.25">
      <c r="A183" s="35" t="s">
        <v>401</v>
      </c>
      <c r="B183" s="36" t="s">
        <v>402</v>
      </c>
      <c r="C183" t="str">
        <f t="shared" si="2"/>
        <v>11235</v>
      </c>
    </row>
    <row r="184" spans="1:3" x14ac:dyDescent="0.25">
      <c r="A184" s="35" t="s">
        <v>403</v>
      </c>
      <c r="B184" s="36" t="s">
        <v>61</v>
      </c>
      <c r="C184" t="str">
        <f t="shared" si="2"/>
        <v>112356</v>
      </c>
    </row>
    <row r="185" spans="1:3" x14ac:dyDescent="0.25">
      <c r="A185" s="35" t="s">
        <v>404</v>
      </c>
      <c r="B185" s="36" t="s">
        <v>405</v>
      </c>
      <c r="C185" t="str">
        <f t="shared" si="2"/>
        <v>11556</v>
      </c>
    </row>
    <row r="186" spans="1:3" x14ac:dyDescent="0.25">
      <c r="A186" s="35" t="s">
        <v>406</v>
      </c>
      <c r="B186" s="36" t="s">
        <v>407</v>
      </c>
      <c r="C186" t="str">
        <f t="shared" si="2"/>
        <v>120120</v>
      </c>
    </row>
    <row r="187" spans="1:3" x14ac:dyDescent="0.25">
      <c r="A187" s="35" t="s">
        <v>408</v>
      </c>
      <c r="B187" s="36" t="s">
        <v>409</v>
      </c>
      <c r="C187" t="str">
        <f t="shared" si="2"/>
        <v>12020</v>
      </c>
    </row>
    <row r="188" spans="1:3" x14ac:dyDescent="0.25">
      <c r="A188" s="35" t="s">
        <v>410</v>
      </c>
      <c r="B188" s="36" t="s">
        <v>411</v>
      </c>
      <c r="C188" t="str">
        <f t="shared" si="2"/>
        <v>12036</v>
      </c>
    </row>
    <row r="189" spans="1:3" x14ac:dyDescent="0.25">
      <c r="A189" s="35" t="s">
        <v>412</v>
      </c>
      <c r="B189" s="36" t="s">
        <v>413</v>
      </c>
      <c r="C189" t="str">
        <f t="shared" si="2"/>
        <v>123012</v>
      </c>
    </row>
    <row r="190" spans="1:3" x14ac:dyDescent="0.25">
      <c r="A190" s="35" t="s">
        <v>414</v>
      </c>
      <c r="B190" s="36" t="s">
        <v>415</v>
      </c>
      <c r="C190" t="str">
        <f t="shared" si="2"/>
        <v>1234</v>
      </c>
    </row>
    <row r="191" spans="1:3" x14ac:dyDescent="0.25">
      <c r="A191" s="35" t="s">
        <v>416</v>
      </c>
      <c r="B191" s="36" t="s">
        <v>417</v>
      </c>
      <c r="C191" t="str">
        <f t="shared" si="2"/>
        <v>12365</v>
      </c>
    </row>
    <row r="192" spans="1:3" x14ac:dyDescent="0.25">
      <c r="A192" s="35" t="s">
        <v>418</v>
      </c>
      <c r="B192" s="36" t="s">
        <v>419</v>
      </c>
      <c r="C192" t="str">
        <f t="shared" si="2"/>
        <v>12396</v>
      </c>
    </row>
    <row r="193" spans="1:3" x14ac:dyDescent="0.25">
      <c r="A193" s="35" t="s">
        <v>420</v>
      </c>
      <c r="B193" s="36" t="s">
        <v>421</v>
      </c>
      <c r="C193" t="str">
        <f t="shared" si="2"/>
        <v>12651</v>
      </c>
    </row>
    <row r="194" spans="1:3" x14ac:dyDescent="0.25">
      <c r="A194" s="35" t="s">
        <v>422</v>
      </c>
      <c r="B194" s="36" t="s">
        <v>423</v>
      </c>
      <c r="C194" t="str">
        <f t="shared" si="2"/>
        <v>12697</v>
      </c>
    </row>
    <row r="195" spans="1:3" x14ac:dyDescent="0.25">
      <c r="A195" s="35" t="s">
        <v>424</v>
      </c>
      <c r="B195" s="36" t="s">
        <v>425</v>
      </c>
      <c r="C195" t="str">
        <f t="shared" ref="C195:C258" si="3">IF(TRIM(A195)="","",IF(ISNUMBER(VALUE(TRIM(A195))),TEXT(VALUE(TRIM(A195)),"0"),TRIM(A195)))</f>
        <v>12961</v>
      </c>
    </row>
    <row r="196" spans="1:3" x14ac:dyDescent="0.25">
      <c r="A196" s="35" t="s">
        <v>426</v>
      </c>
      <c r="B196" s="36" t="s">
        <v>427</v>
      </c>
      <c r="C196" t="str">
        <f t="shared" si="3"/>
        <v>136950291</v>
      </c>
    </row>
    <row r="197" spans="1:3" x14ac:dyDescent="0.25">
      <c r="A197" s="35" t="s">
        <v>428</v>
      </c>
      <c r="B197" s="36" t="s">
        <v>429</v>
      </c>
      <c r="C197" t="str">
        <f t="shared" si="3"/>
        <v>137900595</v>
      </c>
    </row>
    <row r="198" spans="1:3" x14ac:dyDescent="0.25">
      <c r="A198" s="35" t="s">
        <v>430</v>
      </c>
      <c r="B198" s="36" t="s">
        <v>431</v>
      </c>
      <c r="C198" t="str">
        <f t="shared" si="3"/>
        <v>138050166</v>
      </c>
    </row>
    <row r="199" spans="1:3" x14ac:dyDescent="0.25">
      <c r="A199" s="35" t="s">
        <v>432</v>
      </c>
      <c r="B199" s="36" t="s">
        <v>433</v>
      </c>
      <c r="C199" t="str">
        <f t="shared" si="3"/>
        <v>141414</v>
      </c>
    </row>
    <row r="200" spans="1:3" x14ac:dyDescent="0.25">
      <c r="A200" s="35" t="s">
        <v>434</v>
      </c>
      <c r="B200" s="36" t="s">
        <v>435</v>
      </c>
      <c r="C200" t="str">
        <f t="shared" si="3"/>
        <v>14725</v>
      </c>
    </row>
    <row r="201" spans="1:3" x14ac:dyDescent="0.25">
      <c r="A201" s="35" t="s">
        <v>436</v>
      </c>
      <c r="B201" s="36" t="s">
        <v>437</v>
      </c>
      <c r="C201" t="str">
        <f t="shared" si="3"/>
        <v>15631</v>
      </c>
    </row>
    <row r="202" spans="1:3" x14ac:dyDescent="0.25">
      <c r="A202" s="35" t="s">
        <v>438</v>
      </c>
      <c r="B202" s="36" t="s">
        <v>407</v>
      </c>
      <c r="C202" t="str">
        <f t="shared" si="3"/>
        <v>1596</v>
      </c>
    </row>
    <row r="203" spans="1:3" x14ac:dyDescent="0.25">
      <c r="A203" s="35" t="s">
        <v>439</v>
      </c>
      <c r="B203" s="36" t="s">
        <v>440</v>
      </c>
      <c r="C203" t="str">
        <f t="shared" si="3"/>
        <v>1636</v>
      </c>
    </row>
    <row r="204" spans="1:3" x14ac:dyDescent="0.25">
      <c r="A204" s="35" t="s">
        <v>441</v>
      </c>
      <c r="B204" s="36" t="s">
        <v>442</v>
      </c>
      <c r="C204" t="str">
        <f t="shared" si="3"/>
        <v>16945</v>
      </c>
    </row>
    <row r="205" spans="1:3" x14ac:dyDescent="0.25">
      <c r="A205" s="35" t="s">
        <v>443</v>
      </c>
      <c r="B205" s="36" t="s">
        <v>444</v>
      </c>
      <c r="C205" t="str">
        <f t="shared" si="3"/>
        <v>173200393</v>
      </c>
    </row>
    <row r="206" spans="1:3" x14ac:dyDescent="0.25">
      <c r="A206" s="35" t="s">
        <v>445</v>
      </c>
      <c r="B206" s="36" t="s">
        <v>446</v>
      </c>
      <c r="C206" t="str">
        <f t="shared" si="3"/>
        <v>177400392</v>
      </c>
    </row>
    <row r="207" spans="1:3" x14ac:dyDescent="0.25">
      <c r="A207" s="35" t="s">
        <v>447</v>
      </c>
      <c r="B207" s="36" t="s">
        <v>448</v>
      </c>
      <c r="C207" t="str">
        <f t="shared" si="3"/>
        <v>179552023</v>
      </c>
    </row>
    <row r="208" spans="1:3" x14ac:dyDescent="0.25">
      <c r="A208" s="35" t="s">
        <v>449</v>
      </c>
      <c r="B208" s="36" t="s">
        <v>450</v>
      </c>
      <c r="C208" t="str">
        <f t="shared" si="3"/>
        <v>183700447</v>
      </c>
    </row>
    <row r="209" spans="1:3" x14ac:dyDescent="0.25">
      <c r="A209" s="35" t="s">
        <v>451</v>
      </c>
      <c r="B209" s="36" t="s">
        <v>452</v>
      </c>
      <c r="C209" t="str">
        <f t="shared" si="3"/>
        <v>1887190</v>
      </c>
    </row>
    <row r="210" spans="1:3" x14ac:dyDescent="0.25">
      <c r="A210" s="35" t="s">
        <v>453</v>
      </c>
      <c r="B210" s="36" t="s">
        <v>454</v>
      </c>
      <c r="C210" t="str">
        <f t="shared" si="3"/>
        <v>1897030</v>
      </c>
    </row>
    <row r="211" spans="1:3" x14ac:dyDescent="0.25">
      <c r="A211" s="35" t="s">
        <v>455</v>
      </c>
      <c r="B211" s="36" t="s">
        <v>456</v>
      </c>
      <c r="C211" t="str">
        <f t="shared" si="3"/>
        <v>197100899</v>
      </c>
    </row>
    <row r="212" spans="1:3" x14ac:dyDescent="0.25">
      <c r="A212" s="35" t="s">
        <v>457</v>
      </c>
      <c r="B212" s="36" t="s">
        <v>458</v>
      </c>
      <c r="C212" t="str">
        <f t="shared" si="3"/>
        <v>19856</v>
      </c>
    </row>
    <row r="213" spans="1:3" x14ac:dyDescent="0.25">
      <c r="A213" s="35" t="s">
        <v>459</v>
      </c>
      <c r="B213" s="36" t="s">
        <v>460</v>
      </c>
      <c r="C213" t="str">
        <f t="shared" si="3"/>
        <v>200515</v>
      </c>
    </row>
    <row r="214" spans="1:3" x14ac:dyDescent="0.25">
      <c r="A214" s="35" t="s">
        <v>461</v>
      </c>
      <c r="B214" s="36" t="s">
        <v>462</v>
      </c>
      <c r="C214" t="str">
        <f t="shared" si="3"/>
        <v>20055</v>
      </c>
    </row>
    <row r="215" spans="1:3" x14ac:dyDescent="0.25">
      <c r="A215" s="35" t="s">
        <v>463</v>
      </c>
      <c r="B215" s="36" t="s">
        <v>464</v>
      </c>
      <c r="C215" t="str">
        <f t="shared" si="3"/>
        <v>20134</v>
      </c>
    </row>
    <row r="216" spans="1:3" x14ac:dyDescent="0.25">
      <c r="A216" s="35" t="s">
        <v>465</v>
      </c>
      <c r="B216" s="36" t="s">
        <v>466</v>
      </c>
      <c r="C216" t="str">
        <f t="shared" si="3"/>
        <v>20135</v>
      </c>
    </row>
    <row r="217" spans="1:3" x14ac:dyDescent="0.25">
      <c r="A217" s="35" t="s">
        <v>467</v>
      </c>
      <c r="B217" s="36" t="s">
        <v>468</v>
      </c>
      <c r="C217" t="str">
        <f t="shared" si="3"/>
        <v>20161</v>
      </c>
    </row>
    <row r="218" spans="1:3" x14ac:dyDescent="0.25">
      <c r="A218" s="35" t="s">
        <v>469</v>
      </c>
      <c r="B218" s="36" t="s">
        <v>107</v>
      </c>
      <c r="C218" t="str">
        <f t="shared" si="3"/>
        <v>20173</v>
      </c>
    </row>
    <row r="219" spans="1:3" x14ac:dyDescent="0.25">
      <c r="A219" s="35" t="s">
        <v>470</v>
      </c>
      <c r="B219" s="36" t="s">
        <v>471</v>
      </c>
      <c r="C219" t="str">
        <f t="shared" si="3"/>
        <v>20177</v>
      </c>
    </row>
    <row r="220" spans="1:3" x14ac:dyDescent="0.25">
      <c r="A220" s="35" t="s">
        <v>472</v>
      </c>
      <c r="B220" s="36" t="s">
        <v>473</v>
      </c>
      <c r="C220" t="str">
        <f t="shared" si="3"/>
        <v>20201</v>
      </c>
    </row>
    <row r="221" spans="1:3" x14ac:dyDescent="0.25">
      <c r="A221" s="35" t="s">
        <v>474</v>
      </c>
      <c r="B221" s="36" t="s">
        <v>475</v>
      </c>
      <c r="C221" t="str">
        <f t="shared" si="3"/>
        <v>20202</v>
      </c>
    </row>
    <row r="222" spans="1:3" x14ac:dyDescent="0.25">
      <c r="A222" s="35" t="s">
        <v>476</v>
      </c>
      <c r="B222" s="36" t="s">
        <v>477</v>
      </c>
      <c r="C222" t="str">
        <f t="shared" si="3"/>
        <v>202023</v>
      </c>
    </row>
    <row r="223" spans="1:3" x14ac:dyDescent="0.25">
      <c r="A223" s="35" t="s">
        <v>478</v>
      </c>
      <c r="B223" s="36" t="s">
        <v>479</v>
      </c>
      <c r="C223" t="str">
        <f t="shared" si="3"/>
        <v>202031</v>
      </c>
    </row>
    <row r="224" spans="1:3" x14ac:dyDescent="0.25">
      <c r="A224" s="35" t="s">
        <v>480</v>
      </c>
      <c r="B224" s="36" t="s">
        <v>481</v>
      </c>
      <c r="C224" t="str">
        <f t="shared" si="3"/>
        <v>20206</v>
      </c>
    </row>
    <row r="225" spans="1:3" x14ac:dyDescent="0.25">
      <c r="A225" s="35" t="s">
        <v>482</v>
      </c>
      <c r="B225" s="36" t="s">
        <v>483</v>
      </c>
      <c r="C225" t="str">
        <f t="shared" si="3"/>
        <v>20208</v>
      </c>
    </row>
    <row r="226" spans="1:3" x14ac:dyDescent="0.25">
      <c r="A226" s="35" t="s">
        <v>484</v>
      </c>
      <c r="B226" s="36" t="s">
        <v>485</v>
      </c>
      <c r="C226" t="str">
        <f t="shared" si="3"/>
        <v>20209</v>
      </c>
    </row>
    <row r="227" spans="1:3" x14ac:dyDescent="0.25">
      <c r="A227" s="35" t="s">
        <v>486</v>
      </c>
      <c r="B227" s="36" t="s">
        <v>487</v>
      </c>
      <c r="C227" t="str">
        <f t="shared" si="3"/>
        <v>20211</v>
      </c>
    </row>
    <row r="228" spans="1:3" x14ac:dyDescent="0.25">
      <c r="A228" s="35" t="s">
        <v>488</v>
      </c>
      <c r="B228" s="36" t="s">
        <v>489</v>
      </c>
      <c r="C228" t="str">
        <f t="shared" si="3"/>
        <v>20212</v>
      </c>
    </row>
    <row r="229" spans="1:3" x14ac:dyDescent="0.25">
      <c r="A229" s="35" t="s">
        <v>490</v>
      </c>
      <c r="B229" s="36" t="s">
        <v>491</v>
      </c>
      <c r="C229" t="str">
        <f t="shared" si="3"/>
        <v>20213</v>
      </c>
    </row>
    <row r="230" spans="1:3" x14ac:dyDescent="0.25">
      <c r="A230" s="35" t="s">
        <v>492</v>
      </c>
      <c r="B230" s="36" t="s">
        <v>493</v>
      </c>
      <c r="C230" t="str">
        <f t="shared" si="3"/>
        <v>20214</v>
      </c>
    </row>
    <row r="231" spans="1:3" x14ac:dyDescent="0.25">
      <c r="A231" s="35" t="s">
        <v>494</v>
      </c>
      <c r="B231" s="36" t="s">
        <v>495</v>
      </c>
      <c r="C231" t="str">
        <f t="shared" si="3"/>
        <v>20215</v>
      </c>
    </row>
    <row r="232" spans="1:3" x14ac:dyDescent="0.25">
      <c r="A232" s="35" t="s">
        <v>496</v>
      </c>
      <c r="B232" s="36" t="s">
        <v>497</v>
      </c>
      <c r="C232" t="str">
        <f t="shared" si="3"/>
        <v>20216</v>
      </c>
    </row>
    <row r="233" spans="1:3" x14ac:dyDescent="0.25">
      <c r="A233" s="35" t="s">
        <v>498</v>
      </c>
      <c r="B233" s="36" t="s">
        <v>499</v>
      </c>
      <c r="C233" t="str">
        <f t="shared" si="3"/>
        <v>20217</v>
      </c>
    </row>
    <row r="234" spans="1:3" x14ac:dyDescent="0.25">
      <c r="A234" s="35" t="s">
        <v>500</v>
      </c>
      <c r="B234" s="36" t="s">
        <v>501</v>
      </c>
      <c r="C234" t="str">
        <f t="shared" si="3"/>
        <v>20223</v>
      </c>
    </row>
    <row r="235" spans="1:3" x14ac:dyDescent="0.25">
      <c r="A235" s="35" t="s">
        <v>502</v>
      </c>
      <c r="B235" s="36" t="s">
        <v>503</v>
      </c>
      <c r="C235" t="str">
        <f t="shared" si="3"/>
        <v>20253</v>
      </c>
    </row>
    <row r="236" spans="1:3" x14ac:dyDescent="0.25">
      <c r="A236" s="35" t="s">
        <v>504</v>
      </c>
      <c r="B236" s="36" t="s">
        <v>505</v>
      </c>
      <c r="C236" t="str">
        <f t="shared" si="3"/>
        <v>20301</v>
      </c>
    </row>
    <row r="237" spans="1:3" x14ac:dyDescent="0.25">
      <c r="A237" s="35" t="s">
        <v>506</v>
      </c>
      <c r="B237" s="36" t="s">
        <v>507</v>
      </c>
      <c r="C237" t="str">
        <f t="shared" si="3"/>
        <v>20306</v>
      </c>
    </row>
    <row r="238" spans="1:3" x14ac:dyDescent="0.25">
      <c r="A238" s="35" t="s">
        <v>508</v>
      </c>
      <c r="B238" s="36" t="s">
        <v>509</v>
      </c>
      <c r="C238" t="str">
        <f t="shared" si="3"/>
        <v>20400</v>
      </c>
    </row>
    <row r="239" spans="1:3" x14ac:dyDescent="0.25">
      <c r="A239" s="35" t="s">
        <v>510</v>
      </c>
      <c r="B239" s="36" t="s">
        <v>511</v>
      </c>
      <c r="C239" t="str">
        <f t="shared" si="3"/>
        <v>20502</v>
      </c>
    </row>
    <row r="240" spans="1:3" x14ac:dyDescent="0.25">
      <c r="A240" s="35" t="s">
        <v>512</v>
      </c>
      <c r="B240" s="36" t="s">
        <v>513</v>
      </c>
      <c r="C240" t="str">
        <f t="shared" si="3"/>
        <v>20504</v>
      </c>
    </row>
    <row r="241" spans="1:3" x14ac:dyDescent="0.25">
      <c r="A241" s="35" t="s">
        <v>514</v>
      </c>
      <c r="B241" s="36" t="s">
        <v>515</v>
      </c>
      <c r="C241" t="str">
        <f t="shared" si="3"/>
        <v>20505</v>
      </c>
    </row>
    <row r="242" spans="1:3" x14ac:dyDescent="0.25">
      <c r="A242" s="35" t="s">
        <v>516</v>
      </c>
      <c r="B242" s="36" t="s">
        <v>517</v>
      </c>
      <c r="C242" t="str">
        <f t="shared" si="3"/>
        <v>20506</v>
      </c>
    </row>
    <row r="243" spans="1:3" x14ac:dyDescent="0.25">
      <c r="A243" s="35" t="s">
        <v>518</v>
      </c>
      <c r="B243" s="36" t="s">
        <v>519</v>
      </c>
      <c r="C243" t="str">
        <f t="shared" si="3"/>
        <v>20507</v>
      </c>
    </row>
    <row r="244" spans="1:3" x14ac:dyDescent="0.25">
      <c r="A244" s="35" t="s">
        <v>520</v>
      </c>
      <c r="B244" s="36" t="s">
        <v>521</v>
      </c>
      <c r="C244" t="str">
        <f t="shared" si="3"/>
        <v>20601</v>
      </c>
    </row>
    <row r="245" spans="1:3" x14ac:dyDescent="0.25">
      <c r="A245" s="35" t="s">
        <v>522</v>
      </c>
      <c r="B245" s="36" t="s">
        <v>523</v>
      </c>
      <c r="C245" t="str">
        <f t="shared" si="3"/>
        <v>20707</v>
      </c>
    </row>
    <row r="246" spans="1:3" x14ac:dyDescent="0.25">
      <c r="A246" s="35" t="s">
        <v>524</v>
      </c>
      <c r="B246" s="36" t="s">
        <v>525</v>
      </c>
      <c r="C246" t="str">
        <f t="shared" si="3"/>
        <v>20901</v>
      </c>
    </row>
    <row r="247" spans="1:3" x14ac:dyDescent="0.25">
      <c r="A247" s="35" t="s">
        <v>526</v>
      </c>
      <c r="B247" s="36" t="s">
        <v>527</v>
      </c>
      <c r="C247" t="str">
        <f t="shared" si="3"/>
        <v>20997</v>
      </c>
    </row>
    <row r="248" spans="1:3" x14ac:dyDescent="0.25">
      <c r="A248" s="35" t="s">
        <v>528</v>
      </c>
      <c r="B248" s="36" t="s">
        <v>529</v>
      </c>
      <c r="C248" t="str">
        <f t="shared" si="3"/>
        <v>21012</v>
      </c>
    </row>
    <row r="249" spans="1:3" x14ac:dyDescent="0.25">
      <c r="A249" s="35" t="s">
        <v>530</v>
      </c>
      <c r="B249" s="36" t="s">
        <v>531</v>
      </c>
      <c r="C249" t="str">
        <f t="shared" si="3"/>
        <v>214510</v>
      </c>
    </row>
    <row r="250" spans="1:3" x14ac:dyDescent="0.25">
      <c r="A250" s="35" t="s">
        <v>532</v>
      </c>
      <c r="B250" s="36" t="s">
        <v>533</v>
      </c>
      <c r="C250" t="str">
        <f t="shared" si="3"/>
        <v>21510</v>
      </c>
    </row>
    <row r="251" spans="1:3" x14ac:dyDescent="0.25">
      <c r="A251" s="35" t="s">
        <v>534</v>
      </c>
      <c r="B251" s="36" t="s">
        <v>535</v>
      </c>
      <c r="C251" t="str">
        <f t="shared" si="3"/>
        <v>2222</v>
      </c>
    </row>
    <row r="252" spans="1:3" x14ac:dyDescent="0.25">
      <c r="A252" s="35" t="s">
        <v>536</v>
      </c>
      <c r="B252" s="36" t="s">
        <v>537</v>
      </c>
      <c r="C252" t="str">
        <f t="shared" si="3"/>
        <v>22251</v>
      </c>
    </row>
    <row r="253" spans="1:3" x14ac:dyDescent="0.25">
      <c r="A253" s="35" t="s">
        <v>538</v>
      </c>
      <c r="B253" s="36" t="s">
        <v>539</v>
      </c>
      <c r="C253" t="str">
        <f t="shared" si="3"/>
        <v>22552</v>
      </c>
    </row>
    <row r="254" spans="1:3" x14ac:dyDescent="0.25">
      <c r="A254" s="35" t="s">
        <v>540</v>
      </c>
      <c r="B254" s="36" t="s">
        <v>541</v>
      </c>
      <c r="C254" t="str">
        <f t="shared" si="3"/>
        <v>2309510</v>
      </c>
    </row>
    <row r="255" spans="1:3" x14ac:dyDescent="0.25">
      <c r="A255" s="35" t="s">
        <v>542</v>
      </c>
      <c r="B255" s="36" t="s">
        <v>543</v>
      </c>
      <c r="C255" t="str">
        <f t="shared" si="3"/>
        <v>2309530</v>
      </c>
    </row>
    <row r="256" spans="1:3" x14ac:dyDescent="0.25">
      <c r="A256" s="35" t="s">
        <v>544</v>
      </c>
      <c r="B256" s="36" t="s">
        <v>545</v>
      </c>
      <c r="C256" t="str">
        <f t="shared" si="3"/>
        <v>2319580</v>
      </c>
    </row>
    <row r="257" spans="1:3" x14ac:dyDescent="0.25">
      <c r="A257" s="35" t="s">
        <v>546</v>
      </c>
      <c r="B257" s="36" t="s">
        <v>547</v>
      </c>
      <c r="C257" t="str">
        <f t="shared" si="3"/>
        <v>2321040</v>
      </c>
    </row>
    <row r="258" spans="1:3" x14ac:dyDescent="0.25">
      <c r="A258" s="35" t="s">
        <v>548</v>
      </c>
      <c r="B258" s="36" t="s">
        <v>549</v>
      </c>
      <c r="C258" t="str">
        <f t="shared" si="3"/>
        <v>2321050</v>
      </c>
    </row>
    <row r="259" spans="1:3" x14ac:dyDescent="0.25">
      <c r="A259" s="35" t="s">
        <v>550</v>
      </c>
      <c r="B259" s="36" t="s">
        <v>551</v>
      </c>
      <c r="C259" t="str">
        <f t="shared" ref="C259:C322" si="4">IF(TRIM(A259)="","",IF(ISNUMBER(VALUE(TRIM(A259))),TEXT(VALUE(TRIM(A259)),"0"),TRIM(A259)))</f>
        <v>2358940</v>
      </c>
    </row>
    <row r="260" spans="1:3" x14ac:dyDescent="0.25">
      <c r="A260" s="35" t="s">
        <v>552</v>
      </c>
      <c r="B260" s="36" t="s">
        <v>553</v>
      </c>
      <c r="C260" t="str">
        <f t="shared" si="4"/>
        <v>2358970</v>
      </c>
    </row>
    <row r="261" spans="1:3" x14ac:dyDescent="0.25">
      <c r="A261" s="35" t="s">
        <v>554</v>
      </c>
      <c r="B261" s="36" t="s">
        <v>555</v>
      </c>
      <c r="C261" t="str">
        <f t="shared" si="4"/>
        <v>2369560</v>
      </c>
    </row>
    <row r="262" spans="1:3" x14ac:dyDescent="0.25">
      <c r="A262" s="35" t="s">
        <v>556</v>
      </c>
      <c r="B262" s="36" t="s">
        <v>557</v>
      </c>
      <c r="C262" t="str">
        <f t="shared" si="4"/>
        <v>2415700</v>
      </c>
    </row>
    <row r="263" spans="1:3" x14ac:dyDescent="0.25">
      <c r="A263" s="35" t="s">
        <v>558</v>
      </c>
      <c r="B263" s="36" t="s">
        <v>559</v>
      </c>
      <c r="C263" t="str">
        <f t="shared" si="4"/>
        <v>2415710</v>
      </c>
    </row>
    <row r="264" spans="1:3" x14ac:dyDescent="0.25">
      <c r="A264" s="35" t="s">
        <v>560</v>
      </c>
      <c r="B264" s="36" t="s">
        <v>561</v>
      </c>
      <c r="C264" t="str">
        <f t="shared" si="4"/>
        <v>2415730</v>
      </c>
    </row>
    <row r="265" spans="1:3" x14ac:dyDescent="0.25">
      <c r="A265" s="35" t="s">
        <v>562</v>
      </c>
      <c r="B265" s="36" t="s">
        <v>55</v>
      </c>
      <c r="C265" t="str">
        <f t="shared" si="4"/>
        <v>2415740</v>
      </c>
    </row>
    <row r="266" spans="1:3" x14ac:dyDescent="0.25">
      <c r="A266" s="35" t="s">
        <v>563</v>
      </c>
      <c r="B266" s="36" t="s">
        <v>564</v>
      </c>
      <c r="C266" t="str">
        <f t="shared" si="4"/>
        <v>2428020</v>
      </c>
    </row>
    <row r="267" spans="1:3" x14ac:dyDescent="0.25">
      <c r="A267" s="35" t="s">
        <v>565</v>
      </c>
      <c r="B267" s="36" t="s">
        <v>566</v>
      </c>
      <c r="C267" t="str">
        <f t="shared" si="4"/>
        <v>2428090</v>
      </c>
    </row>
    <row r="268" spans="1:3" x14ac:dyDescent="0.25">
      <c r="A268" s="35" t="s">
        <v>567</v>
      </c>
      <c r="B268" s="36" t="s">
        <v>568</v>
      </c>
      <c r="C268" t="str">
        <f t="shared" si="4"/>
        <v>2428340</v>
      </c>
    </row>
    <row r="269" spans="1:3" x14ac:dyDescent="0.25">
      <c r="A269" s="35" t="s">
        <v>569</v>
      </c>
      <c r="B269" s="36" t="s">
        <v>570</v>
      </c>
      <c r="C269" t="str">
        <f t="shared" si="4"/>
        <v>2428350</v>
      </c>
    </row>
    <row r="270" spans="1:3" x14ac:dyDescent="0.25">
      <c r="A270" s="35" t="s">
        <v>571</v>
      </c>
      <c r="B270" s="36" t="s">
        <v>572</v>
      </c>
      <c r="C270" t="str">
        <f t="shared" si="4"/>
        <v>2428440</v>
      </c>
    </row>
    <row r="271" spans="1:3" x14ac:dyDescent="0.25">
      <c r="A271" s="35" t="s">
        <v>573</v>
      </c>
      <c r="B271" s="36" t="s">
        <v>574</v>
      </c>
      <c r="C271" t="str">
        <f t="shared" si="4"/>
        <v>2433500</v>
      </c>
    </row>
    <row r="272" spans="1:3" x14ac:dyDescent="0.25">
      <c r="A272" s="35" t="s">
        <v>575</v>
      </c>
      <c r="B272" s="36" t="s">
        <v>576</v>
      </c>
      <c r="C272" t="str">
        <f t="shared" si="4"/>
        <v>2434720</v>
      </c>
    </row>
    <row r="273" spans="1:3" x14ac:dyDescent="0.25">
      <c r="A273" s="35" t="s">
        <v>577</v>
      </c>
      <c r="B273" s="36" t="s">
        <v>578</v>
      </c>
      <c r="C273" t="str">
        <f t="shared" si="4"/>
        <v>2434800</v>
      </c>
    </row>
    <row r="274" spans="1:3" x14ac:dyDescent="0.25">
      <c r="A274" s="35" t="s">
        <v>579</v>
      </c>
      <c r="B274" s="36" t="s">
        <v>580</v>
      </c>
      <c r="C274" t="str">
        <f t="shared" si="4"/>
        <v>2434900</v>
      </c>
    </row>
    <row r="275" spans="1:3" x14ac:dyDescent="0.25">
      <c r="A275" s="35" t="s">
        <v>581</v>
      </c>
      <c r="B275" s="36" t="s">
        <v>582</v>
      </c>
      <c r="C275" t="str">
        <f t="shared" si="4"/>
        <v>2435010</v>
      </c>
    </row>
    <row r="276" spans="1:3" x14ac:dyDescent="0.25">
      <c r="A276" s="35" t="s">
        <v>583</v>
      </c>
      <c r="B276" s="36" t="s">
        <v>584</v>
      </c>
      <c r="C276" t="str">
        <f t="shared" si="4"/>
        <v>2435040</v>
      </c>
    </row>
    <row r="277" spans="1:3" x14ac:dyDescent="0.25">
      <c r="A277" s="35" t="s">
        <v>585</v>
      </c>
      <c r="B277" s="36" t="s">
        <v>586</v>
      </c>
      <c r="C277" t="str">
        <f t="shared" si="4"/>
        <v>2435070</v>
      </c>
    </row>
    <row r="278" spans="1:3" x14ac:dyDescent="0.25">
      <c r="A278" s="35" t="s">
        <v>587</v>
      </c>
      <c r="B278" s="36" t="s">
        <v>588</v>
      </c>
      <c r="C278" t="str">
        <f t="shared" si="4"/>
        <v>2435460</v>
      </c>
    </row>
    <row r="279" spans="1:3" x14ac:dyDescent="0.25">
      <c r="A279" s="35" t="s">
        <v>589</v>
      </c>
      <c r="B279" s="36" t="s">
        <v>590</v>
      </c>
      <c r="C279" t="str">
        <f t="shared" si="4"/>
        <v>2436050</v>
      </c>
    </row>
    <row r="280" spans="1:3" x14ac:dyDescent="0.25">
      <c r="A280" s="35" t="s">
        <v>591</v>
      </c>
      <c r="B280" s="36" t="s">
        <v>592</v>
      </c>
      <c r="C280" t="str">
        <f t="shared" si="4"/>
        <v>2436160</v>
      </c>
    </row>
    <row r="281" spans="1:3" x14ac:dyDescent="0.25">
      <c r="A281" s="35" t="s">
        <v>593</v>
      </c>
      <c r="B281" s="36" t="s">
        <v>594</v>
      </c>
      <c r="C281" t="str">
        <f t="shared" si="4"/>
        <v>2436300</v>
      </c>
    </row>
    <row r="282" spans="1:3" x14ac:dyDescent="0.25">
      <c r="A282" s="35" t="s">
        <v>595</v>
      </c>
      <c r="B282" s="36" t="s">
        <v>596</v>
      </c>
      <c r="C282" t="str">
        <f t="shared" si="4"/>
        <v>2436310</v>
      </c>
    </row>
    <row r="283" spans="1:3" x14ac:dyDescent="0.25">
      <c r="A283" s="35" t="s">
        <v>597</v>
      </c>
      <c r="B283" s="36" t="s">
        <v>598</v>
      </c>
      <c r="C283" t="str">
        <f t="shared" si="4"/>
        <v>2436600</v>
      </c>
    </row>
    <row r="284" spans="1:3" x14ac:dyDescent="0.25">
      <c r="A284" s="35" t="s">
        <v>599</v>
      </c>
      <c r="B284" s="36" t="s">
        <v>600</v>
      </c>
      <c r="C284" t="str">
        <f t="shared" si="4"/>
        <v>2436680</v>
      </c>
    </row>
    <row r="285" spans="1:3" x14ac:dyDescent="0.25">
      <c r="A285" s="35" t="s">
        <v>601</v>
      </c>
      <c r="B285" s="36" t="s">
        <v>602</v>
      </c>
      <c r="C285" t="str">
        <f t="shared" si="4"/>
        <v>2436840</v>
      </c>
    </row>
    <row r="286" spans="1:3" x14ac:dyDescent="0.25">
      <c r="A286" s="35" t="s">
        <v>603</v>
      </c>
      <c r="B286" s="36" t="s">
        <v>604</v>
      </c>
      <c r="C286" t="str">
        <f t="shared" si="4"/>
        <v>2438930</v>
      </c>
    </row>
    <row r="287" spans="1:3" x14ac:dyDescent="0.25">
      <c r="A287" s="35" t="s">
        <v>605</v>
      </c>
      <c r="B287" s="36" t="s">
        <v>606</v>
      </c>
      <c r="C287" t="str">
        <f t="shared" si="4"/>
        <v>2439000</v>
      </c>
    </row>
    <row r="288" spans="1:3" x14ac:dyDescent="0.25">
      <c r="A288" s="35" t="s">
        <v>607</v>
      </c>
      <c r="B288" s="36" t="s">
        <v>608</v>
      </c>
      <c r="C288" t="str">
        <f t="shared" si="4"/>
        <v>2451680</v>
      </c>
    </row>
    <row r="289" spans="1:3" x14ac:dyDescent="0.25">
      <c r="A289" s="35" t="s">
        <v>609</v>
      </c>
      <c r="B289" s="36" t="s">
        <v>610</v>
      </c>
      <c r="C289" t="str">
        <f t="shared" si="4"/>
        <v>2455960</v>
      </c>
    </row>
    <row r="290" spans="1:3" x14ac:dyDescent="0.25">
      <c r="A290" s="35" t="s">
        <v>611</v>
      </c>
      <c r="B290" s="36" t="s">
        <v>612</v>
      </c>
      <c r="C290" t="str">
        <f t="shared" si="4"/>
        <v>25522</v>
      </c>
    </row>
    <row r="291" spans="1:3" x14ac:dyDescent="0.25">
      <c r="A291" s="35" t="s">
        <v>613</v>
      </c>
      <c r="B291" s="36" t="s">
        <v>614</v>
      </c>
      <c r="C291" t="str">
        <f t="shared" si="4"/>
        <v>25643</v>
      </c>
    </row>
    <row r="292" spans="1:3" x14ac:dyDescent="0.25">
      <c r="A292" s="35" t="s">
        <v>615</v>
      </c>
      <c r="B292" s="36" t="s">
        <v>616</v>
      </c>
      <c r="C292" t="str">
        <f t="shared" si="4"/>
        <v>25693</v>
      </c>
    </row>
    <row r="293" spans="1:3" x14ac:dyDescent="0.25">
      <c r="A293" s="35" t="s">
        <v>617</v>
      </c>
      <c r="B293" s="36" t="s">
        <v>618</v>
      </c>
      <c r="C293" t="str">
        <f t="shared" si="4"/>
        <v>257760</v>
      </c>
    </row>
    <row r="294" spans="1:3" x14ac:dyDescent="0.25">
      <c r="A294" s="35" t="s">
        <v>619</v>
      </c>
      <c r="B294" s="36" t="s">
        <v>620</v>
      </c>
      <c r="C294" t="str">
        <f t="shared" si="4"/>
        <v>2577760</v>
      </c>
    </row>
    <row r="295" spans="1:3" x14ac:dyDescent="0.25">
      <c r="A295" s="35" t="s">
        <v>621</v>
      </c>
      <c r="B295" s="36" t="s">
        <v>622</v>
      </c>
      <c r="C295" t="str">
        <f t="shared" si="4"/>
        <v>2602560</v>
      </c>
    </row>
    <row r="296" spans="1:3" x14ac:dyDescent="0.25">
      <c r="A296" s="35" t="s">
        <v>623</v>
      </c>
      <c r="B296" s="36" t="s">
        <v>624</v>
      </c>
      <c r="C296" t="str">
        <f t="shared" si="4"/>
        <v>2604600</v>
      </c>
    </row>
    <row r="297" spans="1:3" x14ac:dyDescent="0.25">
      <c r="A297" s="35" t="s">
        <v>625</v>
      </c>
      <c r="B297" s="36" t="s">
        <v>626</v>
      </c>
      <c r="C297" t="str">
        <f t="shared" si="4"/>
        <v>2667860</v>
      </c>
    </row>
    <row r="298" spans="1:3" x14ac:dyDescent="0.25">
      <c r="A298" s="35" t="s">
        <v>627</v>
      </c>
      <c r="B298" s="36" t="s">
        <v>628</v>
      </c>
      <c r="C298" t="str">
        <f t="shared" si="4"/>
        <v>2688160</v>
      </c>
    </row>
    <row r="299" spans="1:3" x14ac:dyDescent="0.25">
      <c r="A299" s="35" t="s">
        <v>629</v>
      </c>
      <c r="B299" s="36" t="s">
        <v>630</v>
      </c>
      <c r="C299" t="str">
        <f t="shared" si="4"/>
        <v>2694180</v>
      </c>
    </row>
    <row r="300" spans="1:3" x14ac:dyDescent="0.25">
      <c r="A300" s="35" t="s">
        <v>631</v>
      </c>
      <c r="B300" s="36" t="s">
        <v>632</v>
      </c>
      <c r="C300" t="str">
        <f t="shared" si="4"/>
        <v>2718810</v>
      </c>
    </row>
    <row r="301" spans="1:3" x14ac:dyDescent="0.25">
      <c r="A301" s="35" t="s">
        <v>633</v>
      </c>
      <c r="B301" s="36" t="s">
        <v>634</v>
      </c>
      <c r="C301" t="str">
        <f t="shared" si="4"/>
        <v>2745360</v>
      </c>
    </row>
    <row r="302" spans="1:3" x14ac:dyDescent="0.25">
      <c r="A302" s="35" t="s">
        <v>635</v>
      </c>
      <c r="B302" s="36" t="s">
        <v>636</v>
      </c>
      <c r="C302" t="str">
        <f t="shared" si="4"/>
        <v>2745370</v>
      </c>
    </row>
    <row r="303" spans="1:3" x14ac:dyDescent="0.25">
      <c r="A303" s="35" t="s">
        <v>637</v>
      </c>
      <c r="B303" s="36" t="s">
        <v>638</v>
      </c>
      <c r="C303" t="str">
        <f t="shared" si="4"/>
        <v>2775500</v>
      </c>
    </row>
    <row r="304" spans="1:3" x14ac:dyDescent="0.25">
      <c r="A304" s="35" t="s">
        <v>639</v>
      </c>
      <c r="B304" s="36" t="s">
        <v>640</v>
      </c>
      <c r="C304" t="str">
        <f t="shared" si="4"/>
        <v>2795650</v>
      </c>
    </row>
    <row r="305" spans="1:3" x14ac:dyDescent="0.25">
      <c r="A305" s="35" t="s">
        <v>641</v>
      </c>
      <c r="B305" s="36" t="s">
        <v>642</v>
      </c>
      <c r="C305" t="str">
        <f t="shared" si="4"/>
        <v>2810890</v>
      </c>
    </row>
    <row r="306" spans="1:3" x14ac:dyDescent="0.25">
      <c r="A306" s="35" t="s">
        <v>643</v>
      </c>
      <c r="B306" s="36" t="s">
        <v>644</v>
      </c>
      <c r="C306" t="str">
        <f t="shared" si="4"/>
        <v>2815000</v>
      </c>
    </row>
    <row r="307" spans="1:3" x14ac:dyDescent="0.25">
      <c r="A307" s="35" t="s">
        <v>645</v>
      </c>
      <c r="B307" s="36" t="s">
        <v>646</v>
      </c>
      <c r="C307" t="str">
        <f t="shared" si="4"/>
        <v>2885710</v>
      </c>
    </row>
    <row r="308" spans="1:3" x14ac:dyDescent="0.25">
      <c r="A308" s="35" t="s">
        <v>647</v>
      </c>
      <c r="B308" s="36" t="s">
        <v>648</v>
      </c>
      <c r="C308" t="str">
        <f t="shared" si="4"/>
        <v>2894070</v>
      </c>
    </row>
    <row r="309" spans="1:3" x14ac:dyDescent="0.25">
      <c r="A309" s="35" t="s">
        <v>649</v>
      </c>
      <c r="B309" s="36" t="s">
        <v>650</v>
      </c>
      <c r="C309" t="str">
        <f t="shared" si="4"/>
        <v>2934000</v>
      </c>
    </row>
    <row r="310" spans="1:3" x14ac:dyDescent="0.25">
      <c r="A310" s="35" t="s">
        <v>651</v>
      </c>
      <c r="B310" s="36" t="s">
        <v>652</v>
      </c>
      <c r="C310" t="str">
        <f t="shared" si="4"/>
        <v>2940460</v>
      </c>
    </row>
    <row r="311" spans="1:3" x14ac:dyDescent="0.25">
      <c r="A311" s="35" t="s">
        <v>653</v>
      </c>
      <c r="B311" s="36" t="s">
        <v>654</v>
      </c>
      <c r="C311" t="str">
        <f t="shared" si="4"/>
        <v>2968470</v>
      </c>
    </row>
    <row r="312" spans="1:3" x14ac:dyDescent="0.25">
      <c r="A312" s="35" t="s">
        <v>655</v>
      </c>
      <c r="B312" s="36" t="s">
        <v>656</v>
      </c>
      <c r="C312" t="str">
        <f t="shared" si="4"/>
        <v>2977569</v>
      </c>
    </row>
    <row r="313" spans="1:3" x14ac:dyDescent="0.25">
      <c r="A313" s="35" t="s">
        <v>657</v>
      </c>
      <c r="B313" s="36" t="s">
        <v>658</v>
      </c>
      <c r="C313" t="str">
        <f t="shared" si="4"/>
        <v>2986380</v>
      </c>
    </row>
    <row r="314" spans="1:3" x14ac:dyDescent="0.25">
      <c r="A314" s="35" t="s">
        <v>659</v>
      </c>
      <c r="B314" s="36" t="s">
        <v>660</v>
      </c>
      <c r="C314" t="str">
        <f t="shared" si="4"/>
        <v>2986640</v>
      </c>
    </row>
    <row r="315" spans="1:3" x14ac:dyDescent="0.25">
      <c r="A315" s="35" t="s">
        <v>661</v>
      </c>
      <c r="B315" s="36" t="s">
        <v>662</v>
      </c>
      <c r="C315" t="str">
        <f t="shared" si="4"/>
        <v>300102</v>
      </c>
    </row>
    <row r="316" spans="1:3" x14ac:dyDescent="0.25">
      <c r="A316" s="35" t="s">
        <v>663</v>
      </c>
      <c r="B316" s="36" t="s">
        <v>664</v>
      </c>
      <c r="C316" t="str">
        <f t="shared" si="4"/>
        <v>300104</v>
      </c>
    </row>
    <row r="317" spans="1:3" x14ac:dyDescent="0.25">
      <c r="A317" s="35" t="s">
        <v>665</v>
      </c>
      <c r="B317" s="36" t="s">
        <v>666</v>
      </c>
      <c r="C317" t="str">
        <f t="shared" si="4"/>
        <v>300105</v>
      </c>
    </row>
    <row r="318" spans="1:3" x14ac:dyDescent="0.25">
      <c r="A318" s="35" t="s">
        <v>667</v>
      </c>
      <c r="B318" s="36" t="s">
        <v>668</v>
      </c>
      <c r="C318" t="str">
        <f t="shared" si="4"/>
        <v>300106</v>
      </c>
    </row>
    <row r="319" spans="1:3" x14ac:dyDescent="0.25">
      <c r="A319" s="35" t="s">
        <v>669</v>
      </c>
      <c r="B319" s="36" t="s">
        <v>670</v>
      </c>
      <c r="C319" t="str">
        <f t="shared" si="4"/>
        <v>300300</v>
      </c>
    </row>
    <row r="320" spans="1:3" x14ac:dyDescent="0.25">
      <c r="A320" s="35" t="s">
        <v>671</v>
      </c>
      <c r="B320" s="36" t="s">
        <v>672</v>
      </c>
      <c r="C320" t="str">
        <f t="shared" si="4"/>
        <v>300911</v>
      </c>
    </row>
    <row r="321" spans="1:3" x14ac:dyDescent="0.25">
      <c r="A321" s="35" t="s">
        <v>673</v>
      </c>
      <c r="B321" s="36" t="s">
        <v>674</v>
      </c>
      <c r="C321" t="str">
        <f t="shared" si="4"/>
        <v>30201</v>
      </c>
    </row>
    <row r="322" spans="1:3" x14ac:dyDescent="0.25">
      <c r="A322" s="35" t="s">
        <v>675</v>
      </c>
      <c r="B322" s="36" t="s">
        <v>676</v>
      </c>
      <c r="C322" t="str">
        <f t="shared" si="4"/>
        <v>3034600</v>
      </c>
    </row>
    <row r="323" spans="1:3" x14ac:dyDescent="0.25">
      <c r="A323" s="35" t="s">
        <v>677</v>
      </c>
      <c r="B323" s="36" t="s">
        <v>678</v>
      </c>
      <c r="C323" t="str">
        <f t="shared" ref="C323:C386" si="5">IF(TRIM(A323)="","",IF(ISNUMBER(VALUE(TRIM(A323))),TEXT(VALUE(TRIM(A323)),"0"),TRIM(A323)))</f>
        <v>3048180</v>
      </c>
    </row>
    <row r="324" spans="1:3" x14ac:dyDescent="0.25">
      <c r="A324" s="35" t="s">
        <v>679</v>
      </c>
      <c r="B324" s="36" t="s">
        <v>680</v>
      </c>
      <c r="C324" t="str">
        <f t="shared" si="5"/>
        <v>3050660</v>
      </c>
    </row>
    <row r="325" spans="1:3" x14ac:dyDescent="0.25">
      <c r="A325" s="35" t="s">
        <v>681</v>
      </c>
      <c r="B325" s="36" t="s">
        <v>682</v>
      </c>
      <c r="C325" t="str">
        <f t="shared" si="5"/>
        <v>3064250</v>
      </c>
    </row>
    <row r="326" spans="1:3" x14ac:dyDescent="0.25">
      <c r="A326" s="35" t="s">
        <v>683</v>
      </c>
      <c r="B326" s="36" t="s">
        <v>55</v>
      </c>
      <c r="C326" t="str">
        <f t="shared" si="5"/>
        <v>3081920</v>
      </c>
    </row>
    <row r="327" spans="1:3" x14ac:dyDescent="0.25">
      <c r="A327" s="35" t="s">
        <v>684</v>
      </c>
      <c r="B327" s="36" t="s">
        <v>303</v>
      </c>
      <c r="C327" t="str">
        <f t="shared" si="5"/>
        <v>3121450</v>
      </c>
    </row>
    <row r="328" spans="1:3" x14ac:dyDescent="0.25">
      <c r="A328" s="35" t="s">
        <v>685</v>
      </c>
      <c r="B328" s="36" t="s">
        <v>686</v>
      </c>
      <c r="C328" t="str">
        <f t="shared" si="5"/>
        <v>3121460</v>
      </c>
    </row>
    <row r="329" spans="1:3" x14ac:dyDescent="0.25">
      <c r="A329" s="35" t="s">
        <v>687</v>
      </c>
      <c r="B329" s="36" t="s">
        <v>688</v>
      </c>
      <c r="C329" t="str">
        <f t="shared" si="5"/>
        <v>3129830</v>
      </c>
    </row>
    <row r="330" spans="1:3" x14ac:dyDescent="0.25">
      <c r="A330" s="35" t="s">
        <v>689</v>
      </c>
      <c r="B330" s="36" t="s">
        <v>690</v>
      </c>
      <c r="C330" t="str">
        <f t="shared" si="5"/>
        <v>3129930</v>
      </c>
    </row>
    <row r="331" spans="1:3" x14ac:dyDescent="0.25">
      <c r="A331" s="35" t="s">
        <v>691</v>
      </c>
      <c r="B331" s="36" t="s">
        <v>692</v>
      </c>
      <c r="C331" t="str">
        <f t="shared" si="5"/>
        <v>3135200</v>
      </c>
    </row>
    <row r="332" spans="1:3" x14ac:dyDescent="0.25">
      <c r="A332" s="35" t="s">
        <v>693</v>
      </c>
      <c r="B332" s="36" t="s">
        <v>694</v>
      </c>
      <c r="C332" t="str">
        <f t="shared" si="5"/>
        <v>3136050</v>
      </c>
    </row>
    <row r="333" spans="1:3" x14ac:dyDescent="0.25">
      <c r="A333" s="35" t="s">
        <v>695</v>
      </c>
      <c r="B333" s="36" t="s">
        <v>696</v>
      </c>
      <c r="C333" t="str">
        <f t="shared" si="5"/>
        <v>3136060</v>
      </c>
    </row>
    <row r="334" spans="1:3" x14ac:dyDescent="0.25">
      <c r="A334" s="35" t="s">
        <v>697</v>
      </c>
      <c r="B334" s="36" t="s">
        <v>698</v>
      </c>
      <c r="C334" t="str">
        <f t="shared" si="5"/>
        <v>3136070</v>
      </c>
    </row>
    <row r="335" spans="1:3" x14ac:dyDescent="0.25">
      <c r="A335" s="35" t="s">
        <v>699</v>
      </c>
      <c r="B335" s="36" t="s">
        <v>700</v>
      </c>
      <c r="C335" t="str">
        <f t="shared" si="5"/>
        <v>3136080</v>
      </c>
    </row>
    <row r="336" spans="1:3" x14ac:dyDescent="0.25">
      <c r="A336" s="35" t="s">
        <v>701</v>
      </c>
      <c r="B336" s="36" t="s">
        <v>702</v>
      </c>
      <c r="C336" t="str">
        <f t="shared" si="5"/>
        <v>3184990</v>
      </c>
    </row>
    <row r="337" spans="1:3" x14ac:dyDescent="0.25">
      <c r="A337" s="35" t="s">
        <v>703</v>
      </c>
      <c r="B337" s="36" t="s">
        <v>704</v>
      </c>
      <c r="C337" t="str">
        <f t="shared" si="5"/>
        <v>3186020</v>
      </c>
    </row>
    <row r="338" spans="1:3" x14ac:dyDescent="0.25">
      <c r="A338" s="35" t="s">
        <v>705</v>
      </c>
      <c r="B338" s="36" t="s">
        <v>706</v>
      </c>
      <c r="C338" t="str">
        <f t="shared" si="5"/>
        <v>3189560</v>
      </c>
    </row>
    <row r="339" spans="1:3" x14ac:dyDescent="0.25">
      <c r="A339" s="35" t="s">
        <v>707</v>
      </c>
      <c r="B339" s="36" t="s">
        <v>708</v>
      </c>
      <c r="C339" t="str">
        <f t="shared" si="5"/>
        <v>3217460</v>
      </c>
    </row>
    <row r="340" spans="1:3" x14ac:dyDescent="0.25">
      <c r="A340" s="35" t="s">
        <v>709</v>
      </c>
      <c r="B340" s="36" t="s">
        <v>710</v>
      </c>
      <c r="C340" t="str">
        <f t="shared" si="5"/>
        <v>3243240</v>
      </c>
    </row>
    <row r="341" spans="1:3" x14ac:dyDescent="0.25">
      <c r="A341" s="35" t="s">
        <v>711</v>
      </c>
      <c r="B341" s="36" t="s">
        <v>712</v>
      </c>
      <c r="C341" t="str">
        <f t="shared" si="5"/>
        <v>3269880</v>
      </c>
    </row>
    <row r="342" spans="1:3" x14ac:dyDescent="0.25">
      <c r="A342" s="35" t="s">
        <v>713</v>
      </c>
      <c r="B342" s="36" t="s">
        <v>714</v>
      </c>
      <c r="C342" t="str">
        <f t="shared" si="5"/>
        <v>3313470</v>
      </c>
    </row>
    <row r="343" spans="1:3" x14ac:dyDescent="0.25">
      <c r="A343" s="35" t="s">
        <v>715</v>
      </c>
      <c r="B343" s="36" t="s">
        <v>716</v>
      </c>
      <c r="C343" t="str">
        <f t="shared" si="5"/>
        <v>3313480</v>
      </c>
    </row>
    <row r="344" spans="1:3" x14ac:dyDescent="0.25">
      <c r="A344" s="35" t="s">
        <v>717</v>
      </c>
      <c r="B344" s="36" t="s">
        <v>718</v>
      </c>
      <c r="C344" t="str">
        <f t="shared" si="5"/>
        <v>333020</v>
      </c>
    </row>
    <row r="345" spans="1:3" x14ac:dyDescent="0.25">
      <c r="A345" s="35" t="s">
        <v>719</v>
      </c>
      <c r="B345" s="36" t="s">
        <v>720</v>
      </c>
      <c r="C345" t="str">
        <f t="shared" si="5"/>
        <v>3335850</v>
      </c>
    </row>
    <row r="346" spans="1:3" x14ac:dyDescent="0.25">
      <c r="A346" s="35" t="s">
        <v>721</v>
      </c>
      <c r="B346" s="36" t="s">
        <v>722</v>
      </c>
      <c r="C346" t="str">
        <f t="shared" si="5"/>
        <v>3336270</v>
      </c>
    </row>
    <row r="347" spans="1:3" x14ac:dyDescent="0.25">
      <c r="A347" s="35" t="s">
        <v>723</v>
      </c>
      <c r="B347" s="36" t="s">
        <v>724</v>
      </c>
      <c r="C347" t="str">
        <f t="shared" si="5"/>
        <v>3364940</v>
      </c>
    </row>
    <row r="348" spans="1:3" x14ac:dyDescent="0.25">
      <c r="A348" s="35" t="s">
        <v>725</v>
      </c>
      <c r="B348" s="36" t="s">
        <v>726</v>
      </c>
      <c r="C348" t="str">
        <f t="shared" si="5"/>
        <v>3388930</v>
      </c>
    </row>
    <row r="349" spans="1:3" x14ac:dyDescent="0.25">
      <c r="A349" s="35" t="s">
        <v>727</v>
      </c>
      <c r="B349" s="36" t="s">
        <v>728</v>
      </c>
      <c r="C349" t="str">
        <f t="shared" si="5"/>
        <v>3392060</v>
      </c>
    </row>
    <row r="350" spans="1:3" x14ac:dyDescent="0.25">
      <c r="A350" s="35" t="s">
        <v>729</v>
      </c>
      <c r="B350" s="36" t="s">
        <v>730</v>
      </c>
      <c r="C350" t="str">
        <f t="shared" si="5"/>
        <v>3393750</v>
      </c>
    </row>
    <row r="351" spans="1:3" x14ac:dyDescent="0.25">
      <c r="A351" s="35" t="s">
        <v>731</v>
      </c>
      <c r="B351" s="36" t="s">
        <v>732</v>
      </c>
      <c r="C351" t="str">
        <f t="shared" si="5"/>
        <v>3395100</v>
      </c>
    </row>
    <row r="352" spans="1:3" x14ac:dyDescent="0.25">
      <c r="A352" s="35" t="s">
        <v>733</v>
      </c>
      <c r="B352" s="36" t="s">
        <v>734</v>
      </c>
      <c r="C352" t="str">
        <f t="shared" si="5"/>
        <v>3417760</v>
      </c>
    </row>
    <row r="353" spans="1:3" x14ac:dyDescent="0.25">
      <c r="A353" s="35" t="s">
        <v>735</v>
      </c>
      <c r="B353" s="36" t="s">
        <v>736</v>
      </c>
      <c r="C353" t="str">
        <f t="shared" si="5"/>
        <v>3779260</v>
      </c>
    </row>
    <row r="354" spans="1:3" x14ac:dyDescent="0.25">
      <c r="A354" s="35" t="s">
        <v>737</v>
      </c>
      <c r="B354" s="36" t="s">
        <v>738</v>
      </c>
      <c r="C354" t="str">
        <f t="shared" si="5"/>
        <v>3812090</v>
      </c>
    </row>
    <row r="355" spans="1:3" x14ac:dyDescent="0.25">
      <c r="A355" s="35" t="s">
        <v>739</v>
      </c>
      <c r="B355" s="36" t="s">
        <v>740</v>
      </c>
      <c r="C355" t="str">
        <f t="shared" si="5"/>
        <v>3823340</v>
      </c>
    </row>
    <row r="356" spans="1:3" x14ac:dyDescent="0.25">
      <c r="A356" s="35" t="s">
        <v>741</v>
      </c>
      <c r="B356" s="36" t="s">
        <v>742</v>
      </c>
      <c r="C356" t="str">
        <f t="shared" si="5"/>
        <v>3848410</v>
      </c>
    </row>
    <row r="357" spans="1:3" x14ac:dyDescent="0.25">
      <c r="A357" s="35" t="s">
        <v>743</v>
      </c>
      <c r="B357" s="36" t="s">
        <v>744</v>
      </c>
      <c r="C357" t="str">
        <f t="shared" si="5"/>
        <v>3848411</v>
      </c>
    </row>
    <row r="358" spans="1:3" x14ac:dyDescent="0.25">
      <c r="A358" s="35" t="s">
        <v>745</v>
      </c>
      <c r="B358" s="36" t="s">
        <v>746</v>
      </c>
      <c r="C358" t="str">
        <f t="shared" si="5"/>
        <v>4154</v>
      </c>
    </row>
    <row r="359" spans="1:3" x14ac:dyDescent="0.25">
      <c r="A359" s="35" t="s">
        <v>747</v>
      </c>
      <c r="B359" s="36" t="s">
        <v>748</v>
      </c>
      <c r="C359" t="str">
        <f t="shared" si="5"/>
        <v>4155</v>
      </c>
    </row>
    <row r="360" spans="1:3" x14ac:dyDescent="0.25">
      <c r="A360" s="35" t="s">
        <v>749</v>
      </c>
      <c r="B360" s="36" t="s">
        <v>750</v>
      </c>
      <c r="C360" t="str">
        <f t="shared" si="5"/>
        <v>448430</v>
      </c>
    </row>
    <row r="361" spans="1:3" x14ac:dyDescent="0.25">
      <c r="A361" s="35" t="s">
        <v>751</v>
      </c>
      <c r="B361" s="36" t="s">
        <v>444</v>
      </c>
      <c r="C361" t="str">
        <f t="shared" si="5"/>
        <v>448440</v>
      </c>
    </row>
    <row r="362" spans="1:3" x14ac:dyDescent="0.25">
      <c r="A362" s="35" t="s">
        <v>752</v>
      </c>
      <c r="B362" s="36" t="s">
        <v>753</v>
      </c>
      <c r="C362" t="str">
        <f t="shared" si="5"/>
        <v>448610</v>
      </c>
    </row>
    <row r="363" spans="1:3" x14ac:dyDescent="0.25">
      <c r="A363" s="35" t="s">
        <v>754</v>
      </c>
      <c r="B363" s="36" t="s">
        <v>755</v>
      </c>
      <c r="C363" t="str">
        <f t="shared" si="5"/>
        <v>4486100</v>
      </c>
    </row>
    <row r="364" spans="1:3" x14ac:dyDescent="0.25">
      <c r="A364" s="35" t="s">
        <v>756</v>
      </c>
      <c r="B364" s="36" t="s">
        <v>757</v>
      </c>
      <c r="C364" t="str">
        <f t="shared" si="5"/>
        <v>448640</v>
      </c>
    </row>
    <row r="365" spans="1:3" x14ac:dyDescent="0.25">
      <c r="A365" s="35" t="s">
        <v>758</v>
      </c>
      <c r="B365" s="36" t="s">
        <v>759</v>
      </c>
      <c r="C365" t="str">
        <f t="shared" si="5"/>
        <v>448650</v>
      </c>
    </row>
    <row r="366" spans="1:3" x14ac:dyDescent="0.25">
      <c r="A366" s="35" t="s">
        <v>760</v>
      </c>
      <c r="B366" s="36" t="s">
        <v>761</v>
      </c>
      <c r="C366" t="str">
        <f t="shared" si="5"/>
        <v>448660</v>
      </c>
    </row>
    <row r="367" spans="1:3" x14ac:dyDescent="0.25">
      <c r="A367" s="35" t="s">
        <v>762</v>
      </c>
      <c r="B367" s="36" t="s">
        <v>763</v>
      </c>
      <c r="C367" t="str">
        <f t="shared" si="5"/>
        <v>448680</v>
      </c>
    </row>
    <row r="368" spans="1:3" x14ac:dyDescent="0.25">
      <c r="A368" s="35" t="s">
        <v>764</v>
      </c>
      <c r="B368" s="36" t="s">
        <v>765</v>
      </c>
      <c r="C368" t="str">
        <f t="shared" si="5"/>
        <v>448780</v>
      </c>
    </row>
    <row r="369" spans="1:3" x14ac:dyDescent="0.25">
      <c r="A369" s="35" t="s">
        <v>766</v>
      </c>
      <c r="B369" s="36" t="s">
        <v>767</v>
      </c>
      <c r="C369" t="str">
        <f t="shared" si="5"/>
        <v>448790</v>
      </c>
    </row>
    <row r="370" spans="1:3" x14ac:dyDescent="0.25">
      <c r="A370" s="35" t="s">
        <v>768</v>
      </c>
      <c r="B370" s="36" t="s">
        <v>769</v>
      </c>
      <c r="C370" t="str">
        <f t="shared" si="5"/>
        <v>448830</v>
      </c>
    </row>
    <row r="371" spans="1:3" x14ac:dyDescent="0.25">
      <c r="A371" s="35" t="s">
        <v>770</v>
      </c>
      <c r="B371" s="36" t="s">
        <v>771</v>
      </c>
      <c r="C371" t="str">
        <f t="shared" si="5"/>
        <v>448950</v>
      </c>
    </row>
    <row r="372" spans="1:3" x14ac:dyDescent="0.25">
      <c r="A372" s="35" t="s">
        <v>772</v>
      </c>
      <c r="B372" s="36" t="s">
        <v>773</v>
      </c>
      <c r="C372" t="str">
        <f t="shared" si="5"/>
        <v>448950</v>
      </c>
    </row>
    <row r="373" spans="1:3" x14ac:dyDescent="0.25">
      <c r="A373" s="35" t="s">
        <v>774</v>
      </c>
      <c r="B373" s="36" t="s">
        <v>775</v>
      </c>
      <c r="C373" t="str">
        <f t="shared" si="5"/>
        <v>449080</v>
      </c>
    </row>
    <row r="374" spans="1:3" x14ac:dyDescent="0.25">
      <c r="A374" s="35" t="s">
        <v>776</v>
      </c>
      <c r="B374" s="36" t="s">
        <v>777</v>
      </c>
      <c r="C374" t="str">
        <f t="shared" si="5"/>
        <v>449370</v>
      </c>
    </row>
    <row r="375" spans="1:3" x14ac:dyDescent="0.25">
      <c r="A375" s="35" t="s">
        <v>778</v>
      </c>
      <c r="B375" s="36" t="s">
        <v>779</v>
      </c>
      <c r="C375" t="str">
        <f t="shared" si="5"/>
        <v>449450</v>
      </c>
    </row>
    <row r="376" spans="1:3" x14ac:dyDescent="0.25">
      <c r="A376" s="35" t="s">
        <v>780</v>
      </c>
      <c r="B376" s="36" t="s">
        <v>781</v>
      </c>
      <c r="C376" t="str">
        <f t="shared" si="5"/>
        <v>449950</v>
      </c>
    </row>
    <row r="377" spans="1:3" x14ac:dyDescent="0.25">
      <c r="A377" s="35" t="s">
        <v>782</v>
      </c>
      <c r="B377" s="36" t="s">
        <v>783</v>
      </c>
      <c r="C377" t="str">
        <f t="shared" si="5"/>
        <v>452800</v>
      </c>
    </row>
    <row r="378" spans="1:3" x14ac:dyDescent="0.25">
      <c r="A378" s="35" t="s">
        <v>784</v>
      </c>
      <c r="B378" s="36" t="s">
        <v>785</v>
      </c>
      <c r="C378" t="str">
        <f t="shared" si="5"/>
        <v>452830</v>
      </c>
    </row>
    <row r="379" spans="1:3" x14ac:dyDescent="0.25">
      <c r="A379" s="35" t="s">
        <v>786</v>
      </c>
      <c r="B379" s="36" t="s">
        <v>787</v>
      </c>
      <c r="C379" t="str">
        <f t="shared" si="5"/>
        <v>452850</v>
      </c>
    </row>
    <row r="380" spans="1:3" x14ac:dyDescent="0.25">
      <c r="A380" s="35" t="s">
        <v>788</v>
      </c>
      <c r="B380" s="36" t="s">
        <v>789</v>
      </c>
      <c r="C380" t="str">
        <f t="shared" si="5"/>
        <v>453340</v>
      </c>
    </row>
    <row r="381" spans="1:3" x14ac:dyDescent="0.25">
      <c r="A381" s="35" t="s">
        <v>790</v>
      </c>
      <c r="B381" s="36" t="s">
        <v>529</v>
      </c>
      <c r="C381" t="str">
        <f t="shared" si="5"/>
        <v>453360</v>
      </c>
    </row>
    <row r="382" spans="1:3" x14ac:dyDescent="0.25">
      <c r="A382" s="35" t="s">
        <v>791</v>
      </c>
      <c r="B382" s="36" t="s">
        <v>792</v>
      </c>
      <c r="C382" t="str">
        <f t="shared" si="5"/>
        <v>453380</v>
      </c>
    </row>
    <row r="383" spans="1:3" x14ac:dyDescent="0.25">
      <c r="A383" s="35" t="s">
        <v>793</v>
      </c>
      <c r="B383" s="36" t="s">
        <v>794</v>
      </c>
      <c r="C383" t="str">
        <f t="shared" si="5"/>
        <v>453420</v>
      </c>
    </row>
    <row r="384" spans="1:3" x14ac:dyDescent="0.25">
      <c r="A384" s="35" t="s">
        <v>795</v>
      </c>
      <c r="B384" s="36" t="s">
        <v>67</v>
      </c>
      <c r="C384" t="str">
        <f t="shared" si="5"/>
        <v>453450</v>
      </c>
    </row>
    <row r="385" spans="1:3" x14ac:dyDescent="0.25">
      <c r="A385" s="35" t="s">
        <v>796</v>
      </c>
      <c r="B385" s="36" t="s">
        <v>797</v>
      </c>
      <c r="C385" t="str">
        <f t="shared" si="5"/>
        <v>453460</v>
      </c>
    </row>
    <row r="386" spans="1:3" x14ac:dyDescent="0.25">
      <c r="A386" s="35" t="s">
        <v>798</v>
      </c>
      <c r="B386" s="36" t="s">
        <v>799</v>
      </c>
      <c r="C386" t="str">
        <f t="shared" si="5"/>
        <v>453480</v>
      </c>
    </row>
    <row r="387" spans="1:3" x14ac:dyDescent="0.25">
      <c r="A387" s="35" t="s">
        <v>800</v>
      </c>
      <c r="B387" s="36" t="s">
        <v>801</v>
      </c>
      <c r="C387" t="str">
        <f t="shared" ref="C387:C450" si="6">IF(TRIM(A387)="","",IF(ISNUMBER(VALUE(TRIM(A387))),TEXT(VALUE(TRIM(A387)),"0"),TRIM(A387)))</f>
        <v>453500</v>
      </c>
    </row>
    <row r="388" spans="1:3" x14ac:dyDescent="0.25">
      <c r="A388" s="35" t="s">
        <v>802</v>
      </c>
      <c r="B388" s="36" t="s">
        <v>803</v>
      </c>
      <c r="C388" t="str">
        <f t="shared" si="6"/>
        <v>453530</v>
      </c>
    </row>
    <row r="389" spans="1:3" x14ac:dyDescent="0.25">
      <c r="A389" s="35" t="s">
        <v>804</v>
      </c>
      <c r="B389" s="36" t="s">
        <v>805</v>
      </c>
      <c r="C389" t="str">
        <f t="shared" si="6"/>
        <v>453580</v>
      </c>
    </row>
    <row r="390" spans="1:3" x14ac:dyDescent="0.25">
      <c r="A390" s="35" t="s">
        <v>806</v>
      </c>
      <c r="B390" s="36" t="s">
        <v>644</v>
      </c>
      <c r="C390" t="str">
        <f t="shared" si="6"/>
        <v>453590</v>
      </c>
    </row>
    <row r="391" spans="1:3" x14ac:dyDescent="0.25">
      <c r="A391" s="35" t="s">
        <v>807</v>
      </c>
      <c r="B391" s="36" t="s">
        <v>808</v>
      </c>
      <c r="C391" t="str">
        <f t="shared" si="6"/>
        <v>453610</v>
      </c>
    </row>
    <row r="392" spans="1:3" x14ac:dyDescent="0.25">
      <c r="A392" s="35" t="s">
        <v>809</v>
      </c>
      <c r="B392" s="36" t="s">
        <v>810</v>
      </c>
      <c r="C392" t="str">
        <f t="shared" si="6"/>
        <v>453640</v>
      </c>
    </row>
    <row r="393" spans="1:3" x14ac:dyDescent="0.25">
      <c r="A393" s="35" t="s">
        <v>811</v>
      </c>
      <c r="B393" s="36" t="s">
        <v>812</v>
      </c>
      <c r="C393" t="str">
        <f t="shared" si="6"/>
        <v>453700</v>
      </c>
    </row>
    <row r="394" spans="1:3" x14ac:dyDescent="0.25">
      <c r="A394" s="35" t="s">
        <v>813</v>
      </c>
      <c r="B394" s="36" t="s">
        <v>814</v>
      </c>
      <c r="C394" t="str">
        <f t="shared" si="6"/>
        <v>453790</v>
      </c>
    </row>
    <row r="395" spans="1:3" x14ac:dyDescent="0.25">
      <c r="A395" s="35" t="s">
        <v>815</v>
      </c>
      <c r="B395" s="36" t="s">
        <v>816</v>
      </c>
      <c r="C395" t="str">
        <f t="shared" si="6"/>
        <v>454050</v>
      </c>
    </row>
    <row r="396" spans="1:3" x14ac:dyDescent="0.25">
      <c r="A396" s="35" t="s">
        <v>817</v>
      </c>
      <c r="B396" s="36" t="s">
        <v>818</v>
      </c>
      <c r="C396" t="str">
        <f t="shared" si="6"/>
        <v>454080</v>
      </c>
    </row>
    <row r="397" spans="1:3" x14ac:dyDescent="0.25">
      <c r="A397" s="35" t="s">
        <v>819</v>
      </c>
      <c r="B397" s="36" t="s">
        <v>63</v>
      </c>
      <c r="C397" t="str">
        <f t="shared" si="6"/>
        <v>454150</v>
      </c>
    </row>
    <row r="398" spans="1:3" x14ac:dyDescent="0.25">
      <c r="A398" s="35" t="s">
        <v>820</v>
      </c>
      <c r="B398" s="36" t="s">
        <v>101</v>
      </c>
      <c r="C398" t="str">
        <f t="shared" si="6"/>
        <v>454160</v>
      </c>
    </row>
    <row r="399" spans="1:3" x14ac:dyDescent="0.25">
      <c r="A399" s="35" t="s">
        <v>821</v>
      </c>
      <c r="B399" s="36" t="s">
        <v>803</v>
      </c>
      <c r="C399" t="str">
        <f t="shared" si="6"/>
        <v>454200</v>
      </c>
    </row>
    <row r="400" spans="1:3" x14ac:dyDescent="0.25">
      <c r="A400" s="35" t="s">
        <v>822</v>
      </c>
      <c r="B400" s="36" t="s">
        <v>823</v>
      </c>
      <c r="C400" t="str">
        <f t="shared" si="6"/>
        <v>454260</v>
      </c>
    </row>
    <row r="401" spans="1:3" x14ac:dyDescent="0.25">
      <c r="A401" s="35" t="s">
        <v>824</v>
      </c>
      <c r="B401" s="36" t="s">
        <v>825</v>
      </c>
      <c r="C401" t="str">
        <f t="shared" si="6"/>
        <v>454261</v>
      </c>
    </row>
    <row r="402" spans="1:3" x14ac:dyDescent="0.25">
      <c r="A402" s="35" t="s">
        <v>826</v>
      </c>
      <c r="B402" s="36" t="s">
        <v>827</v>
      </c>
      <c r="C402" t="str">
        <f t="shared" si="6"/>
        <v>454500</v>
      </c>
    </row>
    <row r="403" spans="1:3" x14ac:dyDescent="0.25">
      <c r="A403" s="35" t="s">
        <v>828</v>
      </c>
      <c r="B403" s="36" t="s">
        <v>829</v>
      </c>
      <c r="C403" t="str">
        <f t="shared" si="6"/>
        <v>454520</v>
      </c>
    </row>
    <row r="404" spans="1:3" x14ac:dyDescent="0.25">
      <c r="A404" s="35" t="s">
        <v>830</v>
      </c>
      <c r="B404" s="36" t="s">
        <v>831</v>
      </c>
      <c r="C404" t="str">
        <f t="shared" si="6"/>
        <v>454530</v>
      </c>
    </row>
    <row r="405" spans="1:3" x14ac:dyDescent="0.25">
      <c r="A405" s="35" t="s">
        <v>832</v>
      </c>
      <c r="B405" s="36" t="s">
        <v>833</v>
      </c>
      <c r="C405" t="str">
        <f t="shared" si="6"/>
        <v>45458</v>
      </c>
    </row>
    <row r="406" spans="1:3" x14ac:dyDescent="0.25">
      <c r="A406" s="35" t="s">
        <v>834</v>
      </c>
      <c r="B406" s="36" t="s">
        <v>79</v>
      </c>
      <c r="C406" t="str">
        <f t="shared" si="6"/>
        <v>454590</v>
      </c>
    </row>
    <row r="407" spans="1:3" x14ac:dyDescent="0.25">
      <c r="A407" s="35" t="s">
        <v>835</v>
      </c>
      <c r="B407" s="36" t="s">
        <v>836</v>
      </c>
      <c r="C407" t="str">
        <f t="shared" si="6"/>
        <v>454600</v>
      </c>
    </row>
    <row r="408" spans="1:3" x14ac:dyDescent="0.25">
      <c r="A408" s="35" t="s">
        <v>837</v>
      </c>
      <c r="B408" s="36" t="s">
        <v>838</v>
      </c>
      <c r="C408" t="str">
        <f t="shared" si="6"/>
        <v>454840</v>
      </c>
    </row>
    <row r="409" spans="1:3" x14ac:dyDescent="0.25">
      <c r="A409" s="35" t="s">
        <v>839</v>
      </c>
      <c r="B409" s="36" t="s">
        <v>840</v>
      </c>
      <c r="C409" t="str">
        <f t="shared" si="6"/>
        <v>455530</v>
      </c>
    </row>
    <row r="410" spans="1:3" x14ac:dyDescent="0.25">
      <c r="A410" s="35" t="s">
        <v>841</v>
      </c>
      <c r="B410" s="36" t="s">
        <v>842</v>
      </c>
      <c r="C410" t="str">
        <f t="shared" si="6"/>
        <v>50014</v>
      </c>
    </row>
    <row r="411" spans="1:3" x14ac:dyDescent="0.25">
      <c r="A411" s="35" t="s">
        <v>843</v>
      </c>
      <c r="B411" s="36" t="s">
        <v>844</v>
      </c>
      <c r="C411" t="str">
        <f t="shared" si="6"/>
        <v>50203</v>
      </c>
    </row>
    <row r="412" spans="1:3" x14ac:dyDescent="0.25">
      <c r="A412" s="35" t="s">
        <v>845</v>
      </c>
      <c r="B412" s="36" t="s">
        <v>846</v>
      </c>
      <c r="C412" t="str">
        <f t="shared" si="6"/>
        <v>50601</v>
      </c>
    </row>
    <row r="413" spans="1:3" x14ac:dyDescent="0.25">
      <c r="A413" s="35" t="s">
        <v>847</v>
      </c>
      <c r="B413" s="36" t="s">
        <v>848</v>
      </c>
      <c r="C413" t="str">
        <f t="shared" si="6"/>
        <v>51488</v>
      </c>
    </row>
    <row r="414" spans="1:3" x14ac:dyDescent="0.25">
      <c r="A414" s="35" t="s">
        <v>849</v>
      </c>
      <c r="B414" s="36" t="s">
        <v>850</v>
      </c>
      <c r="C414" t="str">
        <f t="shared" si="6"/>
        <v>51542</v>
      </c>
    </row>
    <row r="415" spans="1:3" x14ac:dyDescent="0.25">
      <c r="A415" s="35" t="s">
        <v>851</v>
      </c>
      <c r="B415" s="36" t="s">
        <v>852</v>
      </c>
      <c r="C415" t="str">
        <f t="shared" si="6"/>
        <v>518093</v>
      </c>
    </row>
    <row r="416" spans="1:3" x14ac:dyDescent="0.25">
      <c r="A416" s="35" t="s">
        <v>853</v>
      </c>
      <c r="B416" s="36" t="s">
        <v>854</v>
      </c>
      <c r="C416" t="str">
        <f t="shared" si="6"/>
        <v>5269</v>
      </c>
    </row>
    <row r="417" spans="1:3" x14ac:dyDescent="0.25">
      <c r="A417" s="35" t="s">
        <v>855</v>
      </c>
      <c r="B417" s="36" t="s">
        <v>856</v>
      </c>
      <c r="C417" t="str">
        <f t="shared" si="6"/>
        <v>54165</v>
      </c>
    </row>
    <row r="418" spans="1:3" x14ac:dyDescent="0.25">
      <c r="A418" s="35" t="s">
        <v>857</v>
      </c>
      <c r="B418" s="36" t="s">
        <v>858</v>
      </c>
      <c r="C418" t="str">
        <f t="shared" si="6"/>
        <v>54684</v>
      </c>
    </row>
    <row r="419" spans="1:3" x14ac:dyDescent="0.25">
      <c r="A419" s="35" t="s">
        <v>859</v>
      </c>
      <c r="B419" s="36" t="s">
        <v>860</v>
      </c>
      <c r="C419" t="str">
        <f t="shared" si="6"/>
        <v>54989</v>
      </c>
    </row>
    <row r="420" spans="1:3" x14ac:dyDescent="0.25">
      <c r="A420" s="35" t="s">
        <v>861</v>
      </c>
      <c r="B420" s="36" t="s">
        <v>862</v>
      </c>
      <c r="C420" t="str">
        <f t="shared" si="6"/>
        <v>5545</v>
      </c>
    </row>
    <row r="421" spans="1:3" x14ac:dyDescent="0.25">
      <c r="A421" s="35" t="s">
        <v>863</v>
      </c>
      <c r="B421" s="36" t="s">
        <v>864</v>
      </c>
      <c r="C421" t="str">
        <f t="shared" si="6"/>
        <v>56212</v>
      </c>
    </row>
    <row r="422" spans="1:3" x14ac:dyDescent="0.25">
      <c r="A422" s="35" t="s">
        <v>865</v>
      </c>
      <c r="B422" s="36" t="s">
        <v>866</v>
      </c>
      <c r="C422" t="str">
        <f t="shared" si="6"/>
        <v>5654</v>
      </c>
    </row>
    <row r="423" spans="1:3" x14ac:dyDescent="0.25">
      <c r="A423" s="35" t="s">
        <v>867</v>
      </c>
      <c r="B423" s="36" t="s">
        <v>69</v>
      </c>
      <c r="C423" t="str">
        <f t="shared" si="6"/>
        <v>5656</v>
      </c>
    </row>
    <row r="424" spans="1:3" x14ac:dyDescent="0.25">
      <c r="A424" s="35" t="s">
        <v>868</v>
      </c>
      <c r="B424" s="36" t="s">
        <v>869</v>
      </c>
      <c r="C424" t="str">
        <f t="shared" si="6"/>
        <v>576245</v>
      </c>
    </row>
    <row r="425" spans="1:3" x14ac:dyDescent="0.25">
      <c r="A425" s="35" t="s">
        <v>870</v>
      </c>
      <c r="B425" s="36" t="s">
        <v>871</v>
      </c>
      <c r="C425" t="str">
        <f t="shared" si="6"/>
        <v>578471</v>
      </c>
    </row>
    <row r="426" spans="1:3" x14ac:dyDescent="0.25">
      <c r="A426" s="35" t="s">
        <v>872</v>
      </c>
      <c r="B426" s="36" t="s">
        <v>873</v>
      </c>
      <c r="C426" t="str">
        <f t="shared" si="6"/>
        <v>60702</v>
      </c>
    </row>
    <row r="427" spans="1:3" x14ac:dyDescent="0.25">
      <c r="A427" s="35" t="s">
        <v>874</v>
      </c>
      <c r="B427" s="36" t="s">
        <v>875</v>
      </c>
      <c r="C427" t="str">
        <f t="shared" si="6"/>
        <v>6398</v>
      </c>
    </row>
    <row r="428" spans="1:3" x14ac:dyDescent="0.25">
      <c r="A428" s="35" t="s">
        <v>876</v>
      </c>
      <c r="B428" s="36" t="s">
        <v>877</v>
      </c>
      <c r="C428" t="str">
        <f t="shared" si="6"/>
        <v>645615</v>
      </c>
    </row>
    <row r="429" spans="1:3" x14ac:dyDescent="0.25">
      <c r="A429" s="35" t="s">
        <v>878</v>
      </c>
      <c r="B429" s="36" t="s">
        <v>879</v>
      </c>
      <c r="C429" t="str">
        <f t="shared" si="6"/>
        <v>654558</v>
      </c>
    </row>
    <row r="430" spans="1:3" x14ac:dyDescent="0.25">
      <c r="A430" s="35" t="s">
        <v>880</v>
      </c>
      <c r="B430" s="36" t="s">
        <v>881</v>
      </c>
      <c r="C430" t="str">
        <f t="shared" si="6"/>
        <v>6958</v>
      </c>
    </row>
    <row r="431" spans="1:3" x14ac:dyDescent="0.25">
      <c r="A431" s="35" t="s">
        <v>882</v>
      </c>
      <c r="B431" s="36" t="s">
        <v>883</v>
      </c>
      <c r="C431" t="str">
        <f t="shared" si="6"/>
        <v>720830</v>
      </c>
    </row>
    <row r="432" spans="1:3" x14ac:dyDescent="0.25">
      <c r="A432" s="35" t="s">
        <v>884</v>
      </c>
      <c r="B432" s="36" t="s">
        <v>885</v>
      </c>
      <c r="C432" t="str">
        <f t="shared" si="6"/>
        <v>721480</v>
      </c>
    </row>
    <row r="433" spans="1:3" x14ac:dyDescent="0.25">
      <c r="A433" s="35" t="s">
        <v>886</v>
      </c>
      <c r="B433" s="36" t="s">
        <v>887</v>
      </c>
      <c r="C433" t="str">
        <f t="shared" si="6"/>
        <v>772690</v>
      </c>
    </row>
    <row r="434" spans="1:3" x14ac:dyDescent="0.25">
      <c r="A434" s="35" t="s">
        <v>888</v>
      </c>
      <c r="B434" s="36" t="s">
        <v>889</v>
      </c>
      <c r="C434" t="str">
        <f t="shared" si="6"/>
        <v>77828</v>
      </c>
    </row>
    <row r="435" spans="1:3" x14ac:dyDescent="0.25">
      <c r="A435" s="35" t="s">
        <v>890</v>
      </c>
      <c r="B435" s="36" t="s">
        <v>891</v>
      </c>
      <c r="C435" t="str">
        <f t="shared" si="6"/>
        <v>77841</v>
      </c>
    </row>
    <row r="436" spans="1:3" x14ac:dyDescent="0.25">
      <c r="A436" s="35" t="s">
        <v>892</v>
      </c>
      <c r="B436" s="36" t="s">
        <v>893</v>
      </c>
      <c r="C436" t="str">
        <f t="shared" si="6"/>
        <v>77852</v>
      </c>
    </row>
    <row r="437" spans="1:3" x14ac:dyDescent="0.25">
      <c r="A437" s="35" t="s">
        <v>894</v>
      </c>
      <c r="B437" s="36" t="s">
        <v>895</v>
      </c>
      <c r="C437" t="str">
        <f t="shared" si="6"/>
        <v>77863</v>
      </c>
    </row>
    <row r="438" spans="1:3" x14ac:dyDescent="0.25">
      <c r="A438" s="35" t="s">
        <v>896</v>
      </c>
      <c r="B438" s="36" t="s">
        <v>897</v>
      </c>
      <c r="C438" t="str">
        <f t="shared" si="6"/>
        <v>77867</v>
      </c>
    </row>
    <row r="439" spans="1:3" x14ac:dyDescent="0.25">
      <c r="A439" s="35" t="s">
        <v>898</v>
      </c>
      <c r="B439" s="36" t="s">
        <v>899</v>
      </c>
      <c r="C439" t="str">
        <f t="shared" si="6"/>
        <v>77868</v>
      </c>
    </row>
    <row r="440" spans="1:3" x14ac:dyDescent="0.25">
      <c r="A440" s="35" t="s">
        <v>900</v>
      </c>
      <c r="B440" s="36" t="s">
        <v>901</v>
      </c>
      <c r="C440" t="str">
        <f t="shared" si="6"/>
        <v>77930</v>
      </c>
    </row>
    <row r="441" spans="1:3" x14ac:dyDescent="0.25">
      <c r="A441" s="35" t="s">
        <v>902</v>
      </c>
      <c r="B441" s="36" t="s">
        <v>903</v>
      </c>
      <c r="C441" t="str">
        <f t="shared" si="6"/>
        <v>77990</v>
      </c>
    </row>
    <row r="442" spans="1:3" x14ac:dyDescent="0.25">
      <c r="A442" s="35" t="s">
        <v>904</v>
      </c>
      <c r="B442" s="36" t="s">
        <v>905</v>
      </c>
      <c r="C442" t="str">
        <f t="shared" si="6"/>
        <v>78066</v>
      </c>
    </row>
    <row r="443" spans="1:3" x14ac:dyDescent="0.25">
      <c r="A443" s="35" t="s">
        <v>906</v>
      </c>
      <c r="B443" s="36" t="s">
        <v>907</v>
      </c>
      <c r="C443" t="str">
        <f t="shared" si="6"/>
        <v>78081</v>
      </c>
    </row>
    <row r="444" spans="1:3" x14ac:dyDescent="0.25">
      <c r="A444" s="35" t="s">
        <v>908</v>
      </c>
      <c r="B444" s="36" t="s">
        <v>909</v>
      </c>
      <c r="C444" t="str">
        <f t="shared" si="6"/>
        <v>78085</v>
      </c>
    </row>
    <row r="445" spans="1:3" x14ac:dyDescent="0.25">
      <c r="A445" s="35" t="s">
        <v>910</v>
      </c>
      <c r="B445" s="36" t="s">
        <v>911</v>
      </c>
      <c r="C445" t="str">
        <f t="shared" si="6"/>
        <v>78102</v>
      </c>
    </row>
    <row r="446" spans="1:3" x14ac:dyDescent="0.25">
      <c r="A446" s="35" t="s">
        <v>912</v>
      </c>
      <c r="B446" s="36" t="s">
        <v>913</v>
      </c>
      <c r="C446" t="str">
        <f t="shared" si="6"/>
        <v>78144</v>
      </c>
    </row>
    <row r="447" spans="1:3" x14ac:dyDescent="0.25">
      <c r="A447" s="35" t="s">
        <v>914</v>
      </c>
      <c r="B447" s="36" t="s">
        <v>915</v>
      </c>
      <c r="C447" t="str">
        <f t="shared" si="6"/>
        <v>78147</v>
      </c>
    </row>
    <row r="448" spans="1:3" x14ac:dyDescent="0.25">
      <c r="A448" s="35" t="s">
        <v>916</v>
      </c>
      <c r="B448" s="36" t="s">
        <v>917</v>
      </c>
      <c r="C448" t="str">
        <f t="shared" si="6"/>
        <v>78149</v>
      </c>
    </row>
    <row r="449" spans="1:3" x14ac:dyDescent="0.25">
      <c r="A449" s="35" t="s">
        <v>918</v>
      </c>
      <c r="B449" s="36" t="s">
        <v>919</v>
      </c>
      <c r="C449" t="str">
        <f t="shared" si="6"/>
        <v>78198</v>
      </c>
    </row>
    <row r="450" spans="1:3" x14ac:dyDescent="0.25">
      <c r="A450" s="35" t="s">
        <v>920</v>
      </c>
      <c r="B450" s="36" t="s">
        <v>921</v>
      </c>
      <c r="C450" t="str">
        <f t="shared" si="6"/>
        <v>78249</v>
      </c>
    </row>
    <row r="451" spans="1:3" x14ac:dyDescent="0.25">
      <c r="A451" s="35" t="s">
        <v>922</v>
      </c>
      <c r="B451" s="36" t="s">
        <v>923</v>
      </c>
      <c r="C451" t="str">
        <f t="shared" ref="C451:C514" si="7">IF(TRIM(A451)="","",IF(ISNUMBER(VALUE(TRIM(A451))),TEXT(VALUE(TRIM(A451)),"0"),TRIM(A451)))</f>
        <v>78253</v>
      </c>
    </row>
    <row r="452" spans="1:3" x14ac:dyDescent="0.25">
      <c r="A452" s="35" t="s">
        <v>924</v>
      </c>
      <c r="B452" s="36" t="s">
        <v>925</v>
      </c>
      <c r="C452" t="str">
        <f t="shared" si="7"/>
        <v>78272</v>
      </c>
    </row>
    <row r="453" spans="1:3" x14ac:dyDescent="0.25">
      <c r="A453" s="35" t="s">
        <v>926</v>
      </c>
      <c r="B453" s="36" t="s">
        <v>927</v>
      </c>
      <c r="C453" t="str">
        <f t="shared" si="7"/>
        <v>78427</v>
      </c>
    </row>
    <row r="454" spans="1:3" x14ac:dyDescent="0.25">
      <c r="A454" s="35" t="s">
        <v>928</v>
      </c>
      <c r="B454" s="36" t="s">
        <v>929</v>
      </c>
      <c r="C454" t="str">
        <f t="shared" si="7"/>
        <v>78432</v>
      </c>
    </row>
    <row r="455" spans="1:3" x14ac:dyDescent="0.25">
      <c r="A455" s="35" t="s">
        <v>930</v>
      </c>
      <c r="B455" s="36" t="s">
        <v>931</v>
      </c>
      <c r="C455" t="str">
        <f t="shared" si="7"/>
        <v>78444</v>
      </c>
    </row>
    <row r="456" spans="1:3" x14ac:dyDescent="0.25">
      <c r="A456" s="35" t="s">
        <v>932</v>
      </c>
      <c r="B456" s="36" t="s">
        <v>933</v>
      </c>
      <c r="C456" t="str">
        <f t="shared" si="7"/>
        <v>78447</v>
      </c>
    </row>
    <row r="457" spans="1:3" x14ac:dyDescent="0.25">
      <c r="A457" s="35" t="s">
        <v>934</v>
      </c>
      <c r="B457" s="36" t="s">
        <v>142</v>
      </c>
      <c r="C457" t="str">
        <f t="shared" si="7"/>
        <v>78477</v>
      </c>
    </row>
    <row r="458" spans="1:3" x14ac:dyDescent="0.25">
      <c r="A458" s="35" t="s">
        <v>935</v>
      </c>
      <c r="B458" s="36" t="s">
        <v>936</v>
      </c>
      <c r="C458" t="str">
        <f t="shared" si="7"/>
        <v>78493</v>
      </c>
    </row>
    <row r="459" spans="1:3" x14ac:dyDescent="0.25">
      <c r="A459" s="35" t="s">
        <v>937</v>
      </c>
      <c r="B459" s="36" t="s">
        <v>938</v>
      </c>
      <c r="C459" t="str">
        <f t="shared" si="7"/>
        <v>78506</v>
      </c>
    </row>
    <row r="460" spans="1:3" x14ac:dyDescent="0.25">
      <c r="A460" s="35" t="s">
        <v>939</v>
      </c>
      <c r="B460" s="36" t="s">
        <v>940</v>
      </c>
      <c r="C460" t="str">
        <f t="shared" si="7"/>
        <v>78541</v>
      </c>
    </row>
    <row r="461" spans="1:3" x14ac:dyDescent="0.25">
      <c r="A461" s="35" t="s">
        <v>941</v>
      </c>
      <c r="B461" s="36" t="s">
        <v>942</v>
      </c>
      <c r="C461" t="str">
        <f t="shared" si="7"/>
        <v>78629</v>
      </c>
    </row>
    <row r="462" spans="1:3" x14ac:dyDescent="0.25">
      <c r="A462" s="35" t="s">
        <v>943</v>
      </c>
      <c r="B462" s="36" t="s">
        <v>944</v>
      </c>
      <c r="C462" t="str">
        <f t="shared" si="7"/>
        <v>78665</v>
      </c>
    </row>
    <row r="463" spans="1:3" x14ac:dyDescent="0.25">
      <c r="A463" s="35" t="s">
        <v>945</v>
      </c>
      <c r="B463" s="36" t="s">
        <v>946</v>
      </c>
      <c r="C463" t="str">
        <f t="shared" si="7"/>
        <v>78680</v>
      </c>
    </row>
    <row r="464" spans="1:3" x14ac:dyDescent="0.25">
      <c r="A464" s="35" t="s">
        <v>947</v>
      </c>
      <c r="B464" s="36" t="s">
        <v>948</v>
      </c>
      <c r="C464" t="str">
        <f t="shared" si="7"/>
        <v>78683</v>
      </c>
    </row>
    <row r="465" spans="1:3" x14ac:dyDescent="0.25">
      <c r="A465" s="35" t="s">
        <v>949</v>
      </c>
      <c r="B465" s="36" t="s">
        <v>950</v>
      </c>
      <c r="C465" t="str">
        <f t="shared" si="7"/>
        <v>78699</v>
      </c>
    </row>
    <row r="466" spans="1:3" x14ac:dyDescent="0.25">
      <c r="A466" s="35" t="s">
        <v>951</v>
      </c>
      <c r="B466" s="36" t="s">
        <v>952</v>
      </c>
      <c r="C466" t="str">
        <f t="shared" si="7"/>
        <v>78715</v>
      </c>
    </row>
    <row r="467" spans="1:3" x14ac:dyDescent="0.25">
      <c r="A467" s="35" t="s">
        <v>953</v>
      </c>
      <c r="B467" s="36" t="s">
        <v>954</v>
      </c>
      <c r="C467" t="str">
        <f t="shared" si="7"/>
        <v>78727</v>
      </c>
    </row>
    <row r="468" spans="1:3" x14ac:dyDescent="0.25">
      <c r="A468" s="35" t="s">
        <v>955</v>
      </c>
      <c r="B468" s="36" t="s">
        <v>956</v>
      </c>
      <c r="C468" t="str">
        <f t="shared" si="7"/>
        <v>78731</v>
      </c>
    </row>
    <row r="469" spans="1:3" x14ac:dyDescent="0.25">
      <c r="A469" s="35" t="s">
        <v>957</v>
      </c>
      <c r="B469" s="36" t="s">
        <v>958</v>
      </c>
      <c r="C469" t="str">
        <f t="shared" si="7"/>
        <v>80280</v>
      </c>
    </row>
    <row r="470" spans="1:3" x14ac:dyDescent="0.25">
      <c r="A470" s="35" t="s">
        <v>959</v>
      </c>
      <c r="B470" s="36" t="s">
        <v>101</v>
      </c>
      <c r="C470" t="str">
        <f t="shared" si="7"/>
        <v>850820</v>
      </c>
    </row>
    <row r="471" spans="1:3" x14ac:dyDescent="0.25">
      <c r="A471" s="35" t="s">
        <v>960</v>
      </c>
      <c r="B471" s="36" t="s">
        <v>101</v>
      </c>
      <c r="C471" t="str">
        <f t="shared" si="7"/>
        <v>8508200</v>
      </c>
    </row>
    <row r="472" spans="1:3" x14ac:dyDescent="0.25">
      <c r="A472" s="35" t="s">
        <v>961</v>
      </c>
      <c r="B472" s="36" t="s">
        <v>71</v>
      </c>
      <c r="C472" t="str">
        <f t="shared" si="7"/>
        <v>850830</v>
      </c>
    </row>
    <row r="473" spans="1:3" x14ac:dyDescent="0.25">
      <c r="A473" s="35" t="s">
        <v>962</v>
      </c>
      <c r="B473" s="36" t="s">
        <v>71</v>
      </c>
      <c r="C473" t="str">
        <f t="shared" si="7"/>
        <v>8508309</v>
      </c>
    </row>
    <row r="474" spans="1:3" x14ac:dyDescent="0.25">
      <c r="A474" s="35" t="s">
        <v>963</v>
      </c>
      <c r="B474" s="36" t="s">
        <v>964</v>
      </c>
      <c r="C474" t="str">
        <f t="shared" si="7"/>
        <v>88888</v>
      </c>
    </row>
    <row r="475" spans="1:3" x14ac:dyDescent="0.25">
      <c r="A475" s="35" t="s">
        <v>965</v>
      </c>
      <c r="B475" s="36" t="s">
        <v>57</v>
      </c>
      <c r="C475" t="str">
        <f t="shared" si="7"/>
        <v>892450</v>
      </c>
    </row>
    <row r="476" spans="1:3" x14ac:dyDescent="0.25">
      <c r="A476" s="35" t="s">
        <v>966</v>
      </c>
      <c r="B476" s="36" t="s">
        <v>967</v>
      </c>
      <c r="C476" t="str">
        <f t="shared" si="7"/>
        <v>8957</v>
      </c>
    </row>
    <row r="477" spans="1:3" x14ac:dyDescent="0.25">
      <c r="A477" s="35" t="s">
        <v>968</v>
      </c>
      <c r="B477" s="36" t="s">
        <v>969</v>
      </c>
      <c r="C477" t="str">
        <f t="shared" si="7"/>
        <v>923350</v>
      </c>
    </row>
    <row r="478" spans="1:3" x14ac:dyDescent="0.25">
      <c r="A478" s="35" t="s">
        <v>970</v>
      </c>
      <c r="B478" s="36" t="s">
        <v>971</v>
      </c>
      <c r="C478" t="str">
        <f t="shared" si="7"/>
        <v>923351</v>
      </c>
    </row>
    <row r="479" spans="1:3" x14ac:dyDescent="0.25">
      <c r="A479" s="35" t="s">
        <v>972</v>
      </c>
      <c r="B479" s="36" t="s">
        <v>973</v>
      </c>
      <c r="C479" t="str">
        <f t="shared" si="7"/>
        <v>9853</v>
      </c>
    </row>
    <row r="480" spans="1:3" x14ac:dyDescent="0.25">
      <c r="A480" s="35" t="s">
        <v>974</v>
      </c>
      <c r="B480" s="36" t="s">
        <v>975</v>
      </c>
      <c r="C480" t="str">
        <f t="shared" si="7"/>
        <v>9898</v>
      </c>
    </row>
    <row r="481" spans="1:3" x14ac:dyDescent="0.25">
      <c r="A481" s="35" t="s">
        <v>976</v>
      </c>
      <c r="B481" s="36" t="s">
        <v>977</v>
      </c>
      <c r="C481" t="str">
        <f t="shared" si="7"/>
        <v>990970</v>
      </c>
    </row>
    <row r="482" spans="1:3" x14ac:dyDescent="0.25">
      <c r="A482" s="35" t="s">
        <v>978</v>
      </c>
      <c r="B482" s="36" t="s">
        <v>979</v>
      </c>
      <c r="C482" t="str">
        <f t="shared" si="7"/>
        <v>9988</v>
      </c>
    </row>
    <row r="483" spans="1:3" x14ac:dyDescent="0.25">
      <c r="A483" s="35" t="s">
        <v>980</v>
      </c>
      <c r="B483" s="36" t="s">
        <v>981</v>
      </c>
      <c r="C483" t="str">
        <f t="shared" si="7"/>
        <v>999</v>
      </c>
    </row>
    <row r="484" spans="1:3" x14ac:dyDescent="0.25">
      <c r="A484" s="35" t="s">
        <v>982</v>
      </c>
      <c r="B484" s="36" t="s">
        <v>983</v>
      </c>
      <c r="C484" t="str">
        <f t="shared" si="7"/>
        <v>99999</v>
      </c>
    </row>
    <row r="485" spans="1:3" x14ac:dyDescent="0.25">
      <c r="A485" s="35" t="s">
        <v>984</v>
      </c>
      <c r="B485" s="36" t="s">
        <v>985</v>
      </c>
      <c r="C485" t="str">
        <f t="shared" si="7"/>
        <v>A2</v>
      </c>
    </row>
    <row r="486" spans="1:3" x14ac:dyDescent="0.25">
      <c r="A486" s="35" t="s">
        <v>986</v>
      </c>
      <c r="B486" s="36" t="s">
        <v>987</v>
      </c>
      <c r="C486" t="str">
        <f t="shared" si="7"/>
        <v>D01</v>
      </c>
    </row>
    <row r="487" spans="1:3" x14ac:dyDescent="0.25">
      <c r="A487" s="35" t="s">
        <v>988</v>
      </c>
      <c r="B487" s="36" t="s">
        <v>989</v>
      </c>
      <c r="C487" t="str">
        <f t="shared" si="7"/>
        <v>R01</v>
      </c>
    </row>
    <row r="488" spans="1:3" x14ac:dyDescent="0.25">
      <c r="A488" s="35" t="s">
        <v>990</v>
      </c>
      <c r="B488" s="36" t="s">
        <v>991</v>
      </c>
      <c r="C488" t="str">
        <f t="shared" si="7"/>
        <v>T999</v>
      </c>
    </row>
    <row r="489" spans="1:3" x14ac:dyDescent="0.25">
      <c r="C489" t="str">
        <f t="shared" si="7"/>
        <v/>
      </c>
    </row>
    <row r="490" spans="1:3" x14ac:dyDescent="0.25">
      <c r="C490" t="str">
        <f t="shared" si="7"/>
        <v/>
      </c>
    </row>
    <row r="491" spans="1:3" x14ac:dyDescent="0.25">
      <c r="C491" t="str">
        <f t="shared" si="7"/>
        <v/>
      </c>
    </row>
    <row r="492" spans="1:3" x14ac:dyDescent="0.25">
      <c r="C492" t="str">
        <f t="shared" si="7"/>
        <v/>
      </c>
    </row>
    <row r="493" spans="1:3" x14ac:dyDescent="0.25">
      <c r="C493" t="str">
        <f t="shared" si="7"/>
        <v/>
      </c>
    </row>
    <row r="494" spans="1:3" x14ac:dyDescent="0.25">
      <c r="C494" t="str">
        <f t="shared" si="7"/>
        <v/>
      </c>
    </row>
    <row r="495" spans="1:3" x14ac:dyDescent="0.25">
      <c r="C495" t="str">
        <f t="shared" si="7"/>
        <v/>
      </c>
    </row>
    <row r="496" spans="1:3" x14ac:dyDescent="0.25">
      <c r="C496" t="str">
        <f t="shared" si="7"/>
        <v/>
      </c>
    </row>
    <row r="497" spans="3:3" x14ac:dyDescent="0.25">
      <c r="C497" t="str">
        <f t="shared" si="7"/>
        <v/>
      </c>
    </row>
    <row r="498" spans="3:3" x14ac:dyDescent="0.25">
      <c r="C498" t="str">
        <f t="shared" si="7"/>
        <v/>
      </c>
    </row>
    <row r="499" spans="3:3" x14ac:dyDescent="0.25">
      <c r="C499" t="str">
        <f t="shared" si="7"/>
        <v/>
      </c>
    </row>
    <row r="500" spans="3:3" x14ac:dyDescent="0.25">
      <c r="C500" t="str">
        <f t="shared" si="7"/>
        <v/>
      </c>
    </row>
    <row r="501" spans="3:3" x14ac:dyDescent="0.25">
      <c r="C501" t="str">
        <f t="shared" si="7"/>
        <v/>
      </c>
    </row>
    <row r="502" spans="3:3" x14ac:dyDescent="0.25">
      <c r="C502" t="str">
        <f t="shared" si="7"/>
        <v/>
      </c>
    </row>
    <row r="503" spans="3:3" x14ac:dyDescent="0.25">
      <c r="C503" t="str">
        <f t="shared" si="7"/>
        <v/>
      </c>
    </row>
    <row r="504" spans="3:3" x14ac:dyDescent="0.25">
      <c r="C504" t="str">
        <f t="shared" si="7"/>
        <v/>
      </c>
    </row>
    <row r="505" spans="3:3" x14ac:dyDescent="0.25">
      <c r="C505" t="str">
        <f t="shared" si="7"/>
        <v/>
      </c>
    </row>
    <row r="506" spans="3:3" x14ac:dyDescent="0.25">
      <c r="C506" t="str">
        <f t="shared" si="7"/>
        <v/>
      </c>
    </row>
    <row r="507" spans="3:3" x14ac:dyDescent="0.25">
      <c r="C507" t="str">
        <f t="shared" si="7"/>
        <v/>
      </c>
    </row>
    <row r="508" spans="3:3" x14ac:dyDescent="0.25">
      <c r="C508" t="str">
        <f t="shared" si="7"/>
        <v/>
      </c>
    </row>
    <row r="509" spans="3:3" x14ac:dyDescent="0.25">
      <c r="C509" t="str">
        <f t="shared" si="7"/>
        <v/>
      </c>
    </row>
    <row r="510" spans="3:3" x14ac:dyDescent="0.25">
      <c r="C510" t="str">
        <f t="shared" si="7"/>
        <v/>
      </c>
    </row>
    <row r="511" spans="3:3" x14ac:dyDescent="0.25">
      <c r="C511" t="str">
        <f t="shared" si="7"/>
        <v/>
      </c>
    </row>
    <row r="512" spans="3:3" x14ac:dyDescent="0.25">
      <c r="C512" t="str">
        <f t="shared" si="7"/>
        <v/>
      </c>
    </row>
    <row r="513" spans="3:3" x14ac:dyDescent="0.25">
      <c r="C513" t="str">
        <f t="shared" si="7"/>
        <v/>
      </c>
    </row>
    <row r="514" spans="3:3" x14ac:dyDescent="0.25">
      <c r="C514" t="str">
        <f t="shared" si="7"/>
        <v/>
      </c>
    </row>
    <row r="515" spans="3:3" x14ac:dyDescent="0.25">
      <c r="C515" t="str">
        <f t="shared" ref="C515:C578" si="8">IF(TRIM(A515)="","",IF(ISNUMBER(VALUE(TRIM(A515))),TEXT(VALUE(TRIM(A515)),"0"),TRIM(A515)))</f>
        <v/>
      </c>
    </row>
    <row r="516" spans="3:3" x14ac:dyDescent="0.25">
      <c r="C516" t="str">
        <f t="shared" si="8"/>
        <v/>
      </c>
    </row>
    <row r="517" spans="3:3" x14ac:dyDescent="0.25">
      <c r="C517" t="str">
        <f t="shared" si="8"/>
        <v/>
      </c>
    </row>
    <row r="518" spans="3:3" x14ac:dyDescent="0.25">
      <c r="C518" t="str">
        <f t="shared" si="8"/>
        <v/>
      </c>
    </row>
    <row r="519" spans="3:3" x14ac:dyDescent="0.25">
      <c r="C519" t="str">
        <f t="shared" si="8"/>
        <v/>
      </c>
    </row>
    <row r="520" spans="3:3" x14ac:dyDescent="0.25">
      <c r="C520" t="str">
        <f t="shared" si="8"/>
        <v/>
      </c>
    </row>
    <row r="521" spans="3:3" x14ac:dyDescent="0.25">
      <c r="C521" t="str">
        <f t="shared" si="8"/>
        <v/>
      </c>
    </row>
    <row r="522" spans="3:3" x14ac:dyDescent="0.25">
      <c r="C522" t="str">
        <f t="shared" si="8"/>
        <v/>
      </c>
    </row>
    <row r="523" spans="3:3" x14ac:dyDescent="0.25">
      <c r="C523" t="str">
        <f t="shared" si="8"/>
        <v/>
      </c>
    </row>
    <row r="524" spans="3:3" x14ac:dyDescent="0.25">
      <c r="C524" t="str">
        <f t="shared" si="8"/>
        <v/>
      </c>
    </row>
    <row r="525" spans="3:3" x14ac:dyDescent="0.25">
      <c r="C525" t="str">
        <f t="shared" si="8"/>
        <v/>
      </c>
    </row>
    <row r="526" spans="3:3" x14ac:dyDescent="0.25">
      <c r="C526" t="str">
        <f t="shared" si="8"/>
        <v/>
      </c>
    </row>
    <row r="527" spans="3:3" x14ac:dyDescent="0.25">
      <c r="C527" t="str">
        <f t="shared" si="8"/>
        <v/>
      </c>
    </row>
    <row r="528" spans="3:3" x14ac:dyDescent="0.25">
      <c r="C528" t="str">
        <f t="shared" si="8"/>
        <v/>
      </c>
    </row>
    <row r="529" spans="3:3" x14ac:dyDescent="0.25">
      <c r="C529" t="str">
        <f t="shared" si="8"/>
        <v/>
      </c>
    </row>
    <row r="530" spans="3:3" x14ac:dyDescent="0.25">
      <c r="C530" t="str">
        <f t="shared" si="8"/>
        <v/>
      </c>
    </row>
    <row r="531" spans="3:3" x14ac:dyDescent="0.25">
      <c r="C531" t="str">
        <f t="shared" si="8"/>
        <v/>
      </c>
    </row>
    <row r="532" spans="3:3" x14ac:dyDescent="0.25">
      <c r="C532" t="str">
        <f t="shared" si="8"/>
        <v/>
      </c>
    </row>
    <row r="533" spans="3:3" x14ac:dyDescent="0.25">
      <c r="C533" t="str">
        <f t="shared" si="8"/>
        <v/>
      </c>
    </row>
    <row r="534" spans="3:3" x14ac:dyDescent="0.25">
      <c r="C534" t="str">
        <f t="shared" si="8"/>
        <v/>
      </c>
    </row>
    <row r="535" spans="3:3" x14ac:dyDescent="0.25">
      <c r="C535" t="str">
        <f t="shared" si="8"/>
        <v/>
      </c>
    </row>
    <row r="536" spans="3:3" x14ac:dyDescent="0.25">
      <c r="C536" t="str">
        <f t="shared" si="8"/>
        <v/>
      </c>
    </row>
    <row r="537" spans="3:3" x14ac:dyDescent="0.25">
      <c r="C537" t="str">
        <f t="shared" si="8"/>
        <v/>
      </c>
    </row>
    <row r="538" spans="3:3" x14ac:dyDescent="0.25">
      <c r="C538" t="str">
        <f t="shared" si="8"/>
        <v/>
      </c>
    </row>
    <row r="539" spans="3:3" x14ac:dyDescent="0.25">
      <c r="C539" t="str">
        <f t="shared" si="8"/>
        <v/>
      </c>
    </row>
    <row r="540" spans="3:3" x14ac:dyDescent="0.25">
      <c r="C540" t="str">
        <f t="shared" si="8"/>
        <v/>
      </c>
    </row>
    <row r="541" spans="3:3" x14ac:dyDescent="0.25">
      <c r="C541" t="str">
        <f t="shared" si="8"/>
        <v/>
      </c>
    </row>
    <row r="542" spans="3:3" x14ac:dyDescent="0.25">
      <c r="C542" t="str">
        <f t="shared" si="8"/>
        <v/>
      </c>
    </row>
    <row r="543" spans="3:3" x14ac:dyDescent="0.25">
      <c r="C543" t="str">
        <f t="shared" si="8"/>
        <v/>
      </c>
    </row>
    <row r="544" spans="3:3" x14ac:dyDescent="0.25">
      <c r="C544" t="str">
        <f t="shared" si="8"/>
        <v/>
      </c>
    </row>
    <row r="545" spans="3:3" x14ac:dyDescent="0.25">
      <c r="C545" t="str">
        <f t="shared" si="8"/>
        <v/>
      </c>
    </row>
    <row r="546" spans="3:3" x14ac:dyDescent="0.25">
      <c r="C546" t="str">
        <f t="shared" si="8"/>
        <v/>
      </c>
    </row>
    <row r="547" spans="3:3" x14ac:dyDescent="0.25">
      <c r="C547" t="str">
        <f t="shared" si="8"/>
        <v/>
      </c>
    </row>
    <row r="548" spans="3:3" x14ac:dyDescent="0.25">
      <c r="C548" t="str">
        <f t="shared" si="8"/>
        <v/>
      </c>
    </row>
    <row r="549" spans="3:3" x14ac:dyDescent="0.25">
      <c r="C549" t="str">
        <f t="shared" si="8"/>
        <v/>
      </c>
    </row>
    <row r="550" spans="3:3" x14ac:dyDescent="0.25">
      <c r="C550" t="str">
        <f t="shared" si="8"/>
        <v/>
      </c>
    </row>
    <row r="551" spans="3:3" x14ac:dyDescent="0.25">
      <c r="C551" t="str">
        <f t="shared" si="8"/>
        <v/>
      </c>
    </row>
    <row r="552" spans="3:3" x14ac:dyDescent="0.25">
      <c r="C552" t="str">
        <f t="shared" si="8"/>
        <v/>
      </c>
    </row>
    <row r="553" spans="3:3" x14ac:dyDescent="0.25">
      <c r="C553" t="str">
        <f t="shared" si="8"/>
        <v/>
      </c>
    </row>
    <row r="554" spans="3:3" x14ac:dyDescent="0.25">
      <c r="C554" t="str">
        <f t="shared" si="8"/>
        <v/>
      </c>
    </row>
    <row r="555" spans="3:3" x14ac:dyDescent="0.25">
      <c r="C555" t="str">
        <f t="shared" si="8"/>
        <v/>
      </c>
    </row>
    <row r="556" spans="3:3" x14ac:dyDescent="0.25">
      <c r="C556" t="str">
        <f t="shared" si="8"/>
        <v/>
      </c>
    </row>
    <row r="557" spans="3:3" x14ac:dyDescent="0.25">
      <c r="C557" t="str">
        <f t="shared" si="8"/>
        <v/>
      </c>
    </row>
    <row r="558" spans="3:3" x14ac:dyDescent="0.25">
      <c r="C558" t="str">
        <f t="shared" si="8"/>
        <v/>
      </c>
    </row>
    <row r="559" spans="3:3" x14ac:dyDescent="0.25">
      <c r="C559" t="str">
        <f t="shared" si="8"/>
        <v/>
      </c>
    </row>
    <row r="560" spans="3:3" x14ac:dyDescent="0.25">
      <c r="C560" t="str">
        <f t="shared" si="8"/>
        <v/>
      </c>
    </row>
    <row r="561" spans="3:3" x14ac:dyDescent="0.25">
      <c r="C561" t="str">
        <f t="shared" si="8"/>
        <v/>
      </c>
    </row>
    <row r="562" spans="3:3" x14ac:dyDescent="0.25">
      <c r="C562" t="str">
        <f t="shared" si="8"/>
        <v/>
      </c>
    </row>
    <row r="563" spans="3:3" x14ac:dyDescent="0.25">
      <c r="C563" t="str">
        <f t="shared" si="8"/>
        <v/>
      </c>
    </row>
    <row r="564" spans="3:3" x14ac:dyDescent="0.25">
      <c r="C564" t="str">
        <f t="shared" si="8"/>
        <v/>
      </c>
    </row>
    <row r="565" spans="3:3" x14ac:dyDescent="0.25">
      <c r="C565" t="str">
        <f t="shared" si="8"/>
        <v/>
      </c>
    </row>
    <row r="566" spans="3:3" x14ac:dyDescent="0.25">
      <c r="C566" t="str">
        <f t="shared" si="8"/>
        <v/>
      </c>
    </row>
    <row r="567" spans="3:3" x14ac:dyDescent="0.25">
      <c r="C567" t="str">
        <f t="shared" si="8"/>
        <v/>
      </c>
    </row>
    <row r="568" spans="3:3" x14ac:dyDescent="0.25">
      <c r="C568" t="str">
        <f t="shared" si="8"/>
        <v/>
      </c>
    </row>
    <row r="569" spans="3:3" x14ac:dyDescent="0.25">
      <c r="C569" t="str">
        <f t="shared" si="8"/>
        <v/>
      </c>
    </row>
    <row r="570" spans="3:3" x14ac:dyDescent="0.25">
      <c r="C570" t="str">
        <f t="shared" si="8"/>
        <v/>
      </c>
    </row>
    <row r="571" spans="3:3" x14ac:dyDescent="0.25">
      <c r="C571" t="str">
        <f t="shared" si="8"/>
        <v/>
      </c>
    </row>
    <row r="572" spans="3:3" x14ac:dyDescent="0.25">
      <c r="C572" t="str">
        <f t="shared" si="8"/>
        <v/>
      </c>
    </row>
    <row r="573" spans="3:3" x14ac:dyDescent="0.25">
      <c r="C573" t="str">
        <f t="shared" si="8"/>
        <v/>
      </c>
    </row>
    <row r="574" spans="3:3" x14ac:dyDescent="0.25">
      <c r="C574" t="str">
        <f t="shared" si="8"/>
        <v/>
      </c>
    </row>
    <row r="575" spans="3:3" x14ac:dyDescent="0.25">
      <c r="C575" t="str">
        <f t="shared" si="8"/>
        <v/>
      </c>
    </row>
    <row r="576" spans="3:3" x14ac:dyDescent="0.25">
      <c r="C576" t="str">
        <f t="shared" si="8"/>
        <v/>
      </c>
    </row>
    <row r="577" spans="3:3" x14ac:dyDescent="0.25">
      <c r="C577" t="str">
        <f t="shared" si="8"/>
        <v/>
      </c>
    </row>
    <row r="578" spans="3:3" x14ac:dyDescent="0.25">
      <c r="C578" t="str">
        <f t="shared" si="8"/>
        <v/>
      </c>
    </row>
    <row r="579" spans="3:3" x14ac:dyDescent="0.25">
      <c r="C579" t="str">
        <f t="shared" ref="C579:C642" si="9">IF(TRIM(A579)="","",IF(ISNUMBER(VALUE(TRIM(A579))),TEXT(VALUE(TRIM(A579)),"0"),TRIM(A579)))</f>
        <v/>
      </c>
    </row>
    <row r="580" spans="3:3" x14ac:dyDescent="0.25">
      <c r="C580" t="str">
        <f t="shared" si="9"/>
        <v/>
      </c>
    </row>
    <row r="581" spans="3:3" x14ac:dyDescent="0.25">
      <c r="C581" t="str">
        <f t="shared" si="9"/>
        <v/>
      </c>
    </row>
    <row r="582" spans="3:3" x14ac:dyDescent="0.25">
      <c r="C582" t="str">
        <f t="shared" si="9"/>
        <v/>
      </c>
    </row>
    <row r="583" spans="3:3" x14ac:dyDescent="0.25">
      <c r="C583" t="str">
        <f t="shared" si="9"/>
        <v/>
      </c>
    </row>
    <row r="584" spans="3:3" x14ac:dyDescent="0.25">
      <c r="C584" t="str">
        <f t="shared" si="9"/>
        <v/>
      </c>
    </row>
    <row r="585" spans="3:3" x14ac:dyDescent="0.25">
      <c r="C585" t="str">
        <f t="shared" si="9"/>
        <v/>
      </c>
    </row>
    <row r="586" spans="3:3" x14ac:dyDescent="0.25">
      <c r="C586" t="str">
        <f t="shared" si="9"/>
        <v/>
      </c>
    </row>
    <row r="587" spans="3:3" x14ac:dyDescent="0.25">
      <c r="C587" t="str">
        <f t="shared" si="9"/>
        <v/>
      </c>
    </row>
    <row r="588" spans="3:3" x14ac:dyDescent="0.25">
      <c r="C588" t="str">
        <f t="shared" si="9"/>
        <v/>
      </c>
    </row>
    <row r="589" spans="3:3" x14ac:dyDescent="0.25">
      <c r="C589" t="str">
        <f t="shared" si="9"/>
        <v/>
      </c>
    </row>
    <row r="590" spans="3:3" x14ac:dyDescent="0.25">
      <c r="C590" t="str">
        <f t="shared" si="9"/>
        <v/>
      </c>
    </row>
    <row r="591" spans="3:3" x14ac:dyDescent="0.25">
      <c r="C591" t="str">
        <f t="shared" si="9"/>
        <v/>
      </c>
    </row>
    <row r="592" spans="3:3" x14ac:dyDescent="0.25">
      <c r="C592" t="str">
        <f t="shared" si="9"/>
        <v/>
      </c>
    </row>
    <row r="593" spans="3:3" x14ac:dyDescent="0.25">
      <c r="C593" t="str">
        <f t="shared" si="9"/>
        <v/>
      </c>
    </row>
    <row r="594" spans="3:3" x14ac:dyDescent="0.25">
      <c r="C594" t="str">
        <f t="shared" si="9"/>
        <v/>
      </c>
    </row>
    <row r="595" spans="3:3" x14ac:dyDescent="0.25">
      <c r="C595" t="str">
        <f t="shared" si="9"/>
        <v/>
      </c>
    </row>
    <row r="596" spans="3:3" x14ac:dyDescent="0.25">
      <c r="C596" t="str">
        <f t="shared" si="9"/>
        <v/>
      </c>
    </row>
    <row r="597" spans="3:3" x14ac:dyDescent="0.25">
      <c r="C597" t="str">
        <f t="shared" si="9"/>
        <v/>
      </c>
    </row>
    <row r="598" spans="3:3" x14ac:dyDescent="0.25">
      <c r="C598" t="str">
        <f t="shared" si="9"/>
        <v/>
      </c>
    </row>
    <row r="599" spans="3:3" x14ac:dyDescent="0.25">
      <c r="C599" t="str">
        <f t="shared" si="9"/>
        <v/>
      </c>
    </row>
    <row r="600" spans="3:3" x14ac:dyDescent="0.25">
      <c r="C600" t="str">
        <f t="shared" si="9"/>
        <v/>
      </c>
    </row>
    <row r="601" spans="3:3" x14ac:dyDescent="0.25">
      <c r="C601" t="str">
        <f t="shared" si="9"/>
        <v/>
      </c>
    </row>
    <row r="602" spans="3:3" x14ac:dyDescent="0.25">
      <c r="C602" t="str">
        <f t="shared" si="9"/>
        <v/>
      </c>
    </row>
    <row r="603" spans="3:3" x14ac:dyDescent="0.25">
      <c r="C603" t="str">
        <f t="shared" si="9"/>
        <v/>
      </c>
    </row>
    <row r="604" spans="3:3" x14ac:dyDescent="0.25">
      <c r="C604" t="str">
        <f t="shared" si="9"/>
        <v/>
      </c>
    </row>
    <row r="605" spans="3:3" x14ac:dyDescent="0.25">
      <c r="C605" t="str">
        <f t="shared" si="9"/>
        <v/>
      </c>
    </row>
    <row r="606" spans="3:3" x14ac:dyDescent="0.25">
      <c r="C606" t="str">
        <f t="shared" si="9"/>
        <v/>
      </c>
    </row>
    <row r="607" spans="3:3" x14ac:dyDescent="0.25">
      <c r="C607" t="str">
        <f t="shared" si="9"/>
        <v/>
      </c>
    </row>
    <row r="608" spans="3:3" x14ac:dyDescent="0.25">
      <c r="C608" t="str">
        <f t="shared" si="9"/>
        <v/>
      </c>
    </row>
    <row r="609" spans="3:3" x14ac:dyDescent="0.25">
      <c r="C609" t="str">
        <f t="shared" si="9"/>
        <v/>
      </c>
    </row>
    <row r="610" spans="3:3" x14ac:dyDescent="0.25">
      <c r="C610" t="str">
        <f t="shared" si="9"/>
        <v/>
      </c>
    </row>
    <row r="611" spans="3:3" x14ac:dyDescent="0.25">
      <c r="C611" t="str">
        <f t="shared" si="9"/>
        <v/>
      </c>
    </row>
    <row r="612" spans="3:3" x14ac:dyDescent="0.25">
      <c r="C612" t="str">
        <f t="shared" si="9"/>
        <v/>
      </c>
    </row>
    <row r="613" spans="3:3" x14ac:dyDescent="0.25">
      <c r="C613" t="str">
        <f t="shared" si="9"/>
        <v/>
      </c>
    </row>
    <row r="614" spans="3:3" x14ac:dyDescent="0.25">
      <c r="C614" t="str">
        <f t="shared" si="9"/>
        <v/>
      </c>
    </row>
    <row r="615" spans="3:3" x14ac:dyDescent="0.25">
      <c r="C615" t="str">
        <f t="shared" si="9"/>
        <v/>
      </c>
    </row>
    <row r="616" spans="3:3" x14ac:dyDescent="0.25">
      <c r="C616" t="str">
        <f t="shared" si="9"/>
        <v/>
      </c>
    </row>
    <row r="617" spans="3:3" x14ac:dyDescent="0.25">
      <c r="C617" t="str">
        <f t="shared" si="9"/>
        <v/>
      </c>
    </row>
    <row r="618" spans="3:3" x14ac:dyDescent="0.25">
      <c r="C618" t="str">
        <f t="shared" si="9"/>
        <v/>
      </c>
    </row>
    <row r="619" spans="3:3" x14ac:dyDescent="0.25">
      <c r="C619" t="str">
        <f t="shared" si="9"/>
        <v/>
      </c>
    </row>
    <row r="620" spans="3:3" x14ac:dyDescent="0.25">
      <c r="C620" t="str">
        <f t="shared" si="9"/>
        <v/>
      </c>
    </row>
    <row r="621" spans="3:3" x14ac:dyDescent="0.25">
      <c r="C621" t="str">
        <f t="shared" si="9"/>
        <v/>
      </c>
    </row>
    <row r="622" spans="3:3" x14ac:dyDescent="0.25">
      <c r="C622" t="str">
        <f t="shared" si="9"/>
        <v/>
      </c>
    </row>
    <row r="623" spans="3:3" x14ac:dyDescent="0.25">
      <c r="C623" t="str">
        <f t="shared" si="9"/>
        <v/>
      </c>
    </row>
    <row r="624" spans="3:3" x14ac:dyDescent="0.25">
      <c r="C624" t="str">
        <f t="shared" si="9"/>
        <v/>
      </c>
    </row>
    <row r="625" spans="3:3" x14ac:dyDescent="0.25">
      <c r="C625" t="str">
        <f t="shared" si="9"/>
        <v/>
      </c>
    </row>
    <row r="626" spans="3:3" x14ac:dyDescent="0.25">
      <c r="C626" t="str">
        <f t="shared" si="9"/>
        <v/>
      </c>
    </row>
    <row r="627" spans="3:3" x14ac:dyDescent="0.25">
      <c r="C627" t="str">
        <f t="shared" si="9"/>
        <v/>
      </c>
    </row>
    <row r="628" spans="3:3" x14ac:dyDescent="0.25">
      <c r="C628" t="str">
        <f t="shared" si="9"/>
        <v/>
      </c>
    </row>
    <row r="629" spans="3:3" x14ac:dyDescent="0.25">
      <c r="C629" t="str">
        <f t="shared" si="9"/>
        <v/>
      </c>
    </row>
    <row r="630" spans="3:3" x14ac:dyDescent="0.25">
      <c r="C630" t="str">
        <f t="shared" si="9"/>
        <v/>
      </c>
    </row>
    <row r="631" spans="3:3" x14ac:dyDescent="0.25">
      <c r="C631" t="str">
        <f t="shared" si="9"/>
        <v/>
      </c>
    </row>
    <row r="632" spans="3:3" x14ac:dyDescent="0.25">
      <c r="C632" t="str">
        <f t="shared" si="9"/>
        <v/>
      </c>
    </row>
    <row r="633" spans="3:3" x14ac:dyDescent="0.25">
      <c r="C633" t="str">
        <f t="shared" si="9"/>
        <v/>
      </c>
    </row>
    <row r="634" spans="3:3" x14ac:dyDescent="0.25">
      <c r="C634" t="str">
        <f t="shared" si="9"/>
        <v/>
      </c>
    </row>
    <row r="635" spans="3:3" x14ac:dyDescent="0.25">
      <c r="C635" t="str">
        <f t="shared" si="9"/>
        <v/>
      </c>
    </row>
    <row r="636" spans="3:3" x14ac:dyDescent="0.25">
      <c r="C636" t="str">
        <f t="shared" si="9"/>
        <v/>
      </c>
    </row>
    <row r="637" spans="3:3" x14ac:dyDescent="0.25">
      <c r="C637" t="str">
        <f t="shared" si="9"/>
        <v/>
      </c>
    </row>
    <row r="638" spans="3:3" x14ac:dyDescent="0.25">
      <c r="C638" t="str">
        <f t="shared" si="9"/>
        <v/>
      </c>
    </row>
    <row r="639" spans="3:3" x14ac:dyDescent="0.25">
      <c r="C639" t="str">
        <f t="shared" si="9"/>
        <v/>
      </c>
    </row>
    <row r="640" spans="3:3" x14ac:dyDescent="0.25">
      <c r="C640" t="str">
        <f t="shared" si="9"/>
        <v/>
      </c>
    </row>
    <row r="641" spans="3:3" x14ac:dyDescent="0.25">
      <c r="C641" t="str">
        <f t="shared" si="9"/>
        <v/>
      </c>
    </row>
    <row r="642" spans="3:3" x14ac:dyDescent="0.25">
      <c r="C642" t="str">
        <f t="shared" si="9"/>
        <v/>
      </c>
    </row>
    <row r="643" spans="3:3" x14ac:dyDescent="0.25">
      <c r="C643" t="str">
        <f t="shared" ref="C643:C706" si="10">IF(TRIM(A643)="","",IF(ISNUMBER(VALUE(TRIM(A643))),TEXT(VALUE(TRIM(A643)),"0"),TRIM(A643)))</f>
        <v/>
      </c>
    </row>
    <row r="644" spans="3:3" x14ac:dyDescent="0.25">
      <c r="C644" t="str">
        <f t="shared" si="10"/>
        <v/>
      </c>
    </row>
    <row r="645" spans="3:3" x14ac:dyDescent="0.25">
      <c r="C645" t="str">
        <f t="shared" si="10"/>
        <v/>
      </c>
    </row>
    <row r="646" spans="3:3" x14ac:dyDescent="0.25">
      <c r="C646" t="str">
        <f t="shared" si="10"/>
        <v/>
      </c>
    </row>
    <row r="647" spans="3:3" x14ac:dyDescent="0.25">
      <c r="C647" t="str">
        <f t="shared" si="10"/>
        <v/>
      </c>
    </row>
    <row r="648" spans="3:3" x14ac:dyDescent="0.25">
      <c r="C648" t="str">
        <f t="shared" si="10"/>
        <v/>
      </c>
    </row>
    <row r="649" spans="3:3" x14ac:dyDescent="0.25">
      <c r="C649" t="str">
        <f t="shared" si="10"/>
        <v/>
      </c>
    </row>
    <row r="650" spans="3:3" x14ac:dyDescent="0.25">
      <c r="C650" t="str">
        <f t="shared" si="10"/>
        <v/>
      </c>
    </row>
    <row r="651" spans="3:3" x14ac:dyDescent="0.25">
      <c r="C651" t="str">
        <f t="shared" si="10"/>
        <v/>
      </c>
    </row>
    <row r="652" spans="3:3" x14ac:dyDescent="0.25">
      <c r="C652" t="str">
        <f t="shared" si="10"/>
        <v/>
      </c>
    </row>
    <row r="653" spans="3:3" x14ac:dyDescent="0.25">
      <c r="C653" t="str">
        <f t="shared" si="10"/>
        <v/>
      </c>
    </row>
    <row r="654" spans="3:3" x14ac:dyDescent="0.25">
      <c r="C654" t="str">
        <f t="shared" si="10"/>
        <v/>
      </c>
    </row>
    <row r="655" spans="3:3" x14ac:dyDescent="0.25">
      <c r="C655" t="str">
        <f t="shared" si="10"/>
        <v/>
      </c>
    </row>
    <row r="656" spans="3:3" x14ac:dyDescent="0.25">
      <c r="C656" t="str">
        <f t="shared" si="10"/>
        <v/>
      </c>
    </row>
    <row r="657" spans="3:3" x14ac:dyDescent="0.25">
      <c r="C657" t="str">
        <f t="shared" si="10"/>
        <v/>
      </c>
    </row>
    <row r="658" spans="3:3" x14ac:dyDescent="0.25">
      <c r="C658" t="str">
        <f t="shared" si="10"/>
        <v/>
      </c>
    </row>
    <row r="659" spans="3:3" x14ac:dyDescent="0.25">
      <c r="C659" t="str">
        <f t="shared" si="10"/>
        <v/>
      </c>
    </row>
    <row r="660" spans="3:3" x14ac:dyDescent="0.25">
      <c r="C660" t="str">
        <f t="shared" si="10"/>
        <v/>
      </c>
    </row>
    <row r="661" spans="3:3" x14ac:dyDescent="0.25">
      <c r="C661" t="str">
        <f t="shared" si="10"/>
        <v/>
      </c>
    </row>
    <row r="662" spans="3:3" x14ac:dyDescent="0.25">
      <c r="C662" t="str">
        <f t="shared" si="10"/>
        <v/>
      </c>
    </row>
    <row r="663" spans="3:3" x14ac:dyDescent="0.25">
      <c r="C663" t="str">
        <f t="shared" si="10"/>
        <v/>
      </c>
    </row>
    <row r="664" spans="3:3" x14ac:dyDescent="0.25">
      <c r="C664" t="str">
        <f t="shared" si="10"/>
        <v/>
      </c>
    </row>
    <row r="665" spans="3:3" x14ac:dyDescent="0.25">
      <c r="C665" t="str">
        <f t="shared" si="10"/>
        <v/>
      </c>
    </row>
    <row r="666" spans="3:3" x14ac:dyDescent="0.25">
      <c r="C666" t="str">
        <f t="shared" si="10"/>
        <v/>
      </c>
    </row>
    <row r="667" spans="3:3" x14ac:dyDescent="0.25">
      <c r="C667" t="str">
        <f t="shared" si="10"/>
        <v/>
      </c>
    </row>
    <row r="668" spans="3:3" x14ac:dyDescent="0.25">
      <c r="C668" t="str">
        <f t="shared" si="10"/>
        <v/>
      </c>
    </row>
    <row r="669" spans="3:3" x14ac:dyDescent="0.25">
      <c r="C669" t="str">
        <f t="shared" si="10"/>
        <v/>
      </c>
    </row>
    <row r="670" spans="3:3" x14ac:dyDescent="0.25">
      <c r="C670" t="str">
        <f t="shared" si="10"/>
        <v/>
      </c>
    </row>
    <row r="671" spans="3:3" x14ac:dyDescent="0.25">
      <c r="C671" t="str">
        <f t="shared" si="10"/>
        <v/>
      </c>
    </row>
    <row r="672" spans="3:3" x14ac:dyDescent="0.25">
      <c r="C672" t="str">
        <f t="shared" si="10"/>
        <v/>
      </c>
    </row>
    <row r="673" spans="3:3" x14ac:dyDescent="0.25">
      <c r="C673" t="str">
        <f t="shared" si="10"/>
        <v/>
      </c>
    </row>
    <row r="674" spans="3:3" x14ac:dyDescent="0.25">
      <c r="C674" t="str">
        <f t="shared" si="10"/>
        <v/>
      </c>
    </row>
    <row r="675" spans="3:3" x14ac:dyDescent="0.25">
      <c r="C675" t="str">
        <f t="shared" si="10"/>
        <v/>
      </c>
    </row>
    <row r="676" spans="3:3" x14ac:dyDescent="0.25">
      <c r="C676" t="str">
        <f t="shared" si="10"/>
        <v/>
      </c>
    </row>
    <row r="677" spans="3:3" x14ac:dyDescent="0.25">
      <c r="C677" t="str">
        <f t="shared" si="10"/>
        <v/>
      </c>
    </row>
    <row r="678" spans="3:3" x14ac:dyDescent="0.25">
      <c r="C678" t="str">
        <f t="shared" si="10"/>
        <v/>
      </c>
    </row>
    <row r="679" spans="3:3" x14ac:dyDescent="0.25">
      <c r="C679" t="str">
        <f t="shared" si="10"/>
        <v/>
      </c>
    </row>
    <row r="680" spans="3:3" x14ac:dyDescent="0.25">
      <c r="C680" t="str">
        <f t="shared" si="10"/>
        <v/>
      </c>
    </row>
    <row r="681" spans="3:3" x14ac:dyDescent="0.25">
      <c r="C681" t="str">
        <f t="shared" si="10"/>
        <v/>
      </c>
    </row>
    <row r="682" spans="3:3" x14ac:dyDescent="0.25">
      <c r="C682" t="str">
        <f t="shared" si="10"/>
        <v/>
      </c>
    </row>
    <row r="683" spans="3:3" x14ac:dyDescent="0.25">
      <c r="C683" t="str">
        <f t="shared" si="10"/>
        <v/>
      </c>
    </row>
    <row r="684" spans="3:3" x14ac:dyDescent="0.25">
      <c r="C684" t="str">
        <f t="shared" si="10"/>
        <v/>
      </c>
    </row>
    <row r="685" spans="3:3" x14ac:dyDescent="0.25">
      <c r="C685" t="str">
        <f t="shared" si="10"/>
        <v/>
      </c>
    </row>
    <row r="686" spans="3:3" x14ac:dyDescent="0.25">
      <c r="C686" t="str">
        <f t="shared" si="10"/>
        <v/>
      </c>
    </row>
    <row r="687" spans="3:3" x14ac:dyDescent="0.25">
      <c r="C687" t="str">
        <f t="shared" si="10"/>
        <v/>
      </c>
    </row>
    <row r="688" spans="3:3" x14ac:dyDescent="0.25">
      <c r="C688" t="str">
        <f t="shared" si="10"/>
        <v/>
      </c>
    </row>
    <row r="689" spans="3:3" x14ac:dyDescent="0.25">
      <c r="C689" t="str">
        <f t="shared" si="10"/>
        <v/>
      </c>
    </row>
    <row r="690" spans="3:3" x14ac:dyDescent="0.25">
      <c r="C690" t="str">
        <f t="shared" si="10"/>
        <v/>
      </c>
    </row>
    <row r="691" spans="3:3" x14ac:dyDescent="0.25">
      <c r="C691" t="str">
        <f t="shared" si="10"/>
        <v/>
      </c>
    </row>
    <row r="692" spans="3:3" x14ac:dyDescent="0.25">
      <c r="C692" t="str">
        <f t="shared" si="10"/>
        <v/>
      </c>
    </row>
    <row r="693" spans="3:3" x14ac:dyDescent="0.25">
      <c r="C693" t="str">
        <f t="shared" si="10"/>
        <v/>
      </c>
    </row>
    <row r="694" spans="3:3" x14ac:dyDescent="0.25">
      <c r="C694" t="str">
        <f t="shared" si="10"/>
        <v/>
      </c>
    </row>
    <row r="695" spans="3:3" x14ac:dyDescent="0.25">
      <c r="C695" t="str">
        <f t="shared" si="10"/>
        <v/>
      </c>
    </row>
    <row r="696" spans="3:3" x14ac:dyDescent="0.25">
      <c r="C696" t="str">
        <f t="shared" si="10"/>
        <v/>
      </c>
    </row>
    <row r="697" spans="3:3" x14ac:dyDescent="0.25">
      <c r="C697" t="str">
        <f t="shared" si="10"/>
        <v/>
      </c>
    </row>
    <row r="698" spans="3:3" x14ac:dyDescent="0.25">
      <c r="C698" t="str">
        <f t="shared" si="10"/>
        <v/>
      </c>
    </row>
    <row r="699" spans="3:3" x14ac:dyDescent="0.25">
      <c r="C699" t="str">
        <f t="shared" si="10"/>
        <v/>
      </c>
    </row>
    <row r="700" spans="3:3" x14ac:dyDescent="0.25">
      <c r="C700" t="str">
        <f t="shared" si="10"/>
        <v/>
      </c>
    </row>
    <row r="701" spans="3:3" x14ac:dyDescent="0.25">
      <c r="C701" t="str">
        <f t="shared" si="10"/>
        <v/>
      </c>
    </row>
    <row r="702" spans="3:3" x14ac:dyDescent="0.25">
      <c r="C702" t="str">
        <f t="shared" si="10"/>
        <v/>
      </c>
    </row>
    <row r="703" spans="3:3" x14ac:dyDescent="0.25">
      <c r="C703" t="str">
        <f t="shared" si="10"/>
        <v/>
      </c>
    </row>
    <row r="704" spans="3:3" x14ac:dyDescent="0.25">
      <c r="C704" t="str">
        <f t="shared" si="10"/>
        <v/>
      </c>
    </row>
    <row r="705" spans="3:3" x14ac:dyDescent="0.25">
      <c r="C705" t="str">
        <f t="shared" si="10"/>
        <v/>
      </c>
    </row>
    <row r="706" spans="3:3" x14ac:dyDescent="0.25">
      <c r="C706" t="str">
        <f t="shared" si="10"/>
        <v/>
      </c>
    </row>
    <row r="707" spans="3:3" x14ac:dyDescent="0.25">
      <c r="C707" t="str">
        <f t="shared" ref="C707:C770" si="11">IF(TRIM(A707)="","",IF(ISNUMBER(VALUE(TRIM(A707))),TEXT(VALUE(TRIM(A707)),"0"),TRIM(A707)))</f>
        <v/>
      </c>
    </row>
    <row r="708" spans="3:3" x14ac:dyDescent="0.25">
      <c r="C708" t="str">
        <f t="shared" si="11"/>
        <v/>
      </c>
    </row>
    <row r="709" spans="3:3" x14ac:dyDescent="0.25">
      <c r="C709" t="str">
        <f t="shared" si="11"/>
        <v/>
      </c>
    </row>
    <row r="710" spans="3:3" x14ac:dyDescent="0.25">
      <c r="C710" t="str">
        <f t="shared" si="11"/>
        <v/>
      </c>
    </row>
    <row r="711" spans="3:3" x14ac:dyDescent="0.25">
      <c r="C711" t="str">
        <f t="shared" si="11"/>
        <v/>
      </c>
    </row>
    <row r="712" spans="3:3" x14ac:dyDescent="0.25">
      <c r="C712" t="str">
        <f t="shared" si="11"/>
        <v/>
      </c>
    </row>
    <row r="713" spans="3:3" x14ac:dyDescent="0.25">
      <c r="C713" t="str">
        <f t="shared" si="11"/>
        <v/>
      </c>
    </row>
    <row r="714" spans="3:3" x14ac:dyDescent="0.25">
      <c r="C714" t="str">
        <f t="shared" si="11"/>
        <v/>
      </c>
    </row>
    <row r="715" spans="3:3" x14ac:dyDescent="0.25">
      <c r="C715" t="str">
        <f t="shared" si="11"/>
        <v/>
      </c>
    </row>
    <row r="716" spans="3:3" x14ac:dyDescent="0.25">
      <c r="C716" t="str">
        <f t="shared" si="11"/>
        <v/>
      </c>
    </row>
    <row r="717" spans="3:3" x14ac:dyDescent="0.25">
      <c r="C717" t="str">
        <f t="shared" si="11"/>
        <v/>
      </c>
    </row>
    <row r="718" spans="3:3" x14ac:dyDescent="0.25">
      <c r="C718" t="str">
        <f t="shared" si="11"/>
        <v/>
      </c>
    </row>
    <row r="719" spans="3:3" x14ac:dyDescent="0.25">
      <c r="C719" t="str">
        <f t="shared" si="11"/>
        <v/>
      </c>
    </row>
    <row r="720" spans="3:3" x14ac:dyDescent="0.25">
      <c r="C720" t="str">
        <f t="shared" si="11"/>
        <v/>
      </c>
    </row>
    <row r="721" spans="3:3" x14ac:dyDescent="0.25">
      <c r="C721" t="str">
        <f t="shared" si="11"/>
        <v/>
      </c>
    </row>
    <row r="722" spans="3:3" x14ac:dyDescent="0.25">
      <c r="C722" t="str">
        <f t="shared" si="11"/>
        <v/>
      </c>
    </row>
    <row r="723" spans="3:3" x14ac:dyDescent="0.25">
      <c r="C723" t="str">
        <f t="shared" si="11"/>
        <v/>
      </c>
    </row>
    <row r="724" spans="3:3" x14ac:dyDescent="0.25">
      <c r="C724" t="str">
        <f t="shared" si="11"/>
        <v/>
      </c>
    </row>
    <row r="725" spans="3:3" x14ac:dyDescent="0.25">
      <c r="C725" t="str">
        <f t="shared" si="11"/>
        <v/>
      </c>
    </row>
    <row r="726" spans="3:3" x14ac:dyDescent="0.25">
      <c r="C726" t="str">
        <f t="shared" si="11"/>
        <v/>
      </c>
    </row>
    <row r="727" spans="3:3" x14ac:dyDescent="0.25">
      <c r="C727" t="str">
        <f t="shared" si="11"/>
        <v/>
      </c>
    </row>
    <row r="728" spans="3:3" x14ac:dyDescent="0.25">
      <c r="C728" t="str">
        <f t="shared" si="11"/>
        <v/>
      </c>
    </row>
    <row r="729" spans="3:3" x14ac:dyDescent="0.25">
      <c r="C729" t="str">
        <f t="shared" si="11"/>
        <v/>
      </c>
    </row>
    <row r="730" spans="3:3" x14ac:dyDescent="0.25">
      <c r="C730" t="str">
        <f t="shared" si="11"/>
        <v/>
      </c>
    </row>
    <row r="731" spans="3:3" x14ac:dyDescent="0.25">
      <c r="C731" t="str">
        <f t="shared" si="11"/>
        <v/>
      </c>
    </row>
    <row r="732" spans="3:3" x14ac:dyDescent="0.25">
      <c r="C732" t="str">
        <f t="shared" si="11"/>
        <v/>
      </c>
    </row>
    <row r="733" spans="3:3" x14ac:dyDescent="0.25">
      <c r="C733" t="str">
        <f t="shared" si="11"/>
        <v/>
      </c>
    </row>
    <row r="734" spans="3:3" x14ac:dyDescent="0.25">
      <c r="C734" t="str">
        <f t="shared" si="11"/>
        <v/>
      </c>
    </row>
    <row r="735" spans="3:3" x14ac:dyDescent="0.25">
      <c r="C735" t="str">
        <f t="shared" si="11"/>
        <v/>
      </c>
    </row>
    <row r="736" spans="3:3" x14ac:dyDescent="0.25">
      <c r="C736" t="str">
        <f t="shared" si="11"/>
        <v/>
      </c>
    </row>
    <row r="737" spans="3:3" x14ac:dyDescent="0.25">
      <c r="C737" t="str">
        <f t="shared" si="11"/>
        <v/>
      </c>
    </row>
    <row r="738" spans="3:3" x14ac:dyDescent="0.25">
      <c r="C738" t="str">
        <f t="shared" si="11"/>
        <v/>
      </c>
    </row>
    <row r="739" spans="3:3" x14ac:dyDescent="0.25">
      <c r="C739" t="str">
        <f t="shared" si="11"/>
        <v/>
      </c>
    </row>
    <row r="740" spans="3:3" x14ac:dyDescent="0.25">
      <c r="C740" t="str">
        <f t="shared" si="11"/>
        <v/>
      </c>
    </row>
    <row r="741" spans="3:3" x14ac:dyDescent="0.25">
      <c r="C741" t="str">
        <f t="shared" si="11"/>
        <v/>
      </c>
    </row>
    <row r="742" spans="3:3" x14ac:dyDescent="0.25">
      <c r="C742" t="str">
        <f t="shared" si="11"/>
        <v/>
      </c>
    </row>
    <row r="743" spans="3:3" x14ac:dyDescent="0.25">
      <c r="C743" t="str">
        <f t="shared" si="11"/>
        <v/>
      </c>
    </row>
    <row r="744" spans="3:3" x14ac:dyDescent="0.25">
      <c r="C744" t="str">
        <f t="shared" si="11"/>
        <v/>
      </c>
    </row>
    <row r="745" spans="3:3" x14ac:dyDescent="0.25">
      <c r="C745" t="str">
        <f t="shared" si="11"/>
        <v/>
      </c>
    </row>
    <row r="746" spans="3:3" x14ac:dyDescent="0.25">
      <c r="C746" t="str">
        <f t="shared" si="11"/>
        <v/>
      </c>
    </row>
    <row r="747" spans="3:3" x14ac:dyDescent="0.25">
      <c r="C747" t="str">
        <f t="shared" si="11"/>
        <v/>
      </c>
    </row>
    <row r="748" spans="3:3" x14ac:dyDescent="0.25">
      <c r="C748" t="str">
        <f t="shared" si="11"/>
        <v/>
      </c>
    </row>
    <row r="749" spans="3:3" x14ac:dyDescent="0.25">
      <c r="C749" t="str">
        <f t="shared" si="11"/>
        <v/>
      </c>
    </row>
    <row r="750" spans="3:3" x14ac:dyDescent="0.25">
      <c r="C750" t="str">
        <f t="shared" si="11"/>
        <v/>
      </c>
    </row>
    <row r="751" spans="3:3" x14ac:dyDescent="0.25">
      <c r="C751" t="str">
        <f t="shared" si="11"/>
        <v/>
      </c>
    </row>
    <row r="752" spans="3:3" x14ac:dyDescent="0.25">
      <c r="C752" t="str">
        <f t="shared" si="11"/>
        <v/>
      </c>
    </row>
    <row r="753" spans="3:3" x14ac:dyDescent="0.25">
      <c r="C753" t="str">
        <f t="shared" si="11"/>
        <v/>
      </c>
    </row>
    <row r="754" spans="3:3" x14ac:dyDescent="0.25">
      <c r="C754" t="str">
        <f t="shared" si="11"/>
        <v/>
      </c>
    </row>
    <row r="755" spans="3:3" x14ac:dyDescent="0.25">
      <c r="C755" t="str">
        <f t="shared" si="11"/>
        <v/>
      </c>
    </row>
    <row r="756" spans="3:3" x14ac:dyDescent="0.25">
      <c r="C756" t="str">
        <f t="shared" si="11"/>
        <v/>
      </c>
    </row>
    <row r="757" spans="3:3" x14ac:dyDescent="0.25">
      <c r="C757" t="str">
        <f t="shared" si="11"/>
        <v/>
      </c>
    </row>
    <row r="758" spans="3:3" x14ac:dyDescent="0.25">
      <c r="C758" t="str">
        <f t="shared" si="11"/>
        <v/>
      </c>
    </row>
    <row r="759" spans="3:3" x14ac:dyDescent="0.25">
      <c r="C759" t="str">
        <f t="shared" si="11"/>
        <v/>
      </c>
    </row>
    <row r="760" spans="3:3" x14ac:dyDescent="0.25">
      <c r="C760" t="str">
        <f t="shared" si="11"/>
        <v/>
      </c>
    </row>
    <row r="761" spans="3:3" x14ac:dyDescent="0.25">
      <c r="C761" t="str">
        <f t="shared" si="11"/>
        <v/>
      </c>
    </row>
    <row r="762" spans="3:3" x14ac:dyDescent="0.25">
      <c r="C762" t="str">
        <f t="shared" si="11"/>
        <v/>
      </c>
    </row>
    <row r="763" spans="3:3" x14ac:dyDescent="0.25">
      <c r="C763" t="str">
        <f t="shared" si="11"/>
        <v/>
      </c>
    </row>
    <row r="764" spans="3:3" x14ac:dyDescent="0.25">
      <c r="C764" t="str">
        <f t="shared" si="11"/>
        <v/>
      </c>
    </row>
    <row r="765" spans="3:3" x14ac:dyDescent="0.25">
      <c r="C765" t="str">
        <f t="shared" si="11"/>
        <v/>
      </c>
    </row>
    <row r="766" spans="3:3" x14ac:dyDescent="0.25">
      <c r="C766" t="str">
        <f t="shared" si="11"/>
        <v/>
      </c>
    </row>
    <row r="767" spans="3:3" x14ac:dyDescent="0.25">
      <c r="C767" t="str">
        <f t="shared" si="11"/>
        <v/>
      </c>
    </row>
    <row r="768" spans="3:3" x14ac:dyDescent="0.25">
      <c r="C768" t="str">
        <f t="shared" si="11"/>
        <v/>
      </c>
    </row>
    <row r="769" spans="3:3" x14ac:dyDescent="0.25">
      <c r="C769" t="str">
        <f t="shared" si="11"/>
        <v/>
      </c>
    </row>
    <row r="770" spans="3:3" x14ac:dyDescent="0.25">
      <c r="C770" t="str">
        <f t="shared" si="11"/>
        <v/>
      </c>
    </row>
    <row r="771" spans="3:3" x14ac:dyDescent="0.25">
      <c r="C771" t="str">
        <f t="shared" ref="C771:C834" si="12">IF(TRIM(A771)="","",IF(ISNUMBER(VALUE(TRIM(A771))),TEXT(VALUE(TRIM(A771)),"0"),TRIM(A771)))</f>
        <v/>
      </c>
    </row>
    <row r="772" spans="3:3" x14ac:dyDescent="0.25">
      <c r="C772" t="str">
        <f t="shared" si="12"/>
        <v/>
      </c>
    </row>
    <row r="773" spans="3:3" x14ac:dyDescent="0.25">
      <c r="C773" t="str">
        <f t="shared" si="12"/>
        <v/>
      </c>
    </row>
    <row r="774" spans="3:3" x14ac:dyDescent="0.25">
      <c r="C774" t="str">
        <f t="shared" si="12"/>
        <v/>
      </c>
    </row>
    <row r="775" spans="3:3" x14ac:dyDescent="0.25">
      <c r="C775" t="str">
        <f t="shared" si="12"/>
        <v/>
      </c>
    </row>
    <row r="776" spans="3:3" x14ac:dyDescent="0.25">
      <c r="C776" t="str">
        <f t="shared" si="12"/>
        <v/>
      </c>
    </row>
    <row r="777" spans="3:3" x14ac:dyDescent="0.25">
      <c r="C777" t="str">
        <f t="shared" si="12"/>
        <v/>
      </c>
    </row>
    <row r="778" spans="3:3" x14ac:dyDescent="0.25">
      <c r="C778" t="str">
        <f t="shared" si="12"/>
        <v/>
      </c>
    </row>
    <row r="779" spans="3:3" x14ac:dyDescent="0.25">
      <c r="C779" t="str">
        <f t="shared" si="12"/>
        <v/>
      </c>
    </row>
    <row r="780" spans="3:3" x14ac:dyDescent="0.25">
      <c r="C780" t="str">
        <f t="shared" si="12"/>
        <v/>
      </c>
    </row>
    <row r="781" spans="3:3" x14ac:dyDescent="0.25">
      <c r="C781" t="str">
        <f t="shared" si="12"/>
        <v/>
      </c>
    </row>
    <row r="782" spans="3:3" x14ac:dyDescent="0.25">
      <c r="C782" t="str">
        <f t="shared" si="12"/>
        <v/>
      </c>
    </row>
    <row r="783" spans="3:3" x14ac:dyDescent="0.25">
      <c r="C783" t="str">
        <f t="shared" si="12"/>
        <v/>
      </c>
    </row>
    <row r="784" spans="3:3" x14ac:dyDescent="0.25">
      <c r="C784" t="str">
        <f t="shared" si="12"/>
        <v/>
      </c>
    </row>
    <row r="785" spans="3:3" x14ac:dyDescent="0.25">
      <c r="C785" t="str">
        <f t="shared" si="12"/>
        <v/>
      </c>
    </row>
    <row r="786" spans="3:3" x14ac:dyDescent="0.25">
      <c r="C786" t="str">
        <f t="shared" si="12"/>
        <v/>
      </c>
    </row>
    <row r="787" spans="3:3" x14ac:dyDescent="0.25">
      <c r="C787" t="str">
        <f t="shared" si="12"/>
        <v/>
      </c>
    </row>
    <row r="788" spans="3:3" x14ac:dyDescent="0.25">
      <c r="C788" t="str">
        <f t="shared" si="12"/>
        <v/>
      </c>
    </row>
    <row r="789" spans="3:3" x14ac:dyDescent="0.25">
      <c r="C789" t="str">
        <f t="shared" si="12"/>
        <v/>
      </c>
    </row>
    <row r="790" spans="3:3" x14ac:dyDescent="0.25">
      <c r="C790" t="str">
        <f t="shared" si="12"/>
        <v/>
      </c>
    </row>
    <row r="791" spans="3:3" x14ac:dyDescent="0.25">
      <c r="C791" t="str">
        <f t="shared" si="12"/>
        <v/>
      </c>
    </row>
    <row r="792" spans="3:3" x14ac:dyDescent="0.25">
      <c r="C792" t="str">
        <f t="shared" si="12"/>
        <v/>
      </c>
    </row>
    <row r="793" spans="3:3" x14ac:dyDescent="0.25">
      <c r="C793" t="str">
        <f t="shared" si="12"/>
        <v/>
      </c>
    </row>
    <row r="794" spans="3:3" x14ac:dyDescent="0.25">
      <c r="C794" t="str">
        <f t="shared" si="12"/>
        <v/>
      </c>
    </row>
    <row r="795" spans="3:3" x14ac:dyDescent="0.25">
      <c r="C795" t="str">
        <f t="shared" si="12"/>
        <v/>
      </c>
    </row>
    <row r="796" spans="3:3" x14ac:dyDescent="0.25">
      <c r="C796" t="str">
        <f t="shared" si="12"/>
        <v/>
      </c>
    </row>
    <row r="797" spans="3:3" x14ac:dyDescent="0.25">
      <c r="C797" t="str">
        <f t="shared" si="12"/>
        <v/>
      </c>
    </row>
    <row r="798" spans="3:3" x14ac:dyDescent="0.25">
      <c r="C798" t="str">
        <f t="shared" si="12"/>
        <v/>
      </c>
    </row>
    <row r="799" spans="3:3" x14ac:dyDescent="0.25">
      <c r="C799" t="str">
        <f t="shared" si="12"/>
        <v/>
      </c>
    </row>
    <row r="800" spans="3:3" x14ac:dyDescent="0.25">
      <c r="C800" t="str">
        <f t="shared" si="12"/>
        <v/>
      </c>
    </row>
    <row r="801" spans="3:3" x14ac:dyDescent="0.25">
      <c r="C801" t="str">
        <f t="shared" si="12"/>
        <v/>
      </c>
    </row>
    <row r="802" spans="3:3" x14ac:dyDescent="0.25">
      <c r="C802" t="str">
        <f t="shared" si="12"/>
        <v/>
      </c>
    </row>
    <row r="803" spans="3:3" x14ac:dyDescent="0.25">
      <c r="C803" t="str">
        <f t="shared" si="12"/>
        <v/>
      </c>
    </row>
    <row r="804" spans="3:3" x14ac:dyDescent="0.25">
      <c r="C804" t="str">
        <f t="shared" si="12"/>
        <v/>
      </c>
    </row>
    <row r="805" spans="3:3" x14ac:dyDescent="0.25">
      <c r="C805" t="str">
        <f t="shared" si="12"/>
        <v/>
      </c>
    </row>
    <row r="806" spans="3:3" x14ac:dyDescent="0.25">
      <c r="C806" t="str">
        <f t="shared" si="12"/>
        <v/>
      </c>
    </row>
    <row r="807" spans="3:3" x14ac:dyDescent="0.25">
      <c r="C807" t="str">
        <f t="shared" si="12"/>
        <v/>
      </c>
    </row>
    <row r="808" spans="3:3" x14ac:dyDescent="0.25">
      <c r="C808" t="str">
        <f t="shared" si="12"/>
        <v/>
      </c>
    </row>
    <row r="809" spans="3:3" x14ac:dyDescent="0.25">
      <c r="C809" t="str">
        <f t="shared" si="12"/>
        <v/>
      </c>
    </row>
    <row r="810" spans="3:3" x14ac:dyDescent="0.25">
      <c r="C810" t="str">
        <f t="shared" si="12"/>
        <v/>
      </c>
    </row>
    <row r="811" spans="3:3" x14ac:dyDescent="0.25">
      <c r="C811" t="str">
        <f t="shared" si="12"/>
        <v/>
      </c>
    </row>
    <row r="812" spans="3:3" x14ac:dyDescent="0.25">
      <c r="C812" t="str">
        <f t="shared" si="12"/>
        <v/>
      </c>
    </row>
    <row r="813" spans="3:3" x14ac:dyDescent="0.25">
      <c r="C813" t="str">
        <f t="shared" si="12"/>
        <v/>
      </c>
    </row>
    <row r="814" spans="3:3" x14ac:dyDescent="0.25">
      <c r="C814" t="str">
        <f t="shared" si="12"/>
        <v/>
      </c>
    </row>
    <row r="815" spans="3:3" x14ac:dyDescent="0.25">
      <c r="C815" t="str">
        <f t="shared" si="12"/>
        <v/>
      </c>
    </row>
    <row r="816" spans="3:3" x14ac:dyDescent="0.25">
      <c r="C816" t="str">
        <f t="shared" si="12"/>
        <v/>
      </c>
    </row>
    <row r="817" spans="3:3" x14ac:dyDescent="0.25">
      <c r="C817" t="str">
        <f t="shared" si="12"/>
        <v/>
      </c>
    </row>
    <row r="818" spans="3:3" x14ac:dyDescent="0.25">
      <c r="C818" t="str">
        <f t="shared" si="12"/>
        <v/>
      </c>
    </row>
    <row r="819" spans="3:3" x14ac:dyDescent="0.25">
      <c r="C819" t="str">
        <f t="shared" si="12"/>
        <v/>
      </c>
    </row>
    <row r="820" spans="3:3" x14ac:dyDescent="0.25">
      <c r="C820" t="str">
        <f t="shared" si="12"/>
        <v/>
      </c>
    </row>
    <row r="821" spans="3:3" x14ac:dyDescent="0.25">
      <c r="C821" t="str">
        <f t="shared" si="12"/>
        <v/>
      </c>
    </row>
    <row r="822" spans="3:3" x14ac:dyDescent="0.25">
      <c r="C822" t="str">
        <f t="shared" si="12"/>
        <v/>
      </c>
    </row>
    <row r="823" spans="3:3" x14ac:dyDescent="0.25">
      <c r="C823" t="str">
        <f t="shared" si="12"/>
        <v/>
      </c>
    </row>
    <row r="824" spans="3:3" x14ac:dyDescent="0.25">
      <c r="C824" t="str">
        <f t="shared" si="12"/>
        <v/>
      </c>
    </row>
    <row r="825" spans="3:3" x14ac:dyDescent="0.25">
      <c r="C825" t="str">
        <f t="shared" si="12"/>
        <v/>
      </c>
    </row>
    <row r="826" spans="3:3" x14ac:dyDescent="0.25">
      <c r="C826" t="str">
        <f t="shared" si="12"/>
        <v/>
      </c>
    </row>
    <row r="827" spans="3:3" x14ac:dyDescent="0.25">
      <c r="C827" t="str">
        <f t="shared" si="12"/>
        <v/>
      </c>
    </row>
    <row r="828" spans="3:3" x14ac:dyDescent="0.25">
      <c r="C828" t="str">
        <f t="shared" si="12"/>
        <v/>
      </c>
    </row>
    <row r="829" spans="3:3" x14ac:dyDescent="0.25">
      <c r="C829" t="str">
        <f t="shared" si="12"/>
        <v/>
      </c>
    </row>
    <row r="830" spans="3:3" x14ac:dyDescent="0.25">
      <c r="C830" t="str">
        <f t="shared" si="12"/>
        <v/>
      </c>
    </row>
    <row r="831" spans="3:3" x14ac:dyDescent="0.25">
      <c r="C831" t="str">
        <f t="shared" si="12"/>
        <v/>
      </c>
    </row>
    <row r="832" spans="3:3" x14ac:dyDescent="0.25">
      <c r="C832" t="str">
        <f t="shared" si="12"/>
        <v/>
      </c>
    </row>
    <row r="833" spans="3:3" x14ac:dyDescent="0.25">
      <c r="C833" t="str">
        <f t="shared" si="12"/>
        <v/>
      </c>
    </row>
    <row r="834" spans="3:3" x14ac:dyDescent="0.25">
      <c r="C834" t="str">
        <f t="shared" si="12"/>
        <v/>
      </c>
    </row>
    <row r="835" spans="3:3" x14ac:dyDescent="0.25">
      <c r="C835" t="str">
        <f t="shared" ref="C835:C898" si="13">IF(TRIM(A835)="","",IF(ISNUMBER(VALUE(TRIM(A835))),TEXT(VALUE(TRIM(A835)),"0"),TRIM(A835)))</f>
        <v/>
      </c>
    </row>
    <row r="836" spans="3:3" x14ac:dyDescent="0.25">
      <c r="C836" t="str">
        <f t="shared" si="13"/>
        <v/>
      </c>
    </row>
    <row r="837" spans="3:3" x14ac:dyDescent="0.25">
      <c r="C837" t="str">
        <f t="shared" si="13"/>
        <v/>
      </c>
    </row>
    <row r="838" spans="3:3" x14ac:dyDescent="0.25">
      <c r="C838" t="str">
        <f t="shared" si="13"/>
        <v/>
      </c>
    </row>
    <row r="839" spans="3:3" x14ac:dyDescent="0.25">
      <c r="C839" t="str">
        <f t="shared" si="13"/>
        <v/>
      </c>
    </row>
    <row r="840" spans="3:3" x14ac:dyDescent="0.25">
      <c r="C840" t="str">
        <f t="shared" si="13"/>
        <v/>
      </c>
    </row>
    <row r="841" spans="3:3" x14ac:dyDescent="0.25">
      <c r="C841" t="str">
        <f t="shared" si="13"/>
        <v/>
      </c>
    </row>
    <row r="842" spans="3:3" x14ac:dyDescent="0.25">
      <c r="C842" t="str">
        <f t="shared" si="13"/>
        <v/>
      </c>
    </row>
    <row r="843" spans="3:3" x14ac:dyDescent="0.25">
      <c r="C843" t="str">
        <f t="shared" si="13"/>
        <v/>
      </c>
    </row>
    <row r="844" spans="3:3" x14ac:dyDescent="0.25">
      <c r="C844" t="str">
        <f t="shared" si="13"/>
        <v/>
      </c>
    </row>
    <row r="845" spans="3:3" x14ac:dyDescent="0.25">
      <c r="C845" t="str">
        <f t="shared" si="13"/>
        <v/>
      </c>
    </row>
    <row r="846" spans="3:3" x14ac:dyDescent="0.25">
      <c r="C846" t="str">
        <f t="shared" si="13"/>
        <v/>
      </c>
    </row>
    <row r="847" spans="3:3" x14ac:dyDescent="0.25">
      <c r="C847" t="str">
        <f t="shared" si="13"/>
        <v/>
      </c>
    </row>
    <row r="848" spans="3:3" x14ac:dyDescent="0.25">
      <c r="C848" t="str">
        <f t="shared" si="13"/>
        <v/>
      </c>
    </row>
    <row r="849" spans="3:3" x14ac:dyDescent="0.25">
      <c r="C849" t="str">
        <f t="shared" si="13"/>
        <v/>
      </c>
    </row>
    <row r="850" spans="3:3" x14ac:dyDescent="0.25">
      <c r="C850" t="str">
        <f t="shared" si="13"/>
        <v/>
      </c>
    </row>
    <row r="851" spans="3:3" x14ac:dyDescent="0.25">
      <c r="C851" t="str">
        <f t="shared" si="13"/>
        <v/>
      </c>
    </row>
    <row r="852" spans="3:3" x14ac:dyDescent="0.25">
      <c r="C852" t="str">
        <f t="shared" si="13"/>
        <v/>
      </c>
    </row>
    <row r="853" spans="3:3" x14ac:dyDescent="0.25">
      <c r="C853" t="str">
        <f t="shared" si="13"/>
        <v/>
      </c>
    </row>
    <row r="854" spans="3:3" x14ac:dyDescent="0.25">
      <c r="C854" t="str">
        <f t="shared" si="13"/>
        <v/>
      </c>
    </row>
    <row r="855" spans="3:3" x14ac:dyDescent="0.25">
      <c r="C855" t="str">
        <f t="shared" si="13"/>
        <v/>
      </c>
    </row>
    <row r="856" spans="3:3" x14ac:dyDescent="0.25">
      <c r="C856" t="str">
        <f t="shared" si="13"/>
        <v/>
      </c>
    </row>
    <row r="857" spans="3:3" x14ac:dyDescent="0.25">
      <c r="C857" t="str">
        <f t="shared" si="13"/>
        <v/>
      </c>
    </row>
    <row r="858" spans="3:3" x14ac:dyDescent="0.25">
      <c r="C858" t="str">
        <f t="shared" si="13"/>
        <v/>
      </c>
    </row>
    <row r="859" spans="3:3" x14ac:dyDescent="0.25">
      <c r="C859" t="str">
        <f t="shared" si="13"/>
        <v/>
      </c>
    </row>
    <row r="860" spans="3:3" x14ac:dyDescent="0.25">
      <c r="C860" t="str">
        <f t="shared" si="13"/>
        <v/>
      </c>
    </row>
    <row r="861" spans="3:3" x14ac:dyDescent="0.25">
      <c r="C861" t="str">
        <f t="shared" si="13"/>
        <v/>
      </c>
    </row>
    <row r="862" spans="3:3" x14ac:dyDescent="0.25">
      <c r="C862" t="str">
        <f t="shared" si="13"/>
        <v/>
      </c>
    </row>
    <row r="863" spans="3:3" x14ac:dyDescent="0.25">
      <c r="C863" t="str">
        <f t="shared" si="13"/>
        <v/>
      </c>
    </row>
    <row r="864" spans="3:3" x14ac:dyDescent="0.25">
      <c r="C864" t="str">
        <f t="shared" si="13"/>
        <v/>
      </c>
    </row>
    <row r="865" spans="3:3" x14ac:dyDescent="0.25">
      <c r="C865" t="str">
        <f t="shared" si="13"/>
        <v/>
      </c>
    </row>
    <row r="866" spans="3:3" x14ac:dyDescent="0.25">
      <c r="C866" t="str">
        <f t="shared" si="13"/>
        <v/>
      </c>
    </row>
    <row r="867" spans="3:3" x14ac:dyDescent="0.25">
      <c r="C867" t="str">
        <f t="shared" si="13"/>
        <v/>
      </c>
    </row>
    <row r="868" spans="3:3" x14ac:dyDescent="0.25">
      <c r="C868" t="str">
        <f t="shared" si="13"/>
        <v/>
      </c>
    </row>
    <row r="869" spans="3:3" x14ac:dyDescent="0.25">
      <c r="C869" t="str">
        <f t="shared" si="13"/>
        <v/>
      </c>
    </row>
    <row r="870" spans="3:3" x14ac:dyDescent="0.25">
      <c r="C870" t="str">
        <f t="shared" si="13"/>
        <v/>
      </c>
    </row>
    <row r="871" spans="3:3" x14ac:dyDescent="0.25">
      <c r="C871" t="str">
        <f t="shared" si="13"/>
        <v/>
      </c>
    </row>
    <row r="872" spans="3:3" x14ac:dyDescent="0.25">
      <c r="C872" t="str">
        <f t="shared" si="13"/>
        <v/>
      </c>
    </row>
    <row r="873" spans="3:3" x14ac:dyDescent="0.25">
      <c r="C873" t="str">
        <f t="shared" si="13"/>
        <v/>
      </c>
    </row>
    <row r="874" spans="3:3" x14ac:dyDescent="0.25">
      <c r="C874" t="str">
        <f t="shared" si="13"/>
        <v/>
      </c>
    </row>
    <row r="875" spans="3:3" x14ac:dyDescent="0.25">
      <c r="C875" t="str">
        <f t="shared" si="13"/>
        <v/>
      </c>
    </row>
    <row r="876" spans="3:3" x14ac:dyDescent="0.25">
      <c r="C876" t="str">
        <f t="shared" si="13"/>
        <v/>
      </c>
    </row>
    <row r="877" spans="3:3" x14ac:dyDescent="0.25">
      <c r="C877" t="str">
        <f t="shared" si="13"/>
        <v/>
      </c>
    </row>
    <row r="878" spans="3:3" x14ac:dyDescent="0.25">
      <c r="C878" t="str">
        <f t="shared" si="13"/>
        <v/>
      </c>
    </row>
    <row r="879" spans="3:3" x14ac:dyDescent="0.25">
      <c r="C879" t="str">
        <f t="shared" si="13"/>
        <v/>
      </c>
    </row>
    <row r="880" spans="3:3" x14ac:dyDescent="0.25">
      <c r="C880" t="str">
        <f t="shared" si="13"/>
        <v/>
      </c>
    </row>
    <row r="881" spans="3:3" x14ac:dyDescent="0.25">
      <c r="C881" t="str">
        <f t="shared" si="13"/>
        <v/>
      </c>
    </row>
    <row r="882" spans="3:3" x14ac:dyDescent="0.25">
      <c r="C882" t="str">
        <f t="shared" si="13"/>
        <v/>
      </c>
    </row>
    <row r="883" spans="3:3" x14ac:dyDescent="0.25">
      <c r="C883" t="str">
        <f t="shared" si="13"/>
        <v/>
      </c>
    </row>
    <row r="884" spans="3:3" x14ac:dyDescent="0.25">
      <c r="C884" t="str">
        <f t="shared" si="13"/>
        <v/>
      </c>
    </row>
    <row r="885" spans="3:3" x14ac:dyDescent="0.25">
      <c r="C885" t="str">
        <f t="shared" si="13"/>
        <v/>
      </c>
    </row>
    <row r="886" spans="3:3" x14ac:dyDescent="0.25">
      <c r="C886" t="str">
        <f t="shared" si="13"/>
        <v/>
      </c>
    </row>
    <row r="887" spans="3:3" x14ac:dyDescent="0.25">
      <c r="C887" t="str">
        <f t="shared" si="13"/>
        <v/>
      </c>
    </row>
    <row r="888" spans="3:3" x14ac:dyDescent="0.25">
      <c r="C888" t="str">
        <f t="shared" si="13"/>
        <v/>
      </c>
    </row>
    <row r="889" spans="3:3" x14ac:dyDescent="0.25">
      <c r="C889" t="str">
        <f t="shared" si="13"/>
        <v/>
      </c>
    </row>
    <row r="890" spans="3:3" x14ac:dyDescent="0.25">
      <c r="C890" t="str">
        <f t="shared" si="13"/>
        <v/>
      </c>
    </row>
    <row r="891" spans="3:3" x14ac:dyDescent="0.25">
      <c r="C891" t="str">
        <f t="shared" si="13"/>
        <v/>
      </c>
    </row>
    <row r="892" spans="3:3" x14ac:dyDescent="0.25">
      <c r="C892" t="str">
        <f t="shared" si="13"/>
        <v/>
      </c>
    </row>
    <row r="893" spans="3:3" x14ac:dyDescent="0.25">
      <c r="C893" t="str">
        <f t="shared" si="13"/>
        <v/>
      </c>
    </row>
    <row r="894" spans="3:3" x14ac:dyDescent="0.25">
      <c r="C894" t="str">
        <f t="shared" si="13"/>
        <v/>
      </c>
    </row>
    <row r="895" spans="3:3" x14ac:dyDescent="0.25">
      <c r="C895" t="str">
        <f t="shared" si="13"/>
        <v/>
      </c>
    </row>
    <row r="896" spans="3:3" x14ac:dyDescent="0.25">
      <c r="C896" t="str">
        <f t="shared" si="13"/>
        <v/>
      </c>
    </row>
    <row r="897" spans="3:3" x14ac:dyDescent="0.25">
      <c r="C897" t="str">
        <f t="shared" si="13"/>
        <v/>
      </c>
    </row>
    <row r="898" spans="3:3" x14ac:dyDescent="0.25">
      <c r="C898" t="str">
        <f t="shared" si="13"/>
        <v/>
      </c>
    </row>
    <row r="899" spans="3:3" x14ac:dyDescent="0.25">
      <c r="C899" t="str">
        <f t="shared" ref="C899:C962" si="14">IF(TRIM(A899)="","",IF(ISNUMBER(VALUE(TRIM(A899))),TEXT(VALUE(TRIM(A899)),"0"),TRIM(A899)))</f>
        <v/>
      </c>
    </row>
    <row r="900" spans="3:3" x14ac:dyDescent="0.25">
      <c r="C900" t="str">
        <f t="shared" si="14"/>
        <v/>
      </c>
    </row>
    <row r="901" spans="3:3" x14ac:dyDescent="0.25">
      <c r="C901" t="str">
        <f t="shared" si="14"/>
        <v/>
      </c>
    </row>
    <row r="902" spans="3:3" x14ac:dyDescent="0.25">
      <c r="C902" t="str">
        <f t="shared" si="14"/>
        <v/>
      </c>
    </row>
    <row r="903" spans="3:3" x14ac:dyDescent="0.25">
      <c r="C903" t="str">
        <f t="shared" si="14"/>
        <v/>
      </c>
    </row>
    <row r="904" spans="3:3" x14ac:dyDescent="0.25">
      <c r="C904" t="str">
        <f t="shared" si="14"/>
        <v/>
      </c>
    </row>
    <row r="905" spans="3:3" x14ac:dyDescent="0.25">
      <c r="C905" t="str">
        <f t="shared" si="14"/>
        <v/>
      </c>
    </row>
    <row r="906" spans="3:3" x14ac:dyDescent="0.25">
      <c r="C906" t="str">
        <f t="shared" si="14"/>
        <v/>
      </c>
    </row>
    <row r="907" spans="3:3" x14ac:dyDescent="0.25">
      <c r="C907" t="str">
        <f t="shared" si="14"/>
        <v/>
      </c>
    </row>
    <row r="908" spans="3:3" x14ac:dyDescent="0.25">
      <c r="C908" t="str">
        <f t="shared" si="14"/>
        <v/>
      </c>
    </row>
    <row r="909" spans="3:3" x14ac:dyDescent="0.25">
      <c r="C909" t="str">
        <f t="shared" si="14"/>
        <v/>
      </c>
    </row>
    <row r="910" spans="3:3" x14ac:dyDescent="0.25">
      <c r="C910" t="str">
        <f t="shared" si="14"/>
        <v/>
      </c>
    </row>
    <row r="911" spans="3:3" x14ac:dyDescent="0.25">
      <c r="C911" t="str">
        <f t="shared" si="14"/>
        <v/>
      </c>
    </row>
    <row r="912" spans="3:3" x14ac:dyDescent="0.25">
      <c r="C912" t="str">
        <f t="shared" si="14"/>
        <v/>
      </c>
    </row>
    <row r="913" spans="3:3" x14ac:dyDescent="0.25">
      <c r="C913" t="str">
        <f t="shared" si="14"/>
        <v/>
      </c>
    </row>
    <row r="914" spans="3:3" x14ac:dyDescent="0.25">
      <c r="C914" t="str">
        <f t="shared" si="14"/>
        <v/>
      </c>
    </row>
    <row r="915" spans="3:3" x14ac:dyDescent="0.25">
      <c r="C915" t="str">
        <f t="shared" si="14"/>
        <v/>
      </c>
    </row>
    <row r="916" spans="3:3" x14ac:dyDescent="0.25">
      <c r="C916" t="str">
        <f t="shared" si="14"/>
        <v/>
      </c>
    </row>
    <row r="917" spans="3:3" x14ac:dyDescent="0.25">
      <c r="C917" t="str">
        <f t="shared" si="14"/>
        <v/>
      </c>
    </row>
    <row r="918" spans="3:3" x14ac:dyDescent="0.25">
      <c r="C918" t="str">
        <f t="shared" si="14"/>
        <v/>
      </c>
    </row>
    <row r="919" spans="3:3" x14ac:dyDescent="0.25">
      <c r="C919" t="str">
        <f t="shared" si="14"/>
        <v/>
      </c>
    </row>
    <row r="920" spans="3:3" x14ac:dyDescent="0.25">
      <c r="C920" t="str">
        <f t="shared" si="14"/>
        <v/>
      </c>
    </row>
    <row r="921" spans="3:3" x14ac:dyDescent="0.25">
      <c r="C921" t="str">
        <f t="shared" si="14"/>
        <v/>
      </c>
    </row>
    <row r="922" spans="3:3" x14ac:dyDescent="0.25">
      <c r="C922" t="str">
        <f t="shared" si="14"/>
        <v/>
      </c>
    </row>
    <row r="923" spans="3:3" x14ac:dyDescent="0.25">
      <c r="C923" t="str">
        <f t="shared" si="14"/>
        <v/>
      </c>
    </row>
    <row r="924" spans="3:3" x14ac:dyDescent="0.25">
      <c r="C924" t="str">
        <f t="shared" si="14"/>
        <v/>
      </c>
    </row>
    <row r="925" spans="3:3" x14ac:dyDescent="0.25">
      <c r="C925" t="str">
        <f t="shared" si="14"/>
        <v/>
      </c>
    </row>
    <row r="926" spans="3:3" x14ac:dyDescent="0.25">
      <c r="C926" t="str">
        <f t="shared" si="14"/>
        <v/>
      </c>
    </row>
    <row r="927" spans="3:3" x14ac:dyDescent="0.25">
      <c r="C927" t="str">
        <f t="shared" si="14"/>
        <v/>
      </c>
    </row>
    <row r="928" spans="3:3" x14ac:dyDescent="0.25">
      <c r="C928" t="str">
        <f t="shared" si="14"/>
        <v/>
      </c>
    </row>
    <row r="929" spans="3:3" x14ac:dyDescent="0.25">
      <c r="C929" t="str">
        <f t="shared" si="14"/>
        <v/>
      </c>
    </row>
    <row r="930" spans="3:3" x14ac:dyDescent="0.25">
      <c r="C930" t="str">
        <f t="shared" si="14"/>
        <v/>
      </c>
    </row>
    <row r="931" spans="3:3" x14ac:dyDescent="0.25">
      <c r="C931" t="str">
        <f t="shared" si="14"/>
        <v/>
      </c>
    </row>
    <row r="932" spans="3:3" x14ac:dyDescent="0.25">
      <c r="C932" t="str">
        <f t="shared" si="14"/>
        <v/>
      </c>
    </row>
    <row r="933" spans="3:3" x14ac:dyDescent="0.25">
      <c r="C933" t="str">
        <f t="shared" si="14"/>
        <v/>
      </c>
    </row>
    <row r="934" spans="3:3" x14ac:dyDescent="0.25">
      <c r="C934" t="str">
        <f t="shared" si="14"/>
        <v/>
      </c>
    </row>
    <row r="935" spans="3:3" x14ac:dyDescent="0.25">
      <c r="C935" t="str">
        <f t="shared" si="14"/>
        <v/>
      </c>
    </row>
    <row r="936" spans="3:3" x14ac:dyDescent="0.25">
      <c r="C936" t="str">
        <f t="shared" si="14"/>
        <v/>
      </c>
    </row>
    <row r="937" spans="3:3" x14ac:dyDescent="0.25">
      <c r="C937" t="str">
        <f t="shared" si="14"/>
        <v/>
      </c>
    </row>
    <row r="938" spans="3:3" x14ac:dyDescent="0.25">
      <c r="C938" t="str">
        <f t="shared" si="14"/>
        <v/>
      </c>
    </row>
    <row r="939" spans="3:3" x14ac:dyDescent="0.25">
      <c r="C939" t="str">
        <f t="shared" si="14"/>
        <v/>
      </c>
    </row>
    <row r="940" spans="3:3" x14ac:dyDescent="0.25">
      <c r="C940" t="str">
        <f t="shared" si="14"/>
        <v/>
      </c>
    </row>
    <row r="941" spans="3:3" x14ac:dyDescent="0.25">
      <c r="C941" t="str">
        <f t="shared" si="14"/>
        <v/>
      </c>
    </row>
    <row r="942" spans="3:3" x14ac:dyDescent="0.25">
      <c r="C942" t="str">
        <f t="shared" si="14"/>
        <v/>
      </c>
    </row>
    <row r="943" spans="3:3" x14ac:dyDescent="0.25">
      <c r="C943" t="str">
        <f t="shared" si="14"/>
        <v/>
      </c>
    </row>
    <row r="944" spans="3:3" x14ac:dyDescent="0.25">
      <c r="C944" t="str">
        <f t="shared" si="14"/>
        <v/>
      </c>
    </row>
    <row r="945" spans="3:3" x14ac:dyDescent="0.25">
      <c r="C945" t="str">
        <f t="shared" si="14"/>
        <v/>
      </c>
    </row>
    <row r="946" spans="3:3" x14ac:dyDescent="0.25">
      <c r="C946" t="str">
        <f t="shared" si="14"/>
        <v/>
      </c>
    </row>
    <row r="947" spans="3:3" x14ac:dyDescent="0.25">
      <c r="C947" t="str">
        <f t="shared" si="14"/>
        <v/>
      </c>
    </row>
    <row r="948" spans="3:3" x14ac:dyDescent="0.25">
      <c r="C948" t="str">
        <f t="shared" si="14"/>
        <v/>
      </c>
    </row>
    <row r="949" spans="3:3" x14ac:dyDescent="0.25">
      <c r="C949" t="str">
        <f t="shared" si="14"/>
        <v/>
      </c>
    </row>
    <row r="950" spans="3:3" x14ac:dyDescent="0.25">
      <c r="C950" t="str">
        <f t="shared" si="14"/>
        <v/>
      </c>
    </row>
    <row r="951" spans="3:3" x14ac:dyDescent="0.25">
      <c r="C951" t="str">
        <f t="shared" si="14"/>
        <v/>
      </c>
    </row>
    <row r="952" spans="3:3" x14ac:dyDescent="0.25">
      <c r="C952" t="str">
        <f t="shared" si="14"/>
        <v/>
      </c>
    </row>
    <row r="953" spans="3:3" x14ac:dyDescent="0.25">
      <c r="C953" t="str">
        <f t="shared" si="14"/>
        <v/>
      </c>
    </row>
    <row r="954" spans="3:3" x14ac:dyDescent="0.25">
      <c r="C954" t="str">
        <f t="shared" si="14"/>
        <v/>
      </c>
    </row>
    <row r="955" spans="3:3" x14ac:dyDescent="0.25">
      <c r="C955" t="str">
        <f t="shared" si="14"/>
        <v/>
      </c>
    </row>
    <row r="956" spans="3:3" x14ac:dyDescent="0.25">
      <c r="C956" t="str">
        <f t="shared" si="14"/>
        <v/>
      </c>
    </row>
    <row r="957" spans="3:3" x14ac:dyDescent="0.25">
      <c r="C957" t="str">
        <f t="shared" si="14"/>
        <v/>
      </c>
    </row>
    <row r="958" spans="3:3" x14ac:dyDescent="0.25">
      <c r="C958" t="str">
        <f t="shared" si="14"/>
        <v/>
      </c>
    </row>
    <row r="959" spans="3:3" x14ac:dyDescent="0.25">
      <c r="C959" t="str">
        <f t="shared" si="14"/>
        <v/>
      </c>
    </row>
    <row r="960" spans="3:3" x14ac:dyDescent="0.25">
      <c r="C960" t="str">
        <f t="shared" si="14"/>
        <v/>
      </c>
    </row>
    <row r="961" spans="3:3" x14ac:dyDescent="0.25">
      <c r="C961" t="str">
        <f t="shared" si="14"/>
        <v/>
      </c>
    </row>
    <row r="962" spans="3:3" x14ac:dyDescent="0.25">
      <c r="C962" t="str">
        <f t="shared" si="14"/>
        <v/>
      </c>
    </row>
    <row r="963" spans="3:3" x14ac:dyDescent="0.25">
      <c r="C963" t="str">
        <f t="shared" ref="C963:C1000" si="15">IF(TRIM(A963)="","",IF(ISNUMBER(VALUE(TRIM(A963))),TEXT(VALUE(TRIM(A963)),"0"),TRIM(A963)))</f>
        <v/>
      </c>
    </row>
    <row r="964" spans="3:3" x14ac:dyDescent="0.25">
      <c r="C964" t="str">
        <f t="shared" si="15"/>
        <v/>
      </c>
    </row>
    <row r="965" spans="3:3" x14ac:dyDescent="0.25">
      <c r="C965" t="str">
        <f t="shared" si="15"/>
        <v/>
      </c>
    </row>
    <row r="966" spans="3:3" x14ac:dyDescent="0.25">
      <c r="C966" t="str">
        <f t="shared" si="15"/>
        <v/>
      </c>
    </row>
    <row r="967" spans="3:3" x14ac:dyDescent="0.25">
      <c r="C967" t="str">
        <f t="shared" si="15"/>
        <v/>
      </c>
    </row>
    <row r="968" spans="3:3" x14ac:dyDescent="0.25">
      <c r="C968" t="str">
        <f t="shared" si="15"/>
        <v/>
      </c>
    </row>
    <row r="969" spans="3:3" x14ac:dyDescent="0.25">
      <c r="C969" t="str">
        <f t="shared" si="15"/>
        <v/>
      </c>
    </row>
    <row r="970" spans="3:3" x14ac:dyDescent="0.25">
      <c r="C970" t="str">
        <f t="shared" si="15"/>
        <v/>
      </c>
    </row>
    <row r="971" spans="3:3" x14ac:dyDescent="0.25">
      <c r="C971" t="str">
        <f t="shared" si="15"/>
        <v/>
      </c>
    </row>
    <row r="972" spans="3:3" x14ac:dyDescent="0.25">
      <c r="C972" t="str">
        <f t="shared" si="15"/>
        <v/>
      </c>
    </row>
    <row r="973" spans="3:3" x14ac:dyDescent="0.25">
      <c r="C973" t="str">
        <f t="shared" si="15"/>
        <v/>
      </c>
    </row>
    <row r="974" spans="3:3" x14ac:dyDescent="0.25">
      <c r="C974" t="str">
        <f t="shared" si="15"/>
        <v/>
      </c>
    </row>
    <row r="975" spans="3:3" x14ac:dyDescent="0.25">
      <c r="C975" t="str">
        <f t="shared" si="15"/>
        <v/>
      </c>
    </row>
    <row r="976" spans="3:3" x14ac:dyDescent="0.25">
      <c r="C976" t="str">
        <f t="shared" si="15"/>
        <v/>
      </c>
    </row>
    <row r="977" spans="3:3" x14ac:dyDescent="0.25">
      <c r="C977" t="str">
        <f t="shared" si="15"/>
        <v/>
      </c>
    </row>
    <row r="978" spans="3:3" x14ac:dyDescent="0.25">
      <c r="C978" t="str">
        <f t="shared" si="15"/>
        <v/>
      </c>
    </row>
    <row r="979" spans="3:3" x14ac:dyDescent="0.25">
      <c r="C979" t="str">
        <f t="shared" si="15"/>
        <v/>
      </c>
    </row>
    <row r="980" spans="3:3" x14ac:dyDescent="0.25">
      <c r="C980" t="str">
        <f t="shared" si="15"/>
        <v/>
      </c>
    </row>
    <row r="981" spans="3:3" x14ac:dyDescent="0.25">
      <c r="C981" t="str">
        <f t="shared" si="15"/>
        <v/>
      </c>
    </row>
    <row r="982" spans="3:3" x14ac:dyDescent="0.25">
      <c r="C982" t="str">
        <f t="shared" si="15"/>
        <v/>
      </c>
    </row>
    <row r="983" spans="3:3" x14ac:dyDescent="0.25">
      <c r="C983" t="str">
        <f t="shared" si="15"/>
        <v/>
      </c>
    </row>
    <row r="984" spans="3:3" x14ac:dyDescent="0.25">
      <c r="C984" t="str">
        <f t="shared" si="15"/>
        <v/>
      </c>
    </row>
    <row r="985" spans="3:3" x14ac:dyDescent="0.25">
      <c r="C985" t="str">
        <f t="shared" si="15"/>
        <v/>
      </c>
    </row>
    <row r="986" spans="3:3" x14ac:dyDescent="0.25">
      <c r="C986" t="str">
        <f t="shared" si="15"/>
        <v/>
      </c>
    </row>
    <row r="987" spans="3:3" x14ac:dyDescent="0.25">
      <c r="C987" t="str">
        <f t="shared" si="15"/>
        <v/>
      </c>
    </row>
    <row r="988" spans="3:3" x14ac:dyDescent="0.25">
      <c r="C988" t="str">
        <f t="shared" si="15"/>
        <v/>
      </c>
    </row>
    <row r="989" spans="3:3" x14ac:dyDescent="0.25">
      <c r="C989" t="str">
        <f t="shared" si="15"/>
        <v/>
      </c>
    </row>
    <row r="990" spans="3:3" x14ac:dyDescent="0.25">
      <c r="C990" t="str">
        <f t="shared" si="15"/>
        <v/>
      </c>
    </row>
    <row r="991" spans="3:3" x14ac:dyDescent="0.25">
      <c r="C991" t="str">
        <f t="shared" si="15"/>
        <v/>
      </c>
    </row>
    <row r="992" spans="3:3" x14ac:dyDescent="0.25">
      <c r="C992" t="str">
        <f t="shared" si="15"/>
        <v/>
      </c>
    </row>
    <row r="993" spans="3:3" x14ac:dyDescent="0.25">
      <c r="C993" t="str">
        <f t="shared" si="15"/>
        <v/>
      </c>
    </row>
    <row r="994" spans="3:3" x14ac:dyDescent="0.25">
      <c r="C994" t="str">
        <f t="shared" si="15"/>
        <v/>
      </c>
    </row>
    <row r="995" spans="3:3" x14ac:dyDescent="0.25">
      <c r="C995" t="str">
        <f t="shared" si="15"/>
        <v/>
      </c>
    </row>
    <row r="996" spans="3:3" x14ac:dyDescent="0.25">
      <c r="C996" t="str">
        <f t="shared" si="15"/>
        <v/>
      </c>
    </row>
    <row r="997" spans="3:3" x14ac:dyDescent="0.25">
      <c r="C997" t="str">
        <f t="shared" si="15"/>
        <v/>
      </c>
    </row>
    <row r="998" spans="3:3" x14ac:dyDescent="0.25">
      <c r="C998" t="str">
        <f t="shared" si="15"/>
        <v/>
      </c>
    </row>
    <row r="999" spans="3:3" x14ac:dyDescent="0.25">
      <c r="C999" t="str">
        <f t="shared" si="15"/>
        <v/>
      </c>
    </row>
    <row r="1000" spans="3:3" x14ac:dyDescent="0.25">
      <c r="C1000" t="str">
        <f t="shared" si="15"/>
        <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v>
      </c>
      <c r="C1" s="16" t="s">
        <v>993</v>
      </c>
      <c r="D1" s="37">
        <f>IF($B$1&lt;=الإعدادات!$B$6,DATE(الإعدادات!$B$3,الإعدادات!$B$4,$B$1),"")</f>
        <v>46174</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56</v>
      </c>
      <c r="B5" s="36" t="str">
        <f>IF(Y5="","",IFERROR(INDEX('قائمة الأصناف'!$B$3:$B$1000,MATCH(Y5,'قائمة الأصناف'!$C$3:$C$1000,0)),"⚠ كود غير معرف"))</f>
        <v>خوخ</v>
      </c>
      <c r="C5" s="42">
        <v>1480</v>
      </c>
      <c r="D5" s="43">
        <v>8.75</v>
      </c>
      <c r="E5" s="29">
        <f t="shared" ref="E5:E49" si="0">IF(OR(C5="",D5=""),"",C5*D5)</f>
        <v>12950</v>
      </c>
      <c r="F5" s="29">
        <f>IF(E5="","",E5*الإعدادات!$B$8)</f>
        <v>1942.5</v>
      </c>
      <c r="G5" s="29">
        <f t="shared" ref="G5:G49" si="1">IF(E5="","",E5+F5)</f>
        <v>14892.5</v>
      </c>
      <c r="H5" s="41" t="s">
        <v>56</v>
      </c>
      <c r="I5" s="36" t="str">
        <f>IF(Z5="","",IF(COUNTIF($Y$5:$Y$49,Z5)=0,"⚠ الصنف غير موجود في المبيعات",IFERROR(INDEX('قائمة الأصناف'!$B$3:$B$1000,MATCH(Z5,'قائمة الأصناف'!$C$3:$C$1000,0)),"⚠ كود غير معرف")))</f>
        <v>خوخ</v>
      </c>
      <c r="J5" s="27" t="str">
        <f t="shared" ref="J5:J49" si="2">IF(AND(Z5="",TRIM(K5)="",M5="",N5=""),"",IF(AND(Z5&lt;&gt;"",COUNTIF($Y$5:$Y$49,Z5)=0),"✗ حُذف من المبيعات — مستبعد من الحساب",IF(N5="","✗ لم تصل من المورد","✓ تم استلام الفاتورة")))</f>
        <v>✓ تم استلام الفاتورة</v>
      </c>
      <c r="K5" s="44" t="s">
        <v>1015</v>
      </c>
      <c r="L5" s="41"/>
      <c r="M5" s="42">
        <v>350</v>
      </c>
      <c r="N5" s="43">
        <v>30</v>
      </c>
      <c r="O5" s="29">
        <f t="shared" ref="O5:O49" si="3">IF(OR(M5="",N5=""),"",IF(COUNTIF($Y$5:$Y$49,Z5)=0,"",M5*N5))</f>
        <v>10500</v>
      </c>
      <c r="P5" s="29">
        <f>IF(O5="","",O5*الإعدادات!$B$8)</f>
        <v>1575</v>
      </c>
      <c r="Q5" s="29">
        <f t="shared" ref="Q5:Q49" si="4">IF(O5="","",O5+P5)</f>
        <v>12075</v>
      </c>
      <c r="R5" s="45">
        <f t="shared" ref="R5:R49" si="5">IF(Y5="","",SUMIFS($M$5:$M$49,$Z$5:$Z$49,Y5))</f>
        <v>350</v>
      </c>
      <c r="S5" s="45">
        <f t="shared" ref="S5:S49" si="6">IF(Y5="","",COUNTIFS($Z$5:$Z$49,Y5))</f>
        <v>1</v>
      </c>
      <c r="T5" s="29">
        <f t="shared" ref="T5:T49" si="7">IF(Y5="","",SUMIFS($O$5:$O$49,$Z$5:$Z$49,Y5))</f>
        <v>10500</v>
      </c>
      <c r="U5" s="29">
        <f t="shared" ref="U5:U49" si="8">IF(Y5="","",IF(N(R5)=0,"",T5/R5))</f>
        <v>30</v>
      </c>
      <c r="V5" s="29">
        <f t="shared" ref="V5:V49" si="9">IF(Y5="","",N(E5)-T5)</f>
        <v>2450</v>
      </c>
      <c r="W5" s="30">
        <f t="shared" ref="W5:W49" si="10">IF(Y5="","",IF(N(E5)=0,"",V5/E5))</f>
        <v>0.1891891891891892</v>
      </c>
      <c r="X5" s="27" t="str">
        <f t="shared" ref="X5:X49" si="11">IF(Y5="","",IF(S5=0,"⏳ لا توجد فواتير شراء",IF(COUNTIFS($Z$5:$Z$49,Y5,$N$5:$N$49,"&gt;0")=S5,"✓ اكتملت جميع الفواتير ("&amp;S5&amp;")","⚠ وصل "&amp;COUNTIFS($Z$5:$Z$49,Y5,$N$5:$N$49,"&gt;0")&amp;" من "&amp;S5&amp;" فواتير")))</f>
        <v>✓ اكتملت جميع الفواتير (1)</v>
      </c>
      <c r="Y5" t="str">
        <f t="shared" ref="Y5:Y49" si="12">IF(TRIM(A5)="","",IF(ISNUMBER(VALUE(TRIM(A5))),TEXT(VALUE(TRIM(A5)),"0"),TRIM(A5)))</f>
        <v>9</v>
      </c>
      <c r="Z5" t="str">
        <f t="shared" ref="Z5:Z49" si="13">IF(TRIM(H5)="","",IF(ISNUMBER(VALUE(TRIM(H5))),TEXT(VALUE(TRIM(H5)),"0"),TRIM(H5)))</f>
        <v>9</v>
      </c>
    </row>
    <row r="6" spans="1:26" x14ac:dyDescent="0.25">
      <c r="A6" s="41" t="s">
        <v>62</v>
      </c>
      <c r="B6" s="36" t="str">
        <f>IF(Y6="","",IFERROR(INDEX('قائمة الأصناف'!$B$3:$B$1000,MATCH(Y6,'قائمة الأصناف'!$C$3:$C$1000,0)),"⚠ كود غير معرف"))</f>
        <v>عنب احمر</v>
      </c>
      <c r="C6" s="42">
        <v>1633</v>
      </c>
      <c r="D6" s="43">
        <v>13</v>
      </c>
      <c r="E6" s="29">
        <f t="shared" si="0"/>
        <v>21229</v>
      </c>
      <c r="F6" s="29">
        <f>IF(E6="","",E6*الإعدادات!$B$8)</f>
        <v>3184.35</v>
      </c>
      <c r="G6" s="29">
        <f t="shared" si="1"/>
        <v>24413.35</v>
      </c>
      <c r="H6" s="41" t="s">
        <v>62</v>
      </c>
      <c r="I6" s="36" t="str">
        <f>IF(Z6="","",IF(COUNTIF($Y$5:$Y$49,Z6)=0,"⚠ الصنف غير موجود في المبيعات",IFERROR(INDEX('قائمة الأصناف'!$B$3:$B$1000,MATCH(Z6,'قائمة الأصناف'!$C$3:$C$1000,0)),"⚠ كود غير معرف")))</f>
        <v>عنب احمر</v>
      </c>
      <c r="J6" s="27" t="str">
        <f t="shared" si="2"/>
        <v>✓ تم استلام الفاتورة</v>
      </c>
      <c r="K6" s="44" t="s">
        <v>1016</v>
      </c>
      <c r="L6" s="41"/>
      <c r="M6" s="42">
        <v>500</v>
      </c>
      <c r="N6" s="43">
        <v>27</v>
      </c>
      <c r="O6" s="29">
        <f t="shared" si="3"/>
        <v>13500</v>
      </c>
      <c r="P6" s="29">
        <f>IF(O6="","",O6*الإعدادات!$B$8)</f>
        <v>2025</v>
      </c>
      <c r="Q6" s="29">
        <f t="shared" si="4"/>
        <v>15525</v>
      </c>
      <c r="R6" s="45">
        <f t="shared" si="5"/>
        <v>500</v>
      </c>
      <c r="S6" s="45">
        <f t="shared" si="6"/>
        <v>1</v>
      </c>
      <c r="T6" s="29">
        <f t="shared" si="7"/>
        <v>13500</v>
      </c>
      <c r="U6" s="29">
        <f t="shared" si="8"/>
        <v>27</v>
      </c>
      <c r="V6" s="29">
        <f t="shared" si="9"/>
        <v>7729</v>
      </c>
      <c r="W6" s="30">
        <f t="shared" si="10"/>
        <v>0.36407744123604502</v>
      </c>
      <c r="X6" s="27" t="str">
        <f t="shared" si="11"/>
        <v>✓ اكتملت جميع الفواتير (1)</v>
      </c>
      <c r="Y6" t="str">
        <f t="shared" si="12"/>
        <v>55071</v>
      </c>
      <c r="Z6" t="str">
        <f t="shared" si="13"/>
        <v>55071</v>
      </c>
    </row>
    <row r="7" spans="1:26" x14ac:dyDescent="0.25">
      <c r="A7" s="41" t="s">
        <v>100</v>
      </c>
      <c r="B7" s="36" t="str">
        <f>IF(Y7="","",IFERROR(INDEX('قائمة الأصناف'!$B$3:$B$1000,MATCH(Y7,'قائمة الأصناف'!$C$3:$C$1000,0)),"⚠ كود غير معرف"))</f>
        <v>عنب اسود</v>
      </c>
      <c r="C7" s="42">
        <v>1600</v>
      </c>
      <c r="D7" s="43">
        <v>11</v>
      </c>
      <c r="E7" s="29">
        <f t="shared" si="0"/>
        <v>17600</v>
      </c>
      <c r="F7" s="29">
        <f>IF(E7="","",E7*الإعدادات!$B$8)</f>
        <v>2640</v>
      </c>
      <c r="G7" s="29">
        <f t="shared" si="1"/>
        <v>20240</v>
      </c>
      <c r="H7" s="41" t="s">
        <v>100</v>
      </c>
      <c r="I7" s="36" t="str">
        <f>IF(Z7="","",IF(COUNTIF($Y$5:$Y$49,Z7)=0,"⚠ الصنف غير موجود في المبيعات",IFERROR(INDEX('قائمة الأصناف'!$B$3:$B$1000,MATCH(Z7,'قائمة الأصناف'!$C$3:$C$1000,0)),"⚠ كود غير معرف")))</f>
        <v>عنب اسود</v>
      </c>
      <c r="J7" s="27" t="str">
        <f t="shared" si="2"/>
        <v>✓ تم استلام الفاتورة</v>
      </c>
      <c r="K7" s="44" t="s">
        <v>1016</v>
      </c>
      <c r="L7" s="41"/>
      <c r="M7" s="42">
        <v>500</v>
      </c>
      <c r="N7" s="43">
        <v>26</v>
      </c>
      <c r="O7" s="29">
        <f t="shared" si="3"/>
        <v>13000</v>
      </c>
      <c r="P7" s="29">
        <f>IF(O7="","",O7*الإعدادات!$B$8)</f>
        <v>1950</v>
      </c>
      <c r="Q7" s="29">
        <f t="shared" si="4"/>
        <v>14950</v>
      </c>
      <c r="R7" s="45">
        <f t="shared" si="5"/>
        <v>500</v>
      </c>
      <c r="S7" s="45">
        <f t="shared" si="6"/>
        <v>1</v>
      </c>
      <c r="T7" s="29">
        <f t="shared" si="7"/>
        <v>13000</v>
      </c>
      <c r="U7" s="29">
        <f t="shared" si="8"/>
        <v>26</v>
      </c>
      <c r="V7" s="29">
        <f t="shared" si="9"/>
        <v>4600</v>
      </c>
      <c r="W7" s="30">
        <f t="shared" si="10"/>
        <v>0.26136363636363635</v>
      </c>
      <c r="X7" s="27" t="str">
        <f t="shared" si="11"/>
        <v>✓ اكتملت جميع الفواتير (1)</v>
      </c>
      <c r="Y7" t="str">
        <f t="shared" si="12"/>
        <v>48601</v>
      </c>
      <c r="Z7" t="str">
        <f t="shared" si="13"/>
        <v>48601</v>
      </c>
    </row>
    <row r="8" spans="1:26" x14ac:dyDescent="0.25">
      <c r="A8" s="41" t="s">
        <v>54</v>
      </c>
      <c r="B8" s="36" t="str">
        <f>IF(Y8="","",IFERROR(INDEX('قائمة الأصناف'!$B$3:$B$1000,MATCH(Y8,'قائمة الأصناف'!$C$3:$C$1000,0)),"⚠ كود غير معرف"))</f>
        <v>برتقال عصير</v>
      </c>
      <c r="C8" s="42">
        <v>6186</v>
      </c>
      <c r="D8" s="43">
        <v>2.5</v>
      </c>
      <c r="E8" s="29">
        <f t="shared" si="0"/>
        <v>15465</v>
      </c>
      <c r="F8" s="29">
        <f>IF(E8="","",E8*الإعدادات!$B$8)</f>
        <v>2319.75</v>
      </c>
      <c r="G8" s="29">
        <f t="shared" si="1"/>
        <v>17784.75</v>
      </c>
      <c r="H8" s="41" t="s">
        <v>54</v>
      </c>
      <c r="I8" s="36" t="str">
        <f>IF(Z8="","",IF(COUNTIF($Y$5:$Y$49,Z8)=0,"⚠ الصنف غير موجود في المبيعات",IFERROR(INDEX('قائمة الأصناف'!$B$3:$B$1000,MATCH(Z8,'قائمة الأصناف'!$C$3:$C$1000,0)),"⚠ كود غير معرف")))</f>
        <v>برتقال عصير</v>
      </c>
      <c r="J8" s="27" t="str">
        <f t="shared" si="2"/>
        <v>✗ لم تصل من المورد</v>
      </c>
      <c r="K8" s="44" t="s">
        <v>1017</v>
      </c>
      <c r="L8" s="41"/>
      <c r="M8" s="42">
        <v>155</v>
      </c>
      <c r="N8" s="43"/>
      <c r="O8" s="29" t="str">
        <f t="shared" si="3"/>
        <v/>
      </c>
      <c r="P8" s="29" t="str">
        <f>IF(O8="","",O8*الإعدادات!$B$8)</f>
        <v/>
      </c>
      <c r="Q8" s="29" t="str">
        <f t="shared" si="4"/>
        <v/>
      </c>
      <c r="R8" s="45">
        <f t="shared" si="5"/>
        <v>475</v>
      </c>
      <c r="S8" s="45">
        <f t="shared" si="6"/>
        <v>2</v>
      </c>
      <c r="T8" s="29">
        <f t="shared" si="7"/>
        <v>0</v>
      </c>
      <c r="U8" s="29">
        <f t="shared" si="8"/>
        <v>0</v>
      </c>
      <c r="V8" s="29">
        <f t="shared" si="9"/>
        <v>15465</v>
      </c>
      <c r="W8" s="30">
        <f t="shared" si="10"/>
        <v>1</v>
      </c>
      <c r="X8" s="27" t="str">
        <f t="shared" si="11"/>
        <v>⚠ وصل 0 من 2 فواتير</v>
      </c>
      <c r="Y8" t="str">
        <f t="shared" si="12"/>
        <v>49494</v>
      </c>
      <c r="Z8" t="str">
        <f t="shared" si="13"/>
        <v>49494</v>
      </c>
    </row>
    <row r="9" spans="1:26" x14ac:dyDescent="0.25">
      <c r="A9" s="41" t="s">
        <v>46</v>
      </c>
      <c r="B9" s="36" t="str">
        <f>IF(Y9="","",IFERROR(INDEX('قائمة الأصناف'!$B$3:$B$1000,MATCH(Y9,'قائمة الأصناف'!$C$3:$C$1000,0)),"⚠ كود غير معرف"))</f>
        <v>مانجو تيمور</v>
      </c>
      <c r="C9" s="42">
        <v>1953</v>
      </c>
      <c r="D9" s="43">
        <v>7</v>
      </c>
      <c r="E9" s="29">
        <f t="shared" si="0"/>
        <v>13671</v>
      </c>
      <c r="F9" s="29">
        <f>IF(E9="","",E9*الإعدادات!$B$8)</f>
        <v>2050.65</v>
      </c>
      <c r="G9" s="29">
        <f t="shared" si="1"/>
        <v>15721.65</v>
      </c>
      <c r="H9" s="41" t="s">
        <v>46</v>
      </c>
      <c r="I9" s="36" t="str">
        <f>IF(Z9="","",IF(COUNTIF($Y$5:$Y$49,Z9)=0,"⚠ الصنف غير موجود في المبيعات",IFERROR(INDEX('قائمة الأصناف'!$B$3:$B$1000,MATCH(Z9,'قائمة الأصناف'!$C$3:$C$1000,0)),"⚠ كود غير معرف")))</f>
        <v>مانجو تيمور</v>
      </c>
      <c r="J9" s="27" t="str">
        <f t="shared" si="2"/>
        <v>✗ لم تصل من المورد</v>
      </c>
      <c r="K9" s="44" t="s">
        <v>1018</v>
      </c>
      <c r="L9" s="41"/>
      <c r="M9" s="42"/>
      <c r="N9" s="43"/>
      <c r="O9" s="29" t="str">
        <f t="shared" si="3"/>
        <v/>
      </c>
      <c r="P9" s="29" t="str">
        <f>IF(O9="","",O9*الإعدادات!$B$8)</f>
        <v/>
      </c>
      <c r="Q9" s="29" t="str">
        <f t="shared" si="4"/>
        <v/>
      </c>
      <c r="R9" s="45">
        <f t="shared" si="5"/>
        <v>0</v>
      </c>
      <c r="S9" s="45">
        <f t="shared" si="6"/>
        <v>1</v>
      </c>
      <c r="T9" s="29">
        <f t="shared" si="7"/>
        <v>0</v>
      </c>
      <c r="U9" s="29" t="str">
        <f t="shared" si="8"/>
        <v/>
      </c>
      <c r="V9" s="29">
        <f t="shared" si="9"/>
        <v>13671</v>
      </c>
      <c r="W9" s="30">
        <f t="shared" si="10"/>
        <v>1</v>
      </c>
      <c r="X9" s="27" t="str">
        <f t="shared" si="11"/>
        <v>⚠ وصل 0 من 1 فواتير</v>
      </c>
      <c r="Y9" t="str">
        <f t="shared" si="12"/>
        <v>48271</v>
      </c>
      <c r="Z9" t="str">
        <f t="shared" si="13"/>
        <v>48271</v>
      </c>
    </row>
    <row r="10" spans="1:26" x14ac:dyDescent="0.25">
      <c r="A10" s="41" t="s">
        <v>58</v>
      </c>
      <c r="B10" s="36" t="str">
        <f>IF(Y10="","",IFERROR(INDEX('قائمة الأصناف'!$B$3:$B$1000,MATCH(Y10,'قائمة الأصناف'!$C$3:$C$1000,0)),"⚠ كود غير معرف"))</f>
        <v>كلمنتينا</v>
      </c>
      <c r="C10" s="42">
        <v>4209</v>
      </c>
      <c r="D10" s="43">
        <v>5</v>
      </c>
      <c r="E10" s="29">
        <f t="shared" si="0"/>
        <v>21045</v>
      </c>
      <c r="F10" s="29">
        <f>IF(E10="","",E10*الإعدادات!$B$8)</f>
        <v>3156.75</v>
      </c>
      <c r="G10" s="29">
        <f t="shared" si="1"/>
        <v>24201.75</v>
      </c>
      <c r="H10" s="41" t="s">
        <v>58</v>
      </c>
      <c r="I10" s="36" t="str">
        <f>IF(Z10="","",IF(COUNTIF($Y$5:$Y$49,Z10)=0,"⚠ الصنف غير موجود في المبيعات",IFERROR(INDEX('قائمة الأصناف'!$B$3:$B$1000,MATCH(Z10,'قائمة الأصناف'!$C$3:$C$1000,0)),"⚠ كود غير معرف")))</f>
        <v>كلمنتينا</v>
      </c>
      <c r="J10" s="27" t="str">
        <f t="shared" si="2"/>
        <v>✓ تم استلام الفاتورة</v>
      </c>
      <c r="K10" s="44" t="s">
        <v>1019</v>
      </c>
      <c r="L10" s="41"/>
      <c r="M10" s="42">
        <v>544</v>
      </c>
      <c r="N10" s="43">
        <v>38</v>
      </c>
      <c r="O10" s="29">
        <f t="shared" si="3"/>
        <v>20672</v>
      </c>
      <c r="P10" s="29">
        <f>IF(O10="","",O10*الإعدادات!$B$8)</f>
        <v>3100.7999999999997</v>
      </c>
      <c r="Q10" s="29">
        <f t="shared" si="4"/>
        <v>23772.799999999999</v>
      </c>
      <c r="R10" s="45">
        <f t="shared" si="5"/>
        <v>544</v>
      </c>
      <c r="S10" s="45">
        <f t="shared" si="6"/>
        <v>1</v>
      </c>
      <c r="T10" s="29">
        <f t="shared" si="7"/>
        <v>20672</v>
      </c>
      <c r="U10" s="29">
        <f t="shared" si="8"/>
        <v>38</v>
      </c>
      <c r="V10" s="29">
        <f t="shared" si="9"/>
        <v>373</v>
      </c>
      <c r="W10" s="30">
        <f t="shared" si="10"/>
        <v>1.7723924922784511E-2</v>
      </c>
      <c r="X10" s="27" t="str">
        <f t="shared" si="11"/>
        <v>✓ اكتملت جميع الفواتير (1)</v>
      </c>
      <c r="Y10" t="str">
        <f t="shared" si="12"/>
        <v>48432</v>
      </c>
      <c r="Z10" t="str">
        <f t="shared" si="13"/>
        <v>48432</v>
      </c>
    </row>
    <row r="11" spans="1:26" x14ac:dyDescent="0.25">
      <c r="A11" s="41" t="s">
        <v>108</v>
      </c>
      <c r="B11" s="36" t="str">
        <f>IF(Y11="","",IFERROR(INDEX('قائمة الأصناف'!$B$3:$B$1000,MATCH(Y11,'قائمة الأصناف'!$C$3:$C$1000,0)),"⚠ كود غير معرف"))</f>
        <v>عنب احمر سدلس</v>
      </c>
      <c r="C11" s="42">
        <v>1633</v>
      </c>
      <c r="D11" s="43">
        <v>10</v>
      </c>
      <c r="E11" s="29">
        <f t="shared" si="0"/>
        <v>16330</v>
      </c>
      <c r="F11" s="29">
        <f>IF(E11="","",E11*الإعدادات!$B$8)</f>
        <v>2449.5</v>
      </c>
      <c r="G11" s="29">
        <f t="shared" si="1"/>
        <v>18779.5</v>
      </c>
      <c r="H11" s="41" t="s">
        <v>108</v>
      </c>
      <c r="I11" s="36" t="str">
        <f>IF(Z11="","",IF(COUNTIF($Y$5:$Y$49,Z11)=0,"⚠ الصنف غير موجود في المبيعات",IFERROR(INDEX('قائمة الأصناف'!$B$3:$B$1000,MATCH(Z11,'قائمة الأصناف'!$C$3:$C$1000,0)),"⚠ كود غير معرف")))</f>
        <v>عنب احمر سدلس</v>
      </c>
      <c r="J11" s="27" t="str">
        <f t="shared" si="2"/>
        <v>✓ تم استلام الفاتورة</v>
      </c>
      <c r="K11" s="44" t="s">
        <v>1020</v>
      </c>
      <c r="L11" s="41"/>
      <c r="M11" s="42">
        <v>490</v>
      </c>
      <c r="N11" s="43">
        <v>30</v>
      </c>
      <c r="O11" s="29">
        <f t="shared" si="3"/>
        <v>14700</v>
      </c>
      <c r="P11" s="29">
        <f>IF(O11="","",O11*الإعدادات!$B$8)</f>
        <v>2205</v>
      </c>
      <c r="Q11" s="29">
        <f t="shared" si="4"/>
        <v>16905</v>
      </c>
      <c r="R11" s="45">
        <f t="shared" si="5"/>
        <v>490</v>
      </c>
      <c r="S11" s="45">
        <f t="shared" si="6"/>
        <v>1</v>
      </c>
      <c r="T11" s="29">
        <f t="shared" si="7"/>
        <v>14700</v>
      </c>
      <c r="U11" s="29">
        <f t="shared" si="8"/>
        <v>30</v>
      </c>
      <c r="V11" s="29">
        <f t="shared" si="9"/>
        <v>1630</v>
      </c>
      <c r="W11" s="30">
        <f t="shared" si="10"/>
        <v>9.9816289038579295E-2</v>
      </c>
      <c r="X11" s="27" t="str">
        <f t="shared" si="11"/>
        <v>✓ اكتملت جميع الفواتير (1)</v>
      </c>
      <c r="Y11" t="str">
        <f t="shared" si="12"/>
        <v>48643</v>
      </c>
      <c r="Z11" t="str">
        <f t="shared" si="13"/>
        <v>48643</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t="s">
        <v>54</v>
      </c>
      <c r="I12" s="36" t="str">
        <f>IF(Z12="","",IF(COUNTIF($Y$5:$Y$49,Z12)=0,"⚠ الصنف غير موجود في المبيعات",IFERROR(INDEX('قائمة الأصناف'!$B$3:$B$1000,MATCH(Z12,'قائمة الأصناف'!$C$3:$C$1000,0)),"⚠ كود غير معرف")))</f>
        <v>برتقال عصير</v>
      </c>
      <c r="J12" s="27" t="str">
        <f t="shared" si="2"/>
        <v>✗ لم تصل من المورد</v>
      </c>
      <c r="K12" s="44" t="s">
        <v>1021</v>
      </c>
      <c r="L12" s="41"/>
      <c r="M12" s="42">
        <v>320</v>
      </c>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49494</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18694</v>
      </c>
      <c r="D50" s="31"/>
      <c r="E50" s="32">
        <f>SUM(E5:E49)</f>
        <v>118290</v>
      </c>
      <c r="F50" s="32">
        <f>SUM(F5:F49)</f>
        <v>17743.5</v>
      </c>
      <c r="G50" s="32">
        <f>SUM(G5:G49)</f>
        <v>136033.5</v>
      </c>
      <c r="H50" s="31"/>
      <c r="I50" s="31"/>
      <c r="J50" s="31"/>
      <c r="K50" s="31"/>
      <c r="L50" s="31"/>
      <c r="M50" s="46">
        <f>SUM(M5:M49)</f>
        <v>2859</v>
      </c>
      <c r="N50" s="31"/>
      <c r="O50" s="32">
        <f>SUM(O5:O49)</f>
        <v>72372</v>
      </c>
      <c r="P50" s="32">
        <f>SUM(P5:P49)</f>
        <v>10855.8</v>
      </c>
      <c r="Q50" s="32">
        <f>SUM(Q5:Q49)</f>
        <v>83227.8</v>
      </c>
      <c r="R50" s="31"/>
      <c r="S50" s="31"/>
      <c r="T50" s="32">
        <f>SUM(T5:T49)</f>
        <v>72372</v>
      </c>
      <c r="U50" s="31"/>
      <c r="V50" s="32">
        <f>SUM(V5:V49)</f>
        <v>45918</v>
      </c>
      <c r="W50" s="33">
        <f>IF(N(E50)=0,"",V50/E50)</f>
        <v>0.3881815876236368</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308" priority="9">
      <formula>ISNUMBER(SEARCH("غير معرف",B5))</formula>
    </cfRule>
  </conditionalFormatting>
  <conditionalFormatting sqref="H5:Q49">
    <cfRule type="expression" dxfId="307" priority="2">
      <formula>AND($Z5&lt;&gt;"",COUNTIF($Y$5:$Y$49,$Z5)=0)</formula>
    </cfRule>
  </conditionalFormatting>
  <conditionalFormatting sqref="I5:I49">
    <cfRule type="expression" dxfId="306" priority="10">
      <formula>ISNUMBER(SEARCH("غير معرف",I5))</formula>
    </cfRule>
  </conditionalFormatting>
  <conditionalFormatting sqref="J5:J49">
    <cfRule type="expression" dxfId="305" priority="3">
      <formula>ISNUMBER(SEARCH("تم استلام",J5))</formula>
    </cfRule>
    <cfRule type="expression" dxfId="304" priority="4">
      <formula>ISNUMBER(SEARCH("لم تصل",J5))</formula>
    </cfRule>
  </conditionalFormatting>
  <conditionalFormatting sqref="V5:V50">
    <cfRule type="cellIs" dxfId="303" priority="5" operator="lessThan">
      <formula>0</formula>
    </cfRule>
  </conditionalFormatting>
  <conditionalFormatting sqref="X5:X49">
    <cfRule type="expression" dxfId="302" priority="6">
      <formula>ISNUMBER(SEARCH("اكتملت",X5))</formula>
    </cfRule>
    <cfRule type="expression" dxfId="301" priority="7">
      <formula>ISNUMBER(SEARCH("وصل ",X5))</formula>
    </cfRule>
    <cfRule type="expression" dxfId="300" priority="8">
      <formula>ISNUMBER(SEARCH("لا توجد",X5))</formula>
    </cfRule>
  </conditionalFormatting>
  <dataValidations count="1">
    <dataValidation type="list" allowBlank="1" sqref="H5:H49" xr:uid="{00000000-0002-0000-03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3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300-000000000000}">
          <x14:formula1>
            <xm:f>'قائمة الأصناف'!$A$3:$A$1000</xm:f>
          </x14:formula1>
          <x14:formula2>
            <xm:f>0</xm:f>
          </x14:formula2>
          <xm:sqref>A5:A49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v>
      </c>
      <c r="C1" s="16" t="s">
        <v>993</v>
      </c>
      <c r="D1" s="37">
        <f>IF($B$1&lt;=الإعدادات!$B$6,DATE(الإعدادات!$B$3,الإعدادات!$B$4,$B$1),"")</f>
        <v>46175</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54</v>
      </c>
      <c r="B5" s="36" t="str">
        <f>IF(Y5="","",IFERROR(INDEX('قائمة الأصناف'!$B$3:$B$1000,MATCH(Y5,'قائمة الأصناف'!$C$3:$C$1000,0)),"⚠ كود غير معرف"))</f>
        <v>برتقال عصير</v>
      </c>
      <c r="C5" s="42">
        <v>11384</v>
      </c>
      <c r="D5" s="43">
        <v>2.5</v>
      </c>
      <c r="E5" s="29">
        <f t="shared" ref="E5:E49" si="0">IF(OR(C5="",D5=""),"",C5*D5)</f>
        <v>28460</v>
      </c>
      <c r="F5" s="29">
        <f>IF(E5="","",E5*الإعدادات!$B$8)</f>
        <v>4269</v>
      </c>
      <c r="G5" s="29">
        <f t="shared" ref="G5:G49" si="1">IF(E5="","",E5+F5)</f>
        <v>32729</v>
      </c>
      <c r="H5" s="41" t="s">
        <v>54</v>
      </c>
      <c r="I5" s="36" t="str">
        <f>IF(Z5="","",IF(COUNTIF($Y$5:$Y$49,Z5)=0,"⚠ الصنف غير موجود في المبيعات",IFERROR(INDEX('قائمة الأصناف'!$B$3:$B$1000,MATCH(Z5,'قائمة الأصناف'!$C$3:$C$1000,0)),"⚠ كود غير معرف")))</f>
        <v>برتقال عصير</v>
      </c>
      <c r="J5" s="27" t="str">
        <f t="shared" ref="J5:J49" si="2">IF(AND(Z5="",TRIM(K5)="",M5="",N5=""),"",IF(AND(Z5&lt;&gt;"",COUNTIF($Y$5:$Y$49,Z5)=0),"✗ حُذف من المبيعات — مستبعد من الحساب",IF(N5="","✗ لم تصل من المورد","✓ تم استلام الفاتورة")))</f>
        <v>✗ لم تصل من المورد</v>
      </c>
      <c r="K5" s="44" t="s">
        <v>1023</v>
      </c>
      <c r="L5" s="41"/>
      <c r="M5" s="42">
        <v>800</v>
      </c>
      <c r="N5" s="43"/>
      <c r="O5" s="29" t="str">
        <f t="shared" ref="O5:O49" si="3">IF(OR(M5="",N5=""),"",IF(COUNTIF($Y$5:$Y$49,Z5)=0,"",M5*N5))</f>
        <v/>
      </c>
      <c r="P5" s="29" t="str">
        <f>IF(O5="","",O5*الإعدادات!$B$8)</f>
        <v/>
      </c>
      <c r="Q5" s="29" t="str">
        <f t="shared" ref="Q5:Q49" si="4">IF(O5="","",O5+P5)</f>
        <v/>
      </c>
      <c r="R5" s="45">
        <f t="shared" ref="R5:R49" si="5">IF(Y5="","",SUMIFS($M$5:$M$49,$Z$5:$Z$49,Y5))</f>
        <v>872</v>
      </c>
      <c r="S5" s="45">
        <f t="shared" ref="S5:S49" si="6">IF(Y5="","",COUNTIFS($Z$5:$Z$49,Y5))</f>
        <v>2</v>
      </c>
      <c r="T5" s="29">
        <f t="shared" ref="T5:T49" si="7">IF(Y5="","",SUMIFS($O$5:$O$49,$Z$5:$Z$49,Y5))</f>
        <v>0</v>
      </c>
      <c r="U5" s="29">
        <f t="shared" ref="U5:U49" si="8">IF(Y5="","",IF(N(R5)=0,"",T5/R5))</f>
        <v>0</v>
      </c>
      <c r="V5" s="29">
        <f t="shared" ref="V5:V49" si="9">IF(Y5="","",N(E5)-T5)</f>
        <v>28460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2 فواتير</v>
      </c>
      <c r="Y5" t="str">
        <f t="shared" ref="Y5:Y49" si="12">IF(TRIM(A5)="","",IF(ISNUMBER(VALUE(TRIM(A5))),TEXT(VALUE(TRIM(A5)),"0"),TRIM(A5)))</f>
        <v>49494</v>
      </c>
      <c r="Z5" t="str">
        <f t="shared" ref="Z5:Z49" si="13">IF(TRIM(H5)="","",IF(ISNUMBER(VALUE(TRIM(H5))),TEXT(VALUE(TRIM(H5)),"0"),TRIM(H5)))</f>
        <v>49494</v>
      </c>
    </row>
    <row r="6" spans="1:26" x14ac:dyDescent="0.25">
      <c r="A6" s="41" t="s">
        <v>58</v>
      </c>
      <c r="B6" s="36" t="str">
        <f>IF(Y6="","",IFERROR(INDEX('قائمة الأصناف'!$B$3:$B$1000,MATCH(Y6,'قائمة الأصناف'!$C$3:$C$1000,0)),"⚠ كود غير معرف"))</f>
        <v>كلمنتينا</v>
      </c>
      <c r="C6" s="42">
        <v>1798</v>
      </c>
      <c r="D6" s="43">
        <v>5</v>
      </c>
      <c r="E6" s="29">
        <f t="shared" si="0"/>
        <v>8990</v>
      </c>
      <c r="F6" s="29">
        <f>IF(E6="","",E6*الإعدادات!$B$8)</f>
        <v>1348.5</v>
      </c>
      <c r="G6" s="29">
        <f t="shared" si="1"/>
        <v>10338.5</v>
      </c>
      <c r="H6" s="41" t="s">
        <v>58</v>
      </c>
      <c r="I6" s="36" t="str">
        <f>IF(Z6="","",IF(COUNTIF($Y$5:$Y$49,Z6)=0,"⚠ الصنف غير موجود في المبيعات",IFERROR(INDEX('قائمة الأصناف'!$B$3:$B$1000,MATCH(Z6,'قائمة الأصناف'!$C$3:$C$1000,0)),"⚠ كود غير معرف")))</f>
        <v>كلمنتينا</v>
      </c>
      <c r="J6" s="27" t="str">
        <f t="shared" si="2"/>
        <v>✓ تم استلام الفاتورة</v>
      </c>
      <c r="K6" s="44" t="s">
        <v>1024</v>
      </c>
      <c r="L6" s="41"/>
      <c r="M6" s="42">
        <v>238</v>
      </c>
      <c r="N6" s="43">
        <v>39</v>
      </c>
      <c r="O6" s="29">
        <f t="shared" si="3"/>
        <v>9282</v>
      </c>
      <c r="P6" s="29">
        <f>IF(O6="","",O6*الإعدادات!$B$8)</f>
        <v>1392.3</v>
      </c>
      <c r="Q6" s="29">
        <f t="shared" si="4"/>
        <v>10674.3</v>
      </c>
      <c r="R6" s="45">
        <f t="shared" si="5"/>
        <v>238</v>
      </c>
      <c r="S6" s="45">
        <f t="shared" si="6"/>
        <v>1</v>
      </c>
      <c r="T6" s="29">
        <f t="shared" si="7"/>
        <v>9282</v>
      </c>
      <c r="U6" s="29">
        <f t="shared" si="8"/>
        <v>39</v>
      </c>
      <c r="V6" s="29">
        <f t="shared" si="9"/>
        <v>-292</v>
      </c>
      <c r="W6" s="30">
        <f t="shared" si="10"/>
        <v>-3.2480533926585092E-2</v>
      </c>
      <c r="X6" s="27" t="str">
        <f t="shared" si="11"/>
        <v>✓ اكتملت جميع الفواتير (1)</v>
      </c>
      <c r="Y6" t="str">
        <f t="shared" si="12"/>
        <v>48432</v>
      </c>
      <c r="Z6" t="str">
        <f t="shared" si="13"/>
        <v>48432</v>
      </c>
    </row>
    <row r="7" spans="1:26" x14ac:dyDescent="0.25">
      <c r="A7" s="41" t="s">
        <v>52</v>
      </c>
      <c r="B7" s="36" t="str">
        <f>IF(Y7="","",IFERROR(INDEX('قائمة الأصناف'!$B$3:$B$1000,MATCH(Y7,'قائمة الأصناف'!$C$3:$C$1000,0)),"⚠ كود غير معرف"))</f>
        <v>برتقال أبو صره</v>
      </c>
      <c r="C7" s="42">
        <v>4055</v>
      </c>
      <c r="D7" s="43">
        <v>6.5</v>
      </c>
      <c r="E7" s="29">
        <f t="shared" si="0"/>
        <v>26357.5</v>
      </c>
      <c r="F7" s="29">
        <f>IF(E7="","",E7*الإعدادات!$B$8)</f>
        <v>3953.625</v>
      </c>
      <c r="G7" s="29">
        <f t="shared" si="1"/>
        <v>30311.125</v>
      </c>
      <c r="H7" s="41" t="s">
        <v>52</v>
      </c>
      <c r="I7" s="36" t="str">
        <f>IF(Z7="","",IF(COUNTIF($Y$5:$Y$49,Z7)=0,"⚠ الصنف غير موجود في المبيعات",IFERROR(INDEX('قائمة الأصناف'!$B$3:$B$1000,MATCH(Z7,'قائمة الأصناف'!$C$3:$C$1000,0)),"⚠ كود غير معرف")))</f>
        <v>برتقال أبو صره</v>
      </c>
      <c r="J7" s="27" t="str">
        <f t="shared" si="2"/>
        <v>✗ لم تصل من المورد</v>
      </c>
      <c r="K7" s="44" t="s">
        <v>1025</v>
      </c>
      <c r="L7" s="41"/>
      <c r="M7" s="42">
        <v>429</v>
      </c>
      <c r="N7" s="43"/>
      <c r="O7" s="29" t="str">
        <f t="shared" si="3"/>
        <v/>
      </c>
      <c r="P7" s="29" t="str">
        <f>IF(O7="","",O7*الإعدادات!$B$8)</f>
        <v/>
      </c>
      <c r="Q7" s="29" t="str">
        <f t="shared" si="4"/>
        <v/>
      </c>
      <c r="R7" s="45">
        <f t="shared" si="5"/>
        <v>429</v>
      </c>
      <c r="S7" s="45">
        <f t="shared" si="6"/>
        <v>1</v>
      </c>
      <c r="T7" s="29">
        <f t="shared" si="7"/>
        <v>0</v>
      </c>
      <c r="U7" s="29">
        <f t="shared" si="8"/>
        <v>0</v>
      </c>
      <c r="V7" s="29">
        <f t="shared" si="9"/>
        <v>26357.5</v>
      </c>
      <c r="W7" s="30">
        <f t="shared" si="10"/>
        <v>1</v>
      </c>
      <c r="X7" s="27" t="str">
        <f t="shared" si="11"/>
        <v>⚠ وصل 0 من 1 فواتير</v>
      </c>
      <c r="Y7" t="str">
        <f t="shared" si="12"/>
        <v>47906</v>
      </c>
      <c r="Z7" t="str">
        <f t="shared" si="13"/>
        <v>47906</v>
      </c>
    </row>
    <row r="8" spans="1:26" x14ac:dyDescent="0.25">
      <c r="A8" s="41" t="s">
        <v>92</v>
      </c>
      <c r="B8" s="36" t="str">
        <f>IF(Y8="","",IFERROR(INDEX('قائمة الأصناف'!$B$3:$B$1000,MATCH(Y8,'قائمة الأصناف'!$C$3:$C$1000,0)),"⚠ كود غير معرف"))</f>
        <v>مانجو سمكه</v>
      </c>
      <c r="C8" s="42">
        <v>1485</v>
      </c>
      <c r="D8" s="43">
        <v>6</v>
      </c>
      <c r="E8" s="29">
        <f t="shared" si="0"/>
        <v>8910</v>
      </c>
      <c r="F8" s="29">
        <f>IF(E8="","",E8*الإعدادات!$B$8)</f>
        <v>1336.5</v>
      </c>
      <c r="G8" s="29">
        <f t="shared" si="1"/>
        <v>10246.5</v>
      </c>
      <c r="H8" s="41" t="s">
        <v>92</v>
      </c>
      <c r="I8" s="36" t="str">
        <f>IF(Z8="","",IF(COUNTIF($Y$5:$Y$49,Z8)=0,"⚠ الصنف غير موجود في المبيعات",IFERROR(INDEX('قائمة الأصناف'!$B$3:$B$1000,MATCH(Z8,'قائمة الأصناف'!$C$3:$C$1000,0)),"⚠ كود غير معرف")))</f>
        <v>مانجو سمكه</v>
      </c>
      <c r="J8" s="27" t="str">
        <f t="shared" si="2"/>
        <v>✗ لم تصل من المورد</v>
      </c>
      <c r="K8" s="44" t="s">
        <v>1018</v>
      </c>
      <c r="L8" s="41"/>
      <c r="M8" s="42">
        <v>647</v>
      </c>
      <c r="N8" s="43"/>
      <c r="O8" s="29" t="str">
        <f t="shared" si="3"/>
        <v/>
      </c>
      <c r="P8" s="29" t="str">
        <f>IF(O8="","",O8*الإعدادات!$B$8)</f>
        <v/>
      </c>
      <c r="Q8" s="29" t="str">
        <f t="shared" si="4"/>
        <v/>
      </c>
      <c r="R8" s="45">
        <f t="shared" si="5"/>
        <v>647</v>
      </c>
      <c r="S8" s="45">
        <f t="shared" si="6"/>
        <v>1</v>
      </c>
      <c r="T8" s="29">
        <f t="shared" si="7"/>
        <v>0</v>
      </c>
      <c r="U8" s="29">
        <f t="shared" si="8"/>
        <v>0</v>
      </c>
      <c r="V8" s="29">
        <f t="shared" si="9"/>
        <v>8910</v>
      </c>
      <c r="W8" s="30">
        <f t="shared" si="10"/>
        <v>1</v>
      </c>
      <c r="X8" s="27" t="str">
        <f t="shared" si="11"/>
        <v>⚠ وصل 0 من 1 فواتير</v>
      </c>
      <c r="Y8" t="str">
        <f t="shared" si="12"/>
        <v>47915</v>
      </c>
      <c r="Z8" t="str">
        <f t="shared" si="13"/>
        <v>47915</v>
      </c>
    </row>
    <row r="9" spans="1:26" x14ac:dyDescent="0.25">
      <c r="A9" s="41" t="s">
        <v>70</v>
      </c>
      <c r="B9" s="36" t="str">
        <f>IF(Y9="","",IFERROR(INDEX('قائمة الأصناف'!$B$3:$B$1000,MATCH(Y9,'قائمة الأصناف'!$C$3:$C$1000,0)),"⚠ كود غير معرف"))</f>
        <v>عنب ابيض</v>
      </c>
      <c r="C9" s="42">
        <v>1617</v>
      </c>
      <c r="D9" s="43">
        <v>8.5</v>
      </c>
      <c r="E9" s="29">
        <f t="shared" si="0"/>
        <v>13744.5</v>
      </c>
      <c r="F9" s="29">
        <f>IF(E9="","",E9*الإعدادات!$B$8)</f>
        <v>2061.6749999999997</v>
      </c>
      <c r="G9" s="29">
        <f t="shared" si="1"/>
        <v>15806.174999999999</v>
      </c>
      <c r="H9" s="41" t="s">
        <v>70</v>
      </c>
      <c r="I9" s="36" t="str">
        <f>IF(Z9="","",IF(COUNTIF($Y$5:$Y$49,Z9)=0,"⚠ الصنف غير موجود في المبيعات",IFERROR(INDEX('قائمة الأصناف'!$B$3:$B$1000,MATCH(Z9,'قائمة الأصناف'!$C$3:$C$1000,0)),"⚠ كود غير معرف")))</f>
        <v>عنب ابيض</v>
      </c>
      <c r="J9" s="27" t="str">
        <f t="shared" si="2"/>
        <v>✓ تم استلام الفاتورة</v>
      </c>
      <c r="K9" s="44" t="s">
        <v>1016</v>
      </c>
      <c r="L9" s="41"/>
      <c r="M9" s="42">
        <v>490</v>
      </c>
      <c r="N9" s="43">
        <v>30</v>
      </c>
      <c r="O9" s="29">
        <f t="shared" si="3"/>
        <v>14700</v>
      </c>
      <c r="P9" s="29">
        <f>IF(O9="","",O9*الإعدادات!$B$8)</f>
        <v>2205</v>
      </c>
      <c r="Q9" s="29">
        <f t="shared" si="4"/>
        <v>16905</v>
      </c>
      <c r="R9" s="45">
        <f t="shared" si="5"/>
        <v>490</v>
      </c>
      <c r="S9" s="45">
        <f t="shared" si="6"/>
        <v>1</v>
      </c>
      <c r="T9" s="29">
        <f t="shared" si="7"/>
        <v>14700</v>
      </c>
      <c r="U9" s="29">
        <f t="shared" si="8"/>
        <v>30</v>
      </c>
      <c r="V9" s="29">
        <f t="shared" si="9"/>
        <v>-955.5</v>
      </c>
      <c r="W9" s="30">
        <f t="shared" si="10"/>
        <v>-6.9518716577540107E-2</v>
      </c>
      <c r="X9" s="27" t="str">
        <f t="shared" si="11"/>
        <v>✓ اكتملت جميع الفواتير (1)</v>
      </c>
      <c r="Y9" t="str">
        <f t="shared" si="12"/>
        <v>48575</v>
      </c>
      <c r="Z9" t="str">
        <f t="shared" si="13"/>
        <v>48575</v>
      </c>
    </row>
    <row r="10" spans="1:26" x14ac:dyDescent="0.25">
      <c r="A10" s="41" t="s">
        <v>80</v>
      </c>
      <c r="B10" s="36" t="str">
        <f>IF(Y10="","",IFERROR(INDEX('قائمة الأصناف'!$B$3:$B$1000,MATCH(Y10,'قائمة الأصناف'!$C$3:$C$1000,0)),"⚠ كود غير معرف"))</f>
        <v>بصل احمر</v>
      </c>
      <c r="C10" s="42">
        <v>20188</v>
      </c>
      <c r="D10" s="43">
        <v>2</v>
      </c>
      <c r="E10" s="29">
        <f t="shared" si="0"/>
        <v>40376</v>
      </c>
      <c r="F10" s="29">
        <f>IF(E10="","",E10*الإعدادات!$B$8)</f>
        <v>6056.4</v>
      </c>
      <c r="G10" s="29">
        <f t="shared" si="1"/>
        <v>46432.4</v>
      </c>
      <c r="H10" s="41" t="s">
        <v>54</v>
      </c>
      <c r="I10" s="36" t="str">
        <f>IF(Z10="","",IF(COUNTIF($Y$5:$Y$49,Z10)=0,"⚠ الصنف غير موجود في المبيعات",IFERROR(INDEX('قائمة الأصناف'!$B$3:$B$1000,MATCH(Z10,'قائمة الأصناف'!$C$3:$C$1000,0)),"⚠ كود غير معرف")))</f>
        <v>برتقال عصير</v>
      </c>
      <c r="J10" s="27" t="str">
        <f t="shared" si="2"/>
        <v>✗ لم تصل من المورد</v>
      </c>
      <c r="K10" s="44" t="s">
        <v>1026</v>
      </c>
      <c r="L10" s="41"/>
      <c r="M10" s="42">
        <v>72</v>
      </c>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40376</v>
      </c>
      <c r="W10" s="30">
        <f t="shared" si="10"/>
        <v>1</v>
      </c>
      <c r="X10" s="27" t="str">
        <f t="shared" si="11"/>
        <v>⏳ لا توجد فواتير شراء</v>
      </c>
      <c r="Y10" t="str">
        <f t="shared" si="12"/>
        <v>49502</v>
      </c>
      <c r="Z10" t="str">
        <f t="shared" si="13"/>
        <v>49494</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40527</v>
      </c>
      <c r="D50" s="31"/>
      <c r="E50" s="32">
        <f>SUM(E5:E49)</f>
        <v>126838</v>
      </c>
      <c r="F50" s="32">
        <f>SUM(F5:F49)</f>
        <v>19025.699999999997</v>
      </c>
      <c r="G50" s="32">
        <f>SUM(G5:G49)</f>
        <v>145863.70000000001</v>
      </c>
      <c r="H50" s="31"/>
      <c r="I50" s="31"/>
      <c r="J50" s="31"/>
      <c r="K50" s="31"/>
      <c r="L50" s="31"/>
      <c r="M50" s="46">
        <f>SUM(M5:M49)</f>
        <v>2676</v>
      </c>
      <c r="N50" s="31"/>
      <c r="O50" s="32">
        <f>SUM(O5:O49)</f>
        <v>23982</v>
      </c>
      <c r="P50" s="32">
        <f>SUM(P5:P49)</f>
        <v>3597.3</v>
      </c>
      <c r="Q50" s="32">
        <f>SUM(Q5:Q49)</f>
        <v>27579.3</v>
      </c>
      <c r="R50" s="31"/>
      <c r="S50" s="31"/>
      <c r="T50" s="32">
        <f>SUM(T5:T49)</f>
        <v>23982</v>
      </c>
      <c r="U50" s="31"/>
      <c r="V50" s="32">
        <f>SUM(V5:V49)</f>
        <v>102856</v>
      </c>
      <c r="W50" s="33">
        <f>IF(N(E50)=0,"",V50/E50)</f>
        <v>0.81092417098976644</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98" priority="9">
      <formula>ISNUMBER(SEARCH("غير معرف",B5))</formula>
    </cfRule>
  </conditionalFormatting>
  <conditionalFormatting sqref="H5:Q49">
    <cfRule type="expression" dxfId="297" priority="2">
      <formula>AND($Z5&lt;&gt;"",COUNTIF($Y$5:$Y$49,$Z5)=0)</formula>
    </cfRule>
  </conditionalFormatting>
  <conditionalFormatting sqref="I5:I49">
    <cfRule type="expression" dxfId="296" priority="10">
      <formula>ISNUMBER(SEARCH("غير معرف",I5))</formula>
    </cfRule>
  </conditionalFormatting>
  <conditionalFormatting sqref="J5:J49">
    <cfRule type="expression" dxfId="295" priority="3">
      <formula>ISNUMBER(SEARCH("تم استلام",J5))</formula>
    </cfRule>
    <cfRule type="expression" dxfId="294" priority="4">
      <formula>ISNUMBER(SEARCH("لم تصل",J5))</formula>
    </cfRule>
  </conditionalFormatting>
  <conditionalFormatting sqref="V5:V50">
    <cfRule type="cellIs" dxfId="293" priority="5" operator="lessThan">
      <formula>0</formula>
    </cfRule>
  </conditionalFormatting>
  <conditionalFormatting sqref="X5:X49">
    <cfRule type="expression" dxfId="292" priority="6">
      <formula>ISNUMBER(SEARCH("اكتملت",X5))</formula>
    </cfRule>
    <cfRule type="expression" dxfId="291" priority="7">
      <formula>ISNUMBER(SEARCH("وصل ",X5))</formula>
    </cfRule>
    <cfRule type="expression" dxfId="290" priority="8">
      <formula>ISNUMBER(SEARCH("لا توجد",X5))</formula>
    </cfRule>
  </conditionalFormatting>
  <dataValidations count="1">
    <dataValidation type="list" allowBlank="1" sqref="H5:H49" xr:uid="{00000000-0002-0000-04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4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400-000000000000}">
          <x14:formula1>
            <xm:f>'قائمة الأصناف'!$A$3:$A$1000</xm:f>
          </x14:formula1>
          <x14:formula2>
            <xm:f>0</xm:f>
          </x14:formula2>
          <xm:sqref>A5:A49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activeCell="J19" sqref="J19"/>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3</v>
      </c>
      <c r="C1" s="16" t="s">
        <v>993</v>
      </c>
      <c r="D1" s="37">
        <f>IF($B$1&lt;=الإعدادات!$B$6,DATE(الإعدادات!$B$3,الإعدادات!$B$4,$B$1),"")</f>
        <v>46176</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102</v>
      </c>
      <c r="B5" s="36" t="str">
        <f>IF(Y5="","",IFERROR(INDEX('قائمة الأصناف'!$B$3:$B$1000,MATCH(Y5,'قائمة الأصناف'!$C$3:$C$1000,0)),"⚠ كود غير معرف"))</f>
        <v>ليمون بن زهير</v>
      </c>
      <c r="C5" s="42">
        <v>15504</v>
      </c>
      <c r="D5" s="43">
        <v>2.5</v>
      </c>
      <c r="E5" s="29">
        <f t="shared" ref="E5:E49" si="0">IF(OR(C5="",D5=""),"",C5*D5)</f>
        <v>38760</v>
      </c>
      <c r="F5" s="29">
        <f>IF(E5="","",E5*الإعدادات!$B$8)</f>
        <v>5814</v>
      </c>
      <c r="G5" s="29">
        <f t="shared" ref="G5:G49" si="1">IF(E5="","",E5+F5)</f>
        <v>44574</v>
      </c>
      <c r="H5" s="41" t="s">
        <v>102</v>
      </c>
      <c r="I5" s="36" t="str">
        <f>IF(Z5="","",IF(COUNTIF($Y$5:$Y$49,Z5)=0,"⚠ الصنف غير موجود في المبيعات",IFERROR(INDEX('قائمة الأصناف'!$B$3:$B$1000,MATCH(Z5,'قائمة الأصناف'!$C$3:$C$1000,0)),"⚠ كود غير معرف")))</f>
        <v>ليمون بن زهير</v>
      </c>
      <c r="J5" s="27" t="str">
        <f t="shared" ref="J5:J49" si="2">IF(AND(Z5="",TRIM(K5)="",M5="",N5=""),"",IF(AND(Z5&lt;&gt;"",COUNTIF($Y$5:$Y$49,Z5)=0),"✗ حُذف من المبيعات — مستبعد من الحساب",IF(N5="","✗ لم تصل من المورد","✓ تم استلام الفاتورة")))</f>
        <v>✗ لم تصل من المورد</v>
      </c>
      <c r="K5" s="44" t="s">
        <v>1015</v>
      </c>
      <c r="L5" s="41"/>
      <c r="M5" s="42">
        <v>2584</v>
      </c>
      <c r="N5" s="43"/>
      <c r="O5" s="29" t="str">
        <f t="shared" ref="O5:O49" si="3">IF(OR(M5="",N5=""),"",IF(COUNTIF($Y$5:$Y$49,Z5)=0,"",M5*N5))</f>
        <v/>
      </c>
      <c r="P5" s="29" t="str">
        <f>IF(O5="","",O5*الإعدادات!$B$8)</f>
        <v/>
      </c>
      <c r="Q5" s="29" t="str">
        <f t="shared" ref="Q5:Q49" si="4">IF(O5="","",O5+P5)</f>
        <v/>
      </c>
      <c r="R5" s="45">
        <f t="shared" ref="R5:R49" si="5">IF(Y5="","",SUMIFS($M$5:$M$49,$Z$5:$Z$49,Y5))</f>
        <v>2584</v>
      </c>
      <c r="S5" s="45">
        <f t="shared" ref="S5:S49" si="6">IF(Y5="","",COUNTIFS($Z$5:$Z$49,Y5))</f>
        <v>1</v>
      </c>
      <c r="T5" s="29">
        <f t="shared" ref="T5:T49" si="7">IF(Y5="","",SUMIFS($O$5:$O$49,$Z$5:$Z$49,Y5))</f>
        <v>0</v>
      </c>
      <c r="U5" s="29">
        <f t="shared" ref="U5:U49" si="8">IF(Y5="","",IF(N(R5)=0,"",T5/R5))</f>
        <v>0</v>
      </c>
      <c r="V5" s="29">
        <f t="shared" ref="V5:V49" si="9">IF(Y5="","",N(E5)-T5)</f>
        <v>38760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48318</v>
      </c>
      <c r="Z5" t="str">
        <f t="shared" ref="Z5:Z49" si="13">IF(TRIM(H5)="","",IF(ISNUMBER(VALUE(TRIM(H5))),TEXT(VALUE(TRIM(H5)),"0"),TRIM(H5)))</f>
        <v>48318</v>
      </c>
    </row>
    <row r="6" spans="1:26" x14ac:dyDescent="0.25">
      <c r="A6" s="41" t="s">
        <v>82</v>
      </c>
      <c r="B6" s="36" t="str">
        <f>IF(Y6="","",IFERROR(INDEX('قائمة الأصناف'!$B$3:$B$1000,MATCH(Y6,'قائمة الأصناف'!$C$3:$C$1000,0)),"⚠ كود غير معرف"))</f>
        <v>فلفل احمر</v>
      </c>
      <c r="C6" s="42">
        <v>624</v>
      </c>
      <c r="D6" s="43">
        <v>8</v>
      </c>
      <c r="E6" s="29">
        <f t="shared" si="0"/>
        <v>4992</v>
      </c>
      <c r="F6" s="29">
        <f>IF(E6="","",E6*الإعدادات!$B$8)</f>
        <v>748.8</v>
      </c>
      <c r="G6" s="29">
        <f t="shared" si="1"/>
        <v>5740.8</v>
      </c>
      <c r="H6" s="41" t="s">
        <v>82</v>
      </c>
      <c r="I6" s="36" t="str">
        <f>IF(Z6="","",IF(COUNTIF($Y$5:$Y$49,Z6)=0,"⚠ الصنف غير موجود في المبيعات",IFERROR(INDEX('قائمة الأصناف'!$B$3:$B$1000,MATCH(Z6,'قائمة الأصناف'!$C$3:$C$1000,0)),"⚠ كود غير معرف")))</f>
        <v>فلفل احمر</v>
      </c>
      <c r="J6" s="27" t="str">
        <f t="shared" si="2"/>
        <v>✗ لم تصل من المورد</v>
      </c>
      <c r="K6" s="44" t="s">
        <v>1027</v>
      </c>
      <c r="L6" s="41"/>
      <c r="M6" s="42">
        <v>120</v>
      </c>
      <c r="N6" s="43"/>
      <c r="O6" s="29" t="str">
        <f t="shared" si="3"/>
        <v/>
      </c>
      <c r="P6" s="29" t="str">
        <f>IF(O6="","",O6*الإعدادات!$B$8)</f>
        <v/>
      </c>
      <c r="Q6" s="29" t="str">
        <f t="shared" si="4"/>
        <v/>
      </c>
      <c r="R6" s="45">
        <f t="shared" si="5"/>
        <v>120</v>
      </c>
      <c r="S6" s="45">
        <f t="shared" si="6"/>
        <v>1</v>
      </c>
      <c r="T6" s="29">
        <f t="shared" si="7"/>
        <v>0</v>
      </c>
      <c r="U6" s="29">
        <f t="shared" si="8"/>
        <v>0</v>
      </c>
      <c r="V6" s="29">
        <f t="shared" si="9"/>
        <v>4992</v>
      </c>
      <c r="W6" s="30">
        <f t="shared" si="10"/>
        <v>1</v>
      </c>
      <c r="X6" s="27" t="str">
        <f t="shared" si="11"/>
        <v>⚠ وصل 0 من 1 فواتير</v>
      </c>
      <c r="Y6" t="str">
        <f t="shared" si="12"/>
        <v>48679</v>
      </c>
      <c r="Z6" t="str">
        <f t="shared" si="13"/>
        <v>48679</v>
      </c>
    </row>
    <row r="7" spans="1:26" x14ac:dyDescent="0.25">
      <c r="A7" s="41" t="s">
        <v>84</v>
      </c>
      <c r="B7" s="36" t="str">
        <f>IF(Y7="","",IFERROR(INDEX('قائمة الأصناف'!$B$3:$B$1000,MATCH(Y7,'قائمة الأصناف'!$C$3:$C$1000,0)),"⚠ كود غير معرف"))</f>
        <v>فلفل اصفر</v>
      </c>
      <c r="C7" s="42">
        <v>503</v>
      </c>
      <c r="D7" s="43">
        <v>8</v>
      </c>
      <c r="E7" s="29">
        <f t="shared" si="0"/>
        <v>4024</v>
      </c>
      <c r="F7" s="29">
        <f>IF(E7="","",E7*الإعدادات!$B$8)</f>
        <v>603.6</v>
      </c>
      <c r="G7" s="29">
        <f t="shared" si="1"/>
        <v>4627.6000000000004</v>
      </c>
      <c r="H7" s="41" t="s">
        <v>84</v>
      </c>
      <c r="I7" s="36" t="str">
        <f>IF(Z7="","",IF(COUNTIF($Y$5:$Y$49,Z7)=0,"⚠ الصنف غير موجود في المبيعات",IFERROR(INDEX('قائمة الأصناف'!$B$3:$B$1000,MATCH(Z7,'قائمة الأصناف'!$C$3:$C$1000,0)),"⚠ كود غير معرف")))</f>
        <v>فلفل اصفر</v>
      </c>
      <c r="J7" s="27" t="str">
        <f t="shared" si="2"/>
        <v>✗ لم تصل من المورد</v>
      </c>
      <c r="K7" s="44" t="s">
        <v>1027</v>
      </c>
      <c r="L7" s="41"/>
      <c r="M7" s="42">
        <v>110</v>
      </c>
      <c r="N7" s="43"/>
      <c r="O7" s="29" t="str">
        <f t="shared" si="3"/>
        <v/>
      </c>
      <c r="P7" s="29" t="str">
        <f>IF(O7="","",O7*الإعدادات!$B$8)</f>
        <v/>
      </c>
      <c r="Q7" s="29" t="str">
        <f t="shared" si="4"/>
        <v/>
      </c>
      <c r="R7" s="45">
        <f t="shared" si="5"/>
        <v>110</v>
      </c>
      <c r="S7" s="45">
        <f t="shared" si="6"/>
        <v>1</v>
      </c>
      <c r="T7" s="29">
        <f t="shared" si="7"/>
        <v>0</v>
      </c>
      <c r="U7" s="29">
        <f t="shared" si="8"/>
        <v>0</v>
      </c>
      <c r="V7" s="29">
        <f t="shared" si="9"/>
        <v>4024</v>
      </c>
      <c r="W7" s="30">
        <f t="shared" si="10"/>
        <v>1</v>
      </c>
      <c r="X7" s="27" t="str">
        <f t="shared" si="11"/>
        <v>⚠ وصل 0 من 1 فواتير</v>
      </c>
      <c r="Y7" t="str">
        <f t="shared" si="12"/>
        <v>48683</v>
      </c>
      <c r="Z7" t="str">
        <f t="shared" si="13"/>
        <v>48683</v>
      </c>
    </row>
    <row r="8" spans="1:26" x14ac:dyDescent="0.25">
      <c r="A8" s="41" t="s">
        <v>96</v>
      </c>
      <c r="B8" s="36" t="str">
        <f>IF(Y8="","",IFERROR(INDEX('قائمة الأصناف'!$B$3:$B$1000,MATCH(Y8,'قائمة الأصناف'!$C$3:$C$1000,0)),"⚠ كود غير معرف"))</f>
        <v>بطاطا حلوه</v>
      </c>
      <c r="C8" s="42">
        <v>941</v>
      </c>
      <c r="D8" s="43">
        <v>4</v>
      </c>
      <c r="E8" s="29">
        <f t="shared" si="0"/>
        <v>3764</v>
      </c>
      <c r="F8" s="29">
        <f>IF(E8="","",E8*الإعدادات!$B$8)</f>
        <v>564.6</v>
      </c>
      <c r="G8" s="29">
        <f t="shared" si="1"/>
        <v>4328.6000000000004</v>
      </c>
      <c r="H8" s="41" t="s">
        <v>96</v>
      </c>
      <c r="I8" s="36" t="str">
        <f>IF(Z8="","",IF(COUNTIF($Y$5:$Y$49,Z8)=0,"⚠ الصنف غير موجود في المبيعات",IFERROR(INDEX('قائمة الأصناف'!$B$3:$B$1000,MATCH(Z8,'قائمة الأصناف'!$C$3:$C$1000,0)),"⚠ كود غير معرف")))</f>
        <v>بطاطا حلوه</v>
      </c>
      <c r="J8" s="27" t="str">
        <f t="shared" si="2"/>
        <v>✓ تم استلام الفاتورة</v>
      </c>
      <c r="K8" s="44" t="s">
        <v>1028</v>
      </c>
      <c r="L8" s="41"/>
      <c r="M8" s="42">
        <v>337</v>
      </c>
      <c r="N8" s="43">
        <v>9</v>
      </c>
      <c r="O8" s="29">
        <f t="shared" si="3"/>
        <v>3033</v>
      </c>
      <c r="P8" s="29">
        <f>IF(O8="","",O8*الإعدادات!$B$8)</f>
        <v>454.95</v>
      </c>
      <c r="Q8" s="29">
        <f t="shared" si="4"/>
        <v>3487.95</v>
      </c>
      <c r="R8" s="45">
        <f t="shared" si="5"/>
        <v>337</v>
      </c>
      <c r="S8" s="45">
        <f t="shared" si="6"/>
        <v>1</v>
      </c>
      <c r="T8" s="29">
        <f t="shared" si="7"/>
        <v>3033</v>
      </c>
      <c r="U8" s="29">
        <f t="shared" si="8"/>
        <v>9</v>
      </c>
      <c r="V8" s="29">
        <f t="shared" si="9"/>
        <v>731</v>
      </c>
      <c r="W8" s="30">
        <f t="shared" si="10"/>
        <v>0.19420828905419765</v>
      </c>
      <c r="X8" s="27" t="str">
        <f t="shared" si="11"/>
        <v>✓ اكتملت جميع الفواتير (1)</v>
      </c>
      <c r="Y8" t="str">
        <f t="shared" si="12"/>
        <v>48217</v>
      </c>
      <c r="Z8" t="str">
        <f t="shared" si="13"/>
        <v>48217</v>
      </c>
    </row>
    <row r="9" spans="1:26" x14ac:dyDescent="0.25">
      <c r="A9" s="41" t="s">
        <v>54</v>
      </c>
      <c r="B9" s="36" t="str">
        <f>IF(Y9="","",IFERROR(INDEX('قائمة الأصناف'!$B$3:$B$1000,MATCH(Y9,'قائمة الأصناف'!$C$3:$C$1000,0)),"⚠ كود غير معرف"))</f>
        <v>برتقال عصير</v>
      </c>
      <c r="C9" s="42">
        <v>6000</v>
      </c>
      <c r="D9" s="43">
        <v>3</v>
      </c>
      <c r="E9" s="29">
        <f t="shared" si="0"/>
        <v>18000</v>
      </c>
      <c r="F9" s="29">
        <f>IF(E9="","",E9*الإعدادات!$B$8)</f>
        <v>2700</v>
      </c>
      <c r="G9" s="29">
        <f t="shared" si="1"/>
        <v>20700</v>
      </c>
      <c r="H9" s="41" t="s">
        <v>54</v>
      </c>
      <c r="I9" s="36" t="str">
        <f>IF(Z9="","",IF(COUNTIF($Y$5:$Y$49,Z9)=0,"⚠ الصنف غير موجود في المبيعات",IFERROR(INDEX('قائمة الأصناف'!$B$3:$B$1000,MATCH(Z9,'قائمة الأصناف'!$C$3:$C$1000,0)),"⚠ كود غير معرف")))</f>
        <v>برتقال عصير</v>
      </c>
      <c r="J9" s="27" t="str">
        <f t="shared" si="2"/>
        <v>✗ لم تصل من المورد</v>
      </c>
      <c r="K9" s="44" t="s">
        <v>1023</v>
      </c>
      <c r="L9" s="41"/>
      <c r="M9" s="42">
        <v>480</v>
      </c>
      <c r="N9" s="43"/>
      <c r="O9" s="29" t="str">
        <f t="shared" si="3"/>
        <v/>
      </c>
      <c r="P9" s="29" t="str">
        <f>IF(O9="","",O9*الإعدادات!$B$8)</f>
        <v/>
      </c>
      <c r="Q9" s="29" t="str">
        <f t="shared" si="4"/>
        <v/>
      </c>
      <c r="R9" s="45">
        <f t="shared" si="5"/>
        <v>480</v>
      </c>
      <c r="S9" s="45">
        <f t="shared" si="6"/>
        <v>1</v>
      </c>
      <c r="T9" s="29">
        <f t="shared" si="7"/>
        <v>0</v>
      </c>
      <c r="U9" s="29">
        <f t="shared" si="8"/>
        <v>0</v>
      </c>
      <c r="V9" s="29">
        <f t="shared" si="9"/>
        <v>18000</v>
      </c>
      <c r="W9" s="30">
        <f t="shared" si="10"/>
        <v>1</v>
      </c>
      <c r="X9" s="27" t="str">
        <f t="shared" si="11"/>
        <v>⚠ وصل 0 من 1 فواتير</v>
      </c>
      <c r="Y9" t="str">
        <f t="shared" si="12"/>
        <v>49494</v>
      </c>
      <c r="Z9" t="str">
        <f t="shared" si="13"/>
        <v>49494</v>
      </c>
    </row>
    <row r="10" spans="1:26" x14ac:dyDescent="0.25">
      <c r="A10" s="41" t="s">
        <v>58</v>
      </c>
      <c r="B10" s="36" t="str">
        <f>IF(Y10="","",IFERROR(INDEX('قائمة الأصناف'!$B$3:$B$1000,MATCH(Y10,'قائمة الأصناف'!$C$3:$C$1000,0)),"⚠ كود غير معرف"))</f>
        <v>كلمنتينا</v>
      </c>
      <c r="C10" s="42">
        <v>3279</v>
      </c>
      <c r="D10" s="43">
        <v>5</v>
      </c>
      <c r="E10" s="29">
        <f t="shared" si="0"/>
        <v>16395</v>
      </c>
      <c r="F10" s="29">
        <f>IF(E10="","",E10*الإعدادات!$B$8)</f>
        <v>2459.25</v>
      </c>
      <c r="G10" s="29">
        <f t="shared" si="1"/>
        <v>18854.25</v>
      </c>
      <c r="H10" s="41" t="s">
        <v>58</v>
      </c>
      <c r="I10" s="36" t="str">
        <f>IF(Z10="","",IF(COUNTIF($Y$5:$Y$49,Z10)=0,"⚠ الصنف غير موجود في المبيعات",IFERROR(INDEX('قائمة الأصناف'!$B$3:$B$1000,MATCH(Z10,'قائمة الأصناف'!$C$3:$C$1000,0)),"⚠ كود غير معرف")))</f>
        <v>كلمنتينا</v>
      </c>
      <c r="J10" s="27" t="str">
        <f t="shared" si="2"/>
        <v>✗ لم تصل من المورد</v>
      </c>
      <c r="K10" s="44" t="s">
        <v>1029</v>
      </c>
      <c r="L10" s="41"/>
      <c r="M10" s="42">
        <v>407</v>
      </c>
      <c r="N10" s="43"/>
      <c r="O10" s="29" t="str">
        <f t="shared" si="3"/>
        <v/>
      </c>
      <c r="P10" s="29" t="str">
        <f>IF(O10="","",O10*الإعدادات!$B$8)</f>
        <v/>
      </c>
      <c r="Q10" s="29" t="str">
        <f t="shared" si="4"/>
        <v/>
      </c>
      <c r="R10" s="45">
        <f t="shared" si="5"/>
        <v>407</v>
      </c>
      <c r="S10" s="45">
        <f t="shared" si="6"/>
        <v>1</v>
      </c>
      <c r="T10" s="29">
        <f t="shared" si="7"/>
        <v>0</v>
      </c>
      <c r="U10" s="29">
        <f t="shared" si="8"/>
        <v>0</v>
      </c>
      <c r="V10" s="29">
        <f t="shared" si="9"/>
        <v>16395</v>
      </c>
      <c r="W10" s="30">
        <f t="shared" si="10"/>
        <v>1</v>
      </c>
      <c r="X10" s="27" t="str">
        <f t="shared" si="11"/>
        <v>⚠ وصل 0 من 1 فواتير</v>
      </c>
      <c r="Y10" t="str">
        <f t="shared" si="12"/>
        <v>48432</v>
      </c>
      <c r="Z10" t="str">
        <f t="shared" si="13"/>
        <v>48432</v>
      </c>
    </row>
    <row r="11" spans="1:26" x14ac:dyDescent="0.25">
      <c r="A11" s="41" t="s">
        <v>88</v>
      </c>
      <c r="B11" s="36" t="str">
        <f>IF(Y11="","",IFERROR(INDEX('قائمة الأصناف'!$B$3:$B$1000,MATCH(Y11,'قائمة الأصناف'!$C$3:$C$1000,0)),"⚠ كود غير معرف"))</f>
        <v>موز</v>
      </c>
      <c r="C11" s="42">
        <v>4368</v>
      </c>
      <c r="D11" s="43">
        <v>5.5</v>
      </c>
      <c r="E11" s="29">
        <f t="shared" si="0"/>
        <v>24024</v>
      </c>
      <c r="F11" s="29">
        <f>IF(E11="","",E11*الإعدادات!$B$8)</f>
        <v>3603.6</v>
      </c>
      <c r="G11" s="29">
        <f t="shared" si="1"/>
        <v>27627.599999999999</v>
      </c>
      <c r="H11" s="41" t="s">
        <v>88</v>
      </c>
      <c r="I11" s="36" t="str">
        <f>IF(Z11="","",IF(COUNTIF($Y$5:$Y$49,Z11)=0,"⚠ الصنف غير موجود في المبيعات",IFERROR(INDEX('قائمة الأصناف'!$B$3:$B$1000,MATCH(Z11,'قائمة الأصناف'!$C$3:$C$1000,0)),"⚠ كود غير معرف")))</f>
        <v>موز</v>
      </c>
      <c r="J11" s="27" t="str">
        <f t="shared" si="2"/>
        <v>✓ تم استلام الفاتورة</v>
      </c>
      <c r="K11" s="44" t="s">
        <v>1030</v>
      </c>
      <c r="L11" s="41"/>
      <c r="M11" s="42">
        <v>300</v>
      </c>
      <c r="N11" s="43">
        <v>73</v>
      </c>
      <c r="O11" s="29">
        <f t="shared" si="3"/>
        <v>21900</v>
      </c>
      <c r="P11" s="29">
        <f>IF(O11="","",O11*الإعدادات!$B$8)</f>
        <v>3285</v>
      </c>
      <c r="Q11" s="29">
        <f t="shared" si="4"/>
        <v>25185</v>
      </c>
      <c r="R11" s="45">
        <f t="shared" si="5"/>
        <v>300</v>
      </c>
      <c r="S11" s="45">
        <f t="shared" si="6"/>
        <v>1</v>
      </c>
      <c r="T11" s="29">
        <f t="shared" si="7"/>
        <v>21900</v>
      </c>
      <c r="U11" s="29">
        <f t="shared" si="8"/>
        <v>73</v>
      </c>
      <c r="V11" s="29">
        <f t="shared" si="9"/>
        <v>2124</v>
      </c>
      <c r="W11" s="30">
        <f t="shared" si="10"/>
        <v>8.8411588411588415E-2</v>
      </c>
      <c r="X11" s="27" t="str">
        <f t="shared" si="11"/>
        <v>✓ اكتملت جميع الفواتير (1)</v>
      </c>
      <c r="Y11" t="str">
        <f t="shared" si="12"/>
        <v>48595</v>
      </c>
      <c r="Z11" t="str">
        <f t="shared" si="13"/>
        <v>48595</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31219</v>
      </c>
      <c r="D50" s="31"/>
      <c r="E50" s="32">
        <f>SUM(E5:E49)</f>
        <v>109959</v>
      </c>
      <c r="F50" s="32">
        <f>SUM(F5:F49)</f>
        <v>16493.849999999999</v>
      </c>
      <c r="G50" s="32">
        <f>SUM(G5:G49)</f>
        <v>126452.85</v>
      </c>
      <c r="H50" s="31"/>
      <c r="I50" s="31"/>
      <c r="J50" s="31"/>
      <c r="K50" s="31"/>
      <c r="L50" s="31"/>
      <c r="M50" s="46">
        <f>SUM(M5:M49)</f>
        <v>4338</v>
      </c>
      <c r="N50" s="31"/>
      <c r="O50" s="32">
        <f>SUM(O5:O49)</f>
        <v>24933</v>
      </c>
      <c r="P50" s="32">
        <f>SUM(P5:P49)</f>
        <v>3739.95</v>
      </c>
      <c r="Q50" s="32">
        <f>SUM(Q5:Q49)</f>
        <v>28672.95</v>
      </c>
      <c r="R50" s="31"/>
      <c r="S50" s="31"/>
      <c r="T50" s="32">
        <f>SUM(T5:T49)</f>
        <v>24933</v>
      </c>
      <c r="U50" s="31"/>
      <c r="V50" s="32">
        <f>SUM(V5:V49)</f>
        <v>85026</v>
      </c>
      <c r="W50" s="33">
        <f>IF(N(E50)=0,"",V50/E50)</f>
        <v>0.77325184841622785</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88" priority="9">
      <formula>ISNUMBER(SEARCH("غير معرف",B5))</formula>
    </cfRule>
  </conditionalFormatting>
  <conditionalFormatting sqref="H5:Q49">
    <cfRule type="expression" dxfId="287" priority="2">
      <formula>AND($Z5&lt;&gt;"",COUNTIF($Y$5:$Y$49,$Z5)=0)</formula>
    </cfRule>
  </conditionalFormatting>
  <conditionalFormatting sqref="I5:I49">
    <cfRule type="expression" dxfId="286" priority="10">
      <formula>ISNUMBER(SEARCH("غير معرف",I5))</formula>
    </cfRule>
  </conditionalFormatting>
  <conditionalFormatting sqref="J5:J49">
    <cfRule type="expression" dxfId="285" priority="3">
      <formula>ISNUMBER(SEARCH("تم استلام",J5))</formula>
    </cfRule>
    <cfRule type="expression" dxfId="284" priority="4">
      <formula>ISNUMBER(SEARCH("لم تصل",J5))</formula>
    </cfRule>
  </conditionalFormatting>
  <conditionalFormatting sqref="V5:V50">
    <cfRule type="cellIs" dxfId="283" priority="5" operator="lessThan">
      <formula>0</formula>
    </cfRule>
  </conditionalFormatting>
  <conditionalFormatting sqref="X5:X49">
    <cfRule type="expression" dxfId="282" priority="6">
      <formula>ISNUMBER(SEARCH("اكتملت",X5))</formula>
    </cfRule>
    <cfRule type="expression" dxfId="281" priority="7">
      <formula>ISNUMBER(SEARCH("وصل ",X5))</formula>
    </cfRule>
    <cfRule type="expression" dxfId="280" priority="8">
      <formula>ISNUMBER(SEARCH("لا توجد",X5))</formula>
    </cfRule>
  </conditionalFormatting>
  <dataValidations count="1">
    <dataValidation type="list" allowBlank="1" sqref="H5:H49" xr:uid="{00000000-0002-0000-05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5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500-000000000000}">
          <x14:formula1>
            <xm:f>'قائمة الأصناف'!$A$3:$A$1000</xm:f>
          </x14:formula1>
          <x14:formula2>
            <xm:f>0</xm:f>
          </x14:formula2>
          <xm:sqref>A5:A49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4</v>
      </c>
      <c r="C1" s="16" t="s">
        <v>993</v>
      </c>
      <c r="D1" s="37">
        <f>IF($B$1&lt;=الإعدادات!$B$6,DATE(الإعدادات!$B$3,الإعدادات!$B$4,$B$1),"")</f>
        <v>46177</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80</v>
      </c>
      <c r="B5" s="36" t="str">
        <f>IF(Y5="","",IFERROR(INDEX('قائمة الأصناف'!$B$3:$B$1000,MATCH(Y5,'قائمة الأصناف'!$C$3:$C$1000,0)),"⚠ كود غير معرف"))</f>
        <v>بصل احمر</v>
      </c>
      <c r="C5" s="42">
        <v>24398</v>
      </c>
      <c r="D5" s="43">
        <v>2.2000000000000002</v>
      </c>
      <c r="E5" s="29">
        <f t="shared" ref="E5:E49" si="0">IF(OR(C5="",D5=""),"",C5*D5)</f>
        <v>53675.600000000006</v>
      </c>
      <c r="F5" s="29">
        <f>IF(E5="","",E5*الإعدادات!$B$8)</f>
        <v>8051.34</v>
      </c>
      <c r="G5" s="29">
        <f t="shared" ref="G5:G49" si="1">IF(E5="","",E5+F5)</f>
        <v>61726.94</v>
      </c>
      <c r="H5" s="41" t="s">
        <v>48</v>
      </c>
      <c r="I5" s="36" t="str">
        <f>IF(Z5="","",IF(COUNTIF($Y$5:$Y$49,Z5)=0,"⚠ الصنف غير موجود في المبيعات",IFERROR(INDEX('قائمة الأصناف'!$B$3:$B$1000,MATCH(Z5,'قائمة الأصناف'!$C$3:$C$1000,0)),"⚠ كود غير معرف")))</f>
        <v>مانجو يمنى</v>
      </c>
      <c r="J5" s="27" t="str">
        <f t="shared" ref="J5:J49" si="2">IF(AND(Z5="",TRIM(K5)="",M5="",N5=""),"",IF(AND(Z5&lt;&gt;"",COUNTIF($Y$5:$Y$49,Z5)=0),"✗ حُذف من المبيعات — مستبعد من الحساب",IF(N5="","✗ لم تصل من المورد","✓ تم استلام الفاتورة")))</f>
        <v>✗ لم تصل من المورد</v>
      </c>
      <c r="K5" s="44" t="s">
        <v>1031</v>
      </c>
      <c r="L5" s="41"/>
      <c r="M5" s="42">
        <v>2469</v>
      </c>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53675.600000000006</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49502</v>
      </c>
      <c r="Z5" t="str">
        <f t="shared" ref="Z5:Z49" si="13">IF(TRIM(H5)="","",IF(ISNUMBER(VALUE(TRIM(H5))),TEXT(VALUE(TRIM(H5)),"0"),TRIM(H5)))</f>
        <v>48568</v>
      </c>
    </row>
    <row r="6" spans="1:26" x14ac:dyDescent="0.25">
      <c r="A6" s="41" t="s">
        <v>48</v>
      </c>
      <c r="B6" s="36" t="str">
        <f>IF(Y6="","",IFERROR(INDEX('قائمة الأصناف'!$B$3:$B$1000,MATCH(Y6,'قائمة الأصناف'!$C$3:$C$1000,0)),"⚠ كود غير معرف"))</f>
        <v>مانجو يمنى</v>
      </c>
      <c r="C6" s="42">
        <v>8571</v>
      </c>
      <c r="D6" s="43">
        <v>4.5</v>
      </c>
      <c r="E6" s="29">
        <f t="shared" si="0"/>
        <v>38569.5</v>
      </c>
      <c r="F6" s="29">
        <f>IF(E6="","",E6*الإعدادات!$B$8)</f>
        <v>5785.4250000000002</v>
      </c>
      <c r="G6" s="29">
        <f t="shared" si="1"/>
        <v>44354.925000000003</v>
      </c>
      <c r="H6" s="41" t="s">
        <v>58</v>
      </c>
      <c r="I6" s="36" t="str">
        <f>IF(Z6="","",IF(COUNTIF($Y$5:$Y$49,Z6)=0,"⚠ الصنف غير موجود في المبيعات",IFERROR(INDEX('قائمة الأصناف'!$B$3:$B$1000,MATCH(Z6,'قائمة الأصناف'!$C$3:$C$1000,0)),"⚠ كود غير معرف")))</f>
        <v>كلمنتينا</v>
      </c>
      <c r="J6" s="27" t="str">
        <f t="shared" si="2"/>
        <v>✗ لم تصل من المورد</v>
      </c>
      <c r="K6" s="44" t="s">
        <v>1032</v>
      </c>
      <c r="L6" s="41"/>
      <c r="M6" s="42">
        <v>408</v>
      </c>
      <c r="N6" s="43"/>
      <c r="O6" s="29" t="str">
        <f t="shared" si="3"/>
        <v/>
      </c>
      <c r="P6" s="29" t="str">
        <f>IF(O6="","",O6*الإعدادات!$B$8)</f>
        <v/>
      </c>
      <c r="Q6" s="29" t="str">
        <f t="shared" si="4"/>
        <v/>
      </c>
      <c r="R6" s="45">
        <f t="shared" si="5"/>
        <v>2469</v>
      </c>
      <c r="S6" s="45">
        <f t="shared" si="6"/>
        <v>1</v>
      </c>
      <c r="T6" s="29">
        <f t="shared" si="7"/>
        <v>0</v>
      </c>
      <c r="U6" s="29">
        <f t="shared" si="8"/>
        <v>0</v>
      </c>
      <c r="V6" s="29">
        <f t="shared" si="9"/>
        <v>38569.5</v>
      </c>
      <c r="W6" s="30">
        <f t="shared" si="10"/>
        <v>1</v>
      </c>
      <c r="X6" s="27" t="str">
        <f t="shared" si="11"/>
        <v>⚠ وصل 0 من 1 فواتير</v>
      </c>
      <c r="Y6" t="str">
        <f t="shared" si="12"/>
        <v>48568</v>
      </c>
      <c r="Z6" t="str">
        <f t="shared" si="13"/>
        <v>48432</v>
      </c>
    </row>
    <row r="7" spans="1:26" x14ac:dyDescent="0.25">
      <c r="A7" s="41" t="s">
        <v>58</v>
      </c>
      <c r="B7" s="36" t="str">
        <f>IF(Y7="","",IFERROR(INDEX('قائمة الأصناف'!$B$3:$B$1000,MATCH(Y7,'قائمة الأصناف'!$C$3:$C$1000,0)),"⚠ كود غير معرف"))</f>
        <v>كلمنتينا</v>
      </c>
      <c r="C7" s="42">
        <v>2950</v>
      </c>
      <c r="D7" s="43">
        <v>5</v>
      </c>
      <c r="E7" s="29">
        <f t="shared" si="0"/>
        <v>14750</v>
      </c>
      <c r="F7" s="29">
        <f>IF(E7="","",E7*الإعدادات!$B$8)</f>
        <v>2212.5</v>
      </c>
      <c r="G7" s="29">
        <f t="shared" si="1"/>
        <v>16962.5</v>
      </c>
      <c r="H7" s="41" t="s">
        <v>52</v>
      </c>
      <c r="I7" s="36" t="str">
        <f>IF(Z7="","",IF(COUNTIF($Y$5:$Y$49,Z7)=0,"⚠ الصنف غير موجود في المبيعات",IFERROR(INDEX('قائمة الأصناف'!$B$3:$B$1000,MATCH(Z7,'قائمة الأصناف'!$C$3:$C$1000,0)),"⚠ كود غير معرف")))</f>
        <v>برتقال أبو صره</v>
      </c>
      <c r="J7" s="27" t="str">
        <f t="shared" si="2"/>
        <v>✗ لم تصل من المورد</v>
      </c>
      <c r="K7" s="44" t="s">
        <v>1033</v>
      </c>
      <c r="L7" s="41"/>
      <c r="M7" s="42">
        <v>492</v>
      </c>
      <c r="N7" s="43"/>
      <c r="O7" s="29" t="str">
        <f t="shared" si="3"/>
        <v/>
      </c>
      <c r="P7" s="29" t="str">
        <f>IF(O7="","",O7*الإعدادات!$B$8)</f>
        <v/>
      </c>
      <c r="Q7" s="29" t="str">
        <f t="shared" si="4"/>
        <v/>
      </c>
      <c r="R7" s="45">
        <f t="shared" si="5"/>
        <v>408</v>
      </c>
      <c r="S7" s="45">
        <f t="shared" si="6"/>
        <v>1</v>
      </c>
      <c r="T7" s="29">
        <f t="shared" si="7"/>
        <v>0</v>
      </c>
      <c r="U7" s="29">
        <f t="shared" si="8"/>
        <v>0</v>
      </c>
      <c r="V7" s="29">
        <f t="shared" si="9"/>
        <v>14750</v>
      </c>
      <c r="W7" s="30">
        <f t="shared" si="10"/>
        <v>1</v>
      </c>
      <c r="X7" s="27" t="str">
        <f t="shared" si="11"/>
        <v>⚠ وصل 0 من 1 فواتير</v>
      </c>
      <c r="Y7" t="str">
        <f t="shared" si="12"/>
        <v>48432</v>
      </c>
      <c r="Z7" t="str">
        <f t="shared" si="13"/>
        <v>47906</v>
      </c>
    </row>
    <row r="8" spans="1:26" x14ac:dyDescent="0.25">
      <c r="A8" s="41" t="s">
        <v>52</v>
      </c>
      <c r="B8" s="36" t="str">
        <f>IF(Y8="","",IFERROR(INDEX('قائمة الأصناف'!$B$3:$B$1000,MATCH(Y8,'قائمة الأصناف'!$C$3:$C$1000,0)),"⚠ كود غير معرف"))</f>
        <v>برتقال أبو صره</v>
      </c>
      <c r="C8" s="42">
        <v>4793</v>
      </c>
      <c r="D8" s="43">
        <v>6.5</v>
      </c>
      <c r="E8" s="29">
        <f t="shared" si="0"/>
        <v>31154.5</v>
      </c>
      <c r="F8" s="29">
        <f>IF(E8="","",E8*الإعدادات!$B$8)</f>
        <v>4673.1750000000002</v>
      </c>
      <c r="G8" s="29">
        <f t="shared" si="1"/>
        <v>35827.675000000003</v>
      </c>
      <c r="H8" s="41" t="s">
        <v>72</v>
      </c>
      <c r="I8" s="36" t="str">
        <f>IF(Z8="","",IF(COUNTIF($Y$5:$Y$49,Z8)=0,"⚠ الصنف غير موجود في المبيعات",IFERROR(INDEX('قائمة الأصناف'!$B$3:$B$1000,MATCH(Z8,'قائمة الأصناف'!$C$3:$C$1000,0)),"⚠ كود غير معرف")))</f>
        <v>كمثري</v>
      </c>
      <c r="J8" s="27" t="str">
        <f t="shared" si="2"/>
        <v>✗ لم تصل من المورد</v>
      </c>
      <c r="K8" s="44" t="s">
        <v>1034</v>
      </c>
      <c r="L8" s="41"/>
      <c r="M8" s="42">
        <v>360</v>
      </c>
      <c r="N8" s="43"/>
      <c r="O8" s="29" t="str">
        <f t="shared" si="3"/>
        <v/>
      </c>
      <c r="P8" s="29" t="str">
        <f>IF(O8="","",O8*الإعدادات!$B$8)</f>
        <v/>
      </c>
      <c r="Q8" s="29" t="str">
        <f t="shared" si="4"/>
        <v/>
      </c>
      <c r="R8" s="45">
        <f t="shared" si="5"/>
        <v>492</v>
      </c>
      <c r="S8" s="45">
        <f t="shared" si="6"/>
        <v>1</v>
      </c>
      <c r="T8" s="29">
        <f t="shared" si="7"/>
        <v>0</v>
      </c>
      <c r="U8" s="29">
        <f t="shared" si="8"/>
        <v>0</v>
      </c>
      <c r="V8" s="29">
        <f t="shared" si="9"/>
        <v>31154.5</v>
      </c>
      <c r="W8" s="30">
        <f t="shared" si="10"/>
        <v>1</v>
      </c>
      <c r="X8" s="27" t="str">
        <f t="shared" si="11"/>
        <v>⚠ وصل 0 من 1 فواتير</v>
      </c>
      <c r="Y8" t="str">
        <f t="shared" si="12"/>
        <v>47906</v>
      </c>
      <c r="Z8" t="str">
        <f t="shared" si="13"/>
        <v>47884</v>
      </c>
    </row>
    <row r="9" spans="1:26" x14ac:dyDescent="0.25">
      <c r="A9" s="41" t="s">
        <v>72</v>
      </c>
      <c r="B9" s="36" t="str">
        <f>IF(Y9="","",IFERROR(INDEX('قائمة الأصناف'!$B$3:$B$1000,MATCH(Y9,'قائمة الأصناف'!$C$3:$C$1000,0)),"⚠ كود غير معرف"))</f>
        <v>كمثري</v>
      </c>
      <c r="C9" s="42">
        <v>4608</v>
      </c>
      <c r="D9" s="43">
        <v>7</v>
      </c>
      <c r="E9" s="29">
        <f t="shared" si="0"/>
        <v>32256</v>
      </c>
      <c r="F9" s="29">
        <f>IF(E9="","",E9*الإعدادات!$B$8)</f>
        <v>4838.3999999999996</v>
      </c>
      <c r="G9" s="29">
        <f t="shared" si="1"/>
        <v>37094.400000000001</v>
      </c>
      <c r="H9" s="41" t="s">
        <v>100</v>
      </c>
      <c r="I9" s="36" t="str">
        <f>IF(Z9="","",IF(COUNTIF($Y$5:$Y$49,Z9)=0,"⚠ الصنف غير موجود في المبيعات",IFERROR(INDEX('قائمة الأصناف'!$B$3:$B$1000,MATCH(Z9,'قائمة الأصناف'!$C$3:$C$1000,0)),"⚠ كود غير معرف")))</f>
        <v>عنب اسود</v>
      </c>
      <c r="J9" s="27" t="str">
        <f t="shared" si="2"/>
        <v>✗ لم تصل من المورد</v>
      </c>
      <c r="K9" s="44" t="s">
        <v>1035</v>
      </c>
      <c r="L9" s="41"/>
      <c r="M9" s="42">
        <v>750</v>
      </c>
      <c r="N9" s="43"/>
      <c r="O9" s="29" t="str">
        <f t="shared" si="3"/>
        <v/>
      </c>
      <c r="P9" s="29" t="str">
        <f>IF(O9="","",O9*الإعدادات!$B$8)</f>
        <v/>
      </c>
      <c r="Q9" s="29" t="str">
        <f t="shared" si="4"/>
        <v/>
      </c>
      <c r="R9" s="45">
        <f t="shared" si="5"/>
        <v>360</v>
      </c>
      <c r="S9" s="45">
        <f t="shared" si="6"/>
        <v>1</v>
      </c>
      <c r="T9" s="29">
        <f t="shared" si="7"/>
        <v>0</v>
      </c>
      <c r="U9" s="29">
        <f t="shared" si="8"/>
        <v>0</v>
      </c>
      <c r="V9" s="29">
        <f t="shared" si="9"/>
        <v>32256</v>
      </c>
      <c r="W9" s="30">
        <f t="shared" si="10"/>
        <v>1</v>
      </c>
      <c r="X9" s="27" t="str">
        <f t="shared" si="11"/>
        <v>⚠ وصل 0 من 1 فواتير</v>
      </c>
      <c r="Y9" t="str">
        <f t="shared" si="12"/>
        <v>47884</v>
      </c>
      <c r="Z9" t="str">
        <f t="shared" si="13"/>
        <v>48601</v>
      </c>
    </row>
    <row r="10" spans="1:26" x14ac:dyDescent="0.25">
      <c r="A10" s="41" t="s">
        <v>100</v>
      </c>
      <c r="B10" s="36" t="str">
        <f>IF(Y10="","",IFERROR(INDEX('قائمة الأصناف'!$B$3:$B$1000,MATCH(Y10,'قائمة الأصناف'!$C$3:$C$1000,0)),"⚠ كود غير معرف"))</f>
        <v>عنب اسود</v>
      </c>
      <c r="C10" s="42">
        <v>2250</v>
      </c>
      <c r="D10" s="43">
        <v>8</v>
      </c>
      <c r="E10" s="29">
        <f t="shared" si="0"/>
        <v>18000</v>
      </c>
      <c r="F10" s="29">
        <f>IF(E10="","",E10*الإعدادات!$B$8)</f>
        <v>2700</v>
      </c>
      <c r="G10" s="29">
        <f t="shared" si="1"/>
        <v>20700</v>
      </c>
      <c r="H10" s="41" t="s">
        <v>94</v>
      </c>
      <c r="I10" s="36" t="str">
        <f>IF(Z10="","",IF(COUNTIF($Y$5:$Y$49,Z10)=0,"⚠ الصنف غير موجود في المبيعات",IFERROR(INDEX('قائمة الأصناف'!$B$3:$B$1000,MATCH(Z10,'قائمة الأصناف'!$C$3:$C$1000,0)),"⚠ كود غير معرف")))</f>
        <v>اناناس</v>
      </c>
      <c r="J10" s="27" t="str">
        <f t="shared" si="2"/>
        <v>✗ لم تصل من المورد</v>
      </c>
      <c r="K10" s="44" t="s">
        <v>1032</v>
      </c>
      <c r="L10" s="41"/>
      <c r="M10" s="42">
        <v>75</v>
      </c>
      <c r="N10" s="43"/>
      <c r="O10" s="29" t="str">
        <f t="shared" si="3"/>
        <v/>
      </c>
      <c r="P10" s="29" t="str">
        <f>IF(O10="","",O10*الإعدادات!$B$8)</f>
        <v/>
      </c>
      <c r="Q10" s="29" t="str">
        <f t="shared" si="4"/>
        <v/>
      </c>
      <c r="R10" s="45">
        <f t="shared" si="5"/>
        <v>750</v>
      </c>
      <c r="S10" s="45">
        <f t="shared" si="6"/>
        <v>1</v>
      </c>
      <c r="T10" s="29">
        <f t="shared" si="7"/>
        <v>0</v>
      </c>
      <c r="U10" s="29">
        <f t="shared" si="8"/>
        <v>0</v>
      </c>
      <c r="V10" s="29">
        <f t="shared" si="9"/>
        <v>18000</v>
      </c>
      <c r="W10" s="30">
        <f t="shared" si="10"/>
        <v>1</v>
      </c>
      <c r="X10" s="27" t="str">
        <f t="shared" si="11"/>
        <v>⚠ وصل 0 من 1 فواتير</v>
      </c>
      <c r="Y10" t="str">
        <f t="shared" si="12"/>
        <v>48601</v>
      </c>
      <c r="Z10" t="str">
        <f t="shared" si="13"/>
        <v>47863</v>
      </c>
    </row>
    <row r="11" spans="1:26" x14ac:dyDescent="0.25">
      <c r="A11" s="41" t="s">
        <v>94</v>
      </c>
      <c r="B11" s="36" t="str">
        <f>IF(Y11="","",IFERROR(INDEX('قائمة الأصناف'!$B$3:$B$1000,MATCH(Y11,'قائمة الأصناف'!$C$3:$C$1000,0)),"⚠ كود غير معرف"))</f>
        <v>اناناس</v>
      </c>
      <c r="C11" s="42">
        <v>750</v>
      </c>
      <c r="D11" s="43">
        <v>12</v>
      </c>
      <c r="E11" s="29">
        <f t="shared" si="0"/>
        <v>9000</v>
      </c>
      <c r="F11" s="29">
        <f>IF(E11="","",E11*الإعدادات!$B$8)</f>
        <v>1350</v>
      </c>
      <c r="G11" s="29">
        <f t="shared" si="1"/>
        <v>10350</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75</v>
      </c>
      <c r="S11" s="45">
        <f t="shared" si="6"/>
        <v>1</v>
      </c>
      <c r="T11" s="29">
        <f t="shared" si="7"/>
        <v>0</v>
      </c>
      <c r="U11" s="29">
        <f t="shared" si="8"/>
        <v>0</v>
      </c>
      <c r="V11" s="29">
        <f t="shared" si="9"/>
        <v>9000</v>
      </c>
      <c r="W11" s="30">
        <f t="shared" si="10"/>
        <v>1</v>
      </c>
      <c r="X11" s="27" t="str">
        <f t="shared" si="11"/>
        <v>⚠ وصل 0 من 1 فواتير</v>
      </c>
      <c r="Y11" t="str">
        <f t="shared" si="12"/>
        <v>47863</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48320</v>
      </c>
      <c r="D50" s="31"/>
      <c r="E50" s="32">
        <f>SUM(E5:E49)</f>
        <v>197405.6</v>
      </c>
      <c r="F50" s="32">
        <f>SUM(F5:F49)</f>
        <v>29610.839999999997</v>
      </c>
      <c r="G50" s="32">
        <f>SUM(G5:G49)</f>
        <v>227016.44</v>
      </c>
      <c r="H50" s="31"/>
      <c r="I50" s="31"/>
      <c r="J50" s="31"/>
      <c r="K50" s="31"/>
      <c r="L50" s="31"/>
      <c r="M50" s="46">
        <f>SUM(M5:M49)</f>
        <v>4554</v>
      </c>
      <c r="N50" s="31"/>
      <c r="O50" s="32">
        <f>SUM(O5:O49)</f>
        <v>0</v>
      </c>
      <c r="P50" s="32">
        <f>SUM(P5:P49)</f>
        <v>0</v>
      </c>
      <c r="Q50" s="32">
        <f>SUM(Q5:Q49)</f>
        <v>0</v>
      </c>
      <c r="R50" s="31"/>
      <c r="S50" s="31"/>
      <c r="T50" s="32">
        <f>SUM(T5:T49)</f>
        <v>0</v>
      </c>
      <c r="U50" s="31"/>
      <c r="V50" s="32">
        <f>SUM(V5:V49)</f>
        <v>197405.6</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78" priority="9">
      <formula>ISNUMBER(SEARCH("غير معرف",B5))</formula>
    </cfRule>
  </conditionalFormatting>
  <conditionalFormatting sqref="H5:Q49">
    <cfRule type="expression" dxfId="277" priority="2">
      <formula>AND($Z5&lt;&gt;"",COUNTIF($Y$5:$Y$49,$Z5)=0)</formula>
    </cfRule>
  </conditionalFormatting>
  <conditionalFormatting sqref="I5:I49">
    <cfRule type="expression" dxfId="276" priority="10">
      <formula>ISNUMBER(SEARCH("غير معرف",I5))</formula>
    </cfRule>
  </conditionalFormatting>
  <conditionalFormatting sqref="J5:J49">
    <cfRule type="expression" dxfId="275" priority="3">
      <formula>ISNUMBER(SEARCH("تم استلام",J5))</formula>
    </cfRule>
    <cfRule type="expression" dxfId="274" priority="4">
      <formula>ISNUMBER(SEARCH("لم تصل",J5))</formula>
    </cfRule>
  </conditionalFormatting>
  <conditionalFormatting sqref="V5:V50">
    <cfRule type="cellIs" dxfId="273" priority="5" operator="lessThan">
      <formula>0</formula>
    </cfRule>
  </conditionalFormatting>
  <conditionalFormatting sqref="X5:X49">
    <cfRule type="expression" dxfId="272" priority="6">
      <formula>ISNUMBER(SEARCH("اكتملت",X5))</formula>
    </cfRule>
    <cfRule type="expression" dxfId="271" priority="7">
      <formula>ISNUMBER(SEARCH("وصل ",X5))</formula>
    </cfRule>
    <cfRule type="expression" dxfId="270" priority="8">
      <formula>ISNUMBER(SEARCH("لا توجد",X5))</formula>
    </cfRule>
  </conditionalFormatting>
  <dataValidations count="1">
    <dataValidation type="list" allowBlank="1" sqref="H5:H49" xr:uid="{00000000-0002-0000-06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6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600-000000000000}">
          <x14:formula1>
            <xm:f>'قائمة الأصناف'!$A$3:$A$1000</xm:f>
          </x14:formula1>
          <x14:formula2>
            <xm:f>0</xm:f>
          </x14:formula2>
          <xm:sqref>A5:A49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5</v>
      </c>
      <c r="C1" s="16" t="s">
        <v>993</v>
      </c>
      <c r="D1" s="37">
        <f>IF($B$1&lt;=الإعدادات!$B$6,DATE(الإعدادات!$B$3,الإعدادات!$B$4,$B$1),"")</f>
        <v>46178</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48</v>
      </c>
      <c r="B5" s="36" t="str">
        <f>IF(Y5="","",IFERROR(INDEX('قائمة الأصناف'!$B$3:$B$1000,MATCH(Y5,'قائمة الأصناف'!$C$3:$C$1000,0)),"⚠ كود غير معرف"))</f>
        <v>مانجو يمنى</v>
      </c>
      <c r="C5" s="42">
        <v>9074</v>
      </c>
      <c r="D5" s="43">
        <v>4.5</v>
      </c>
      <c r="E5" s="29">
        <f t="shared" ref="E5:E49" si="0">IF(OR(C5="",D5=""),"",C5*D5)</f>
        <v>40833</v>
      </c>
      <c r="F5" s="29">
        <f>IF(E5="","",E5*الإعدادات!$B$8)</f>
        <v>6124.95</v>
      </c>
      <c r="G5" s="29">
        <f t="shared" ref="G5:G49" si="1">IF(E5="","",E5+F5)</f>
        <v>46957.95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40833</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48568</v>
      </c>
      <c r="Z5" t="str">
        <f t="shared" ref="Z5:Z49" si="13">IF(TRIM(H5)="","",IF(ISNUMBER(VALUE(TRIM(H5))),TEXT(VALUE(TRIM(H5)),"0"),TRIM(H5)))</f>
        <v/>
      </c>
    </row>
    <row r="6" spans="1:26" x14ac:dyDescent="0.25">
      <c r="A6" s="41" t="s">
        <v>76</v>
      </c>
      <c r="B6" s="36" t="str">
        <f>IF(Y6="","",IFERROR(INDEX('قائمة الأصناف'!$B$3:$B$1000,MATCH(Y6,'قائمة الأصناف'!$C$3:$C$1000,0)),"⚠ كود غير معرف"))</f>
        <v>افوكادو</v>
      </c>
      <c r="C6" s="42">
        <v>3728</v>
      </c>
      <c r="D6" s="43">
        <v>7</v>
      </c>
      <c r="E6" s="29">
        <f t="shared" si="0"/>
        <v>26096</v>
      </c>
      <c r="F6" s="29">
        <f>IF(E6="","",E6*الإعدادات!$B$8)</f>
        <v>3914.3999999999996</v>
      </c>
      <c r="G6" s="29">
        <f t="shared" si="1"/>
        <v>30010.400000000001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26096</v>
      </c>
      <c r="W6" s="30">
        <f t="shared" si="10"/>
        <v>1</v>
      </c>
      <c r="X6" s="27" t="str">
        <f t="shared" si="11"/>
        <v>⏳ لا توجد فواتير شراء</v>
      </c>
      <c r="Y6" t="str">
        <f t="shared" si="12"/>
        <v>48206</v>
      </c>
      <c r="Z6" t="str">
        <f t="shared" si="13"/>
        <v/>
      </c>
    </row>
    <row r="7" spans="1:26" x14ac:dyDescent="0.25">
      <c r="A7" s="41" t="s">
        <v>58</v>
      </c>
      <c r="B7" s="36" t="str">
        <f>IF(Y7="","",IFERROR(INDEX('قائمة الأصناف'!$B$3:$B$1000,MATCH(Y7,'قائمة الأصناف'!$C$3:$C$1000,0)),"⚠ كود غير معرف"))</f>
        <v>كلمنتينا</v>
      </c>
      <c r="C7" s="42">
        <v>2921</v>
      </c>
      <c r="D7" s="43">
        <v>5</v>
      </c>
      <c r="E7" s="29">
        <f t="shared" si="0"/>
        <v>14605</v>
      </c>
      <c r="F7" s="29">
        <f>IF(E7="","",E7*الإعدادات!$B$8)</f>
        <v>2190.75</v>
      </c>
      <c r="G7" s="29">
        <f t="shared" si="1"/>
        <v>16795.75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14605</v>
      </c>
      <c r="W7" s="30">
        <f t="shared" si="10"/>
        <v>1</v>
      </c>
      <c r="X7" s="27" t="str">
        <f t="shared" si="11"/>
        <v>⏳ لا توجد فواتير شراء</v>
      </c>
      <c r="Y7" t="str">
        <f t="shared" si="12"/>
        <v>48432</v>
      </c>
      <c r="Z7" t="str">
        <f t="shared" si="13"/>
        <v/>
      </c>
    </row>
    <row r="8" spans="1:26" x14ac:dyDescent="0.25">
      <c r="A8" s="41" t="s">
        <v>80</v>
      </c>
      <c r="B8" s="36" t="str">
        <f>IF(Y8="","",IFERROR(INDEX('قائمة الأصناف'!$B$3:$B$1000,MATCH(Y8,'قائمة الأصناف'!$C$3:$C$1000,0)),"⚠ كود غير معرف"))</f>
        <v>بصل احمر</v>
      </c>
      <c r="C8" s="42">
        <v>2820</v>
      </c>
      <c r="D8" s="43">
        <v>2.2000000000000002</v>
      </c>
      <c r="E8" s="29">
        <f t="shared" si="0"/>
        <v>6204.0000000000009</v>
      </c>
      <c r="F8" s="29">
        <f>IF(E8="","",E8*الإعدادات!$B$8)</f>
        <v>930.60000000000014</v>
      </c>
      <c r="G8" s="29">
        <f t="shared" si="1"/>
        <v>7134.6000000000013</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6204.0000000000009</v>
      </c>
      <c r="W8" s="30">
        <f t="shared" si="10"/>
        <v>1</v>
      </c>
      <c r="X8" s="27" t="str">
        <f t="shared" si="11"/>
        <v>⏳ لا توجد فواتير شراء</v>
      </c>
      <c r="Y8" t="str">
        <f t="shared" si="12"/>
        <v>49502</v>
      </c>
      <c r="Z8" t="str">
        <f t="shared" si="13"/>
        <v/>
      </c>
    </row>
    <row r="9" spans="1:26" x14ac:dyDescent="0.25">
      <c r="A9" s="41" t="s">
        <v>96</v>
      </c>
      <c r="B9" s="36" t="str">
        <f>IF(Y9="","",IFERROR(INDEX('قائمة الأصناف'!$B$3:$B$1000,MATCH(Y9,'قائمة الأصناف'!$C$3:$C$1000,0)),"⚠ كود غير معرف"))</f>
        <v>بطاطا حلوه</v>
      </c>
      <c r="C9" s="42">
        <v>974</v>
      </c>
      <c r="D9" s="43">
        <v>4</v>
      </c>
      <c r="E9" s="29">
        <f t="shared" si="0"/>
        <v>3896</v>
      </c>
      <c r="F9" s="29">
        <f>IF(E9="","",E9*الإعدادات!$B$8)</f>
        <v>584.4</v>
      </c>
      <c r="G9" s="29">
        <f t="shared" si="1"/>
        <v>4480.3999999999996</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3896</v>
      </c>
      <c r="W9" s="30">
        <f t="shared" si="10"/>
        <v>1</v>
      </c>
      <c r="X9" s="27" t="str">
        <f t="shared" si="11"/>
        <v>⏳ لا توجد فواتير شراء</v>
      </c>
      <c r="Y9" t="str">
        <f t="shared" si="12"/>
        <v>48217</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19517</v>
      </c>
      <c r="D50" s="31"/>
      <c r="E50" s="32">
        <f>SUM(E5:E49)</f>
        <v>91634</v>
      </c>
      <c r="F50" s="32">
        <f>SUM(F5:F49)</f>
        <v>13745.099999999999</v>
      </c>
      <c r="G50" s="32">
        <f>SUM(G5:G49)</f>
        <v>105379.1</v>
      </c>
      <c r="H50" s="31"/>
      <c r="I50" s="31"/>
      <c r="J50" s="31"/>
      <c r="K50" s="31"/>
      <c r="L50" s="31"/>
      <c r="M50" s="46">
        <f>SUM(M5:M49)</f>
        <v>0</v>
      </c>
      <c r="N50" s="31"/>
      <c r="O50" s="32">
        <f>SUM(O5:O49)</f>
        <v>0</v>
      </c>
      <c r="P50" s="32">
        <f>SUM(P5:P49)</f>
        <v>0</v>
      </c>
      <c r="Q50" s="32">
        <f>SUM(Q5:Q49)</f>
        <v>0</v>
      </c>
      <c r="R50" s="31"/>
      <c r="S50" s="31"/>
      <c r="T50" s="32">
        <f>SUM(T5:T49)</f>
        <v>0</v>
      </c>
      <c r="U50" s="31"/>
      <c r="V50" s="32">
        <f>SUM(V5:V49)</f>
        <v>91634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68" priority="9">
      <formula>ISNUMBER(SEARCH("غير معرف",B5))</formula>
    </cfRule>
  </conditionalFormatting>
  <conditionalFormatting sqref="H5:Q49">
    <cfRule type="expression" dxfId="267" priority="2">
      <formula>AND($Z5&lt;&gt;"",COUNTIF($Y$5:$Y$49,$Z5)=0)</formula>
    </cfRule>
  </conditionalFormatting>
  <conditionalFormatting sqref="I5:I49">
    <cfRule type="expression" dxfId="266" priority="10">
      <formula>ISNUMBER(SEARCH("غير معرف",I5))</formula>
    </cfRule>
  </conditionalFormatting>
  <conditionalFormatting sqref="J5:J49">
    <cfRule type="expression" dxfId="265" priority="3">
      <formula>ISNUMBER(SEARCH("تم استلام",J5))</formula>
    </cfRule>
    <cfRule type="expression" dxfId="264" priority="4">
      <formula>ISNUMBER(SEARCH("لم تصل",J5))</formula>
    </cfRule>
  </conditionalFormatting>
  <conditionalFormatting sqref="V5:V50">
    <cfRule type="cellIs" dxfId="263" priority="5" operator="lessThan">
      <formula>0</formula>
    </cfRule>
  </conditionalFormatting>
  <conditionalFormatting sqref="X5:X49">
    <cfRule type="expression" dxfId="262" priority="6">
      <formula>ISNUMBER(SEARCH("اكتملت",X5))</formula>
    </cfRule>
    <cfRule type="expression" dxfId="261" priority="7">
      <formula>ISNUMBER(SEARCH("وصل ",X5))</formula>
    </cfRule>
    <cfRule type="expression" dxfId="260" priority="8">
      <formula>ISNUMBER(SEARCH("لا توجد",X5))</formula>
    </cfRule>
  </conditionalFormatting>
  <dataValidations count="1">
    <dataValidation type="list" allowBlank="1" sqref="H5:H49" xr:uid="{00000000-0002-0000-07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7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700-000000000000}">
          <x14:formula1>
            <xm:f>'قائمة الأصناف'!$A$3:$A$1000</xm:f>
          </x14:formula1>
          <x14:formula2>
            <xm:f>0</xm:f>
          </x14:formula2>
          <xm:sqref>A5:A49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6</v>
      </c>
      <c r="C1" s="16" t="s">
        <v>993</v>
      </c>
      <c r="D1" s="37">
        <f>IF($B$1&lt;=الإعدادات!$B$6,DATE(الإعدادات!$B$3,الإعدادات!$B$4,$B$1),"")</f>
        <v>46179</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80</v>
      </c>
      <c r="B5" s="36" t="str">
        <f>IF(Y5="","",IFERROR(INDEX('قائمة الأصناف'!$B$3:$B$1000,MATCH(Y5,'قائمة الأصناف'!$C$3:$C$1000,0)),"⚠ كود غير معرف"))</f>
        <v>بصل احمر</v>
      </c>
      <c r="C5" s="42">
        <v>24315.9</v>
      </c>
      <c r="D5" s="43">
        <v>2.2000000000000002</v>
      </c>
      <c r="E5" s="29">
        <f t="shared" ref="E5:E49" si="0">IF(OR(C5="",D5=""),"",C5*D5)</f>
        <v>53494.98000000001</v>
      </c>
      <c r="F5" s="29">
        <f>IF(E5="","",E5*الإعدادات!$B$8)</f>
        <v>8024.2470000000012</v>
      </c>
      <c r="G5" s="29">
        <f t="shared" ref="G5:G49" si="1">IF(E5="","",E5+F5)</f>
        <v>61519.227000000014</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53494.98000000001</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49502</v>
      </c>
      <c r="Z5" t="str">
        <f t="shared" ref="Z5:Z49" si="13">IF(TRIM(H5)="","",IF(ISNUMBER(VALUE(TRIM(H5))),TEXT(VALUE(TRIM(H5)),"0"),TRIM(H5)))</f>
        <v/>
      </c>
    </row>
    <row r="6" spans="1:26" x14ac:dyDescent="0.25">
      <c r="A6" s="41" t="s">
        <v>86</v>
      </c>
      <c r="B6" s="36" t="str">
        <f>IF(Y6="","",IFERROR(INDEX('قائمة الأصناف'!$B$3:$B$1000,MATCH(Y6,'قائمة الأصناف'!$C$3:$C$1000,0)),"⚠ كود غير معرف"))</f>
        <v>بخاره حمراء</v>
      </c>
      <c r="C6" s="42">
        <v>2542</v>
      </c>
      <c r="D6" s="43">
        <v>8</v>
      </c>
      <c r="E6" s="29">
        <f t="shared" si="0"/>
        <v>20336</v>
      </c>
      <c r="F6" s="29">
        <f>IF(E6="","",E6*الإعدادات!$B$8)</f>
        <v>3050.4</v>
      </c>
      <c r="G6" s="29">
        <f t="shared" si="1"/>
        <v>23386.400000000001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20336</v>
      </c>
      <c r="W6" s="30">
        <f t="shared" si="10"/>
        <v>1</v>
      </c>
      <c r="X6" s="27" t="str">
        <f t="shared" si="11"/>
        <v>⏳ لا توجد فواتير شراء</v>
      </c>
      <c r="Y6" t="str">
        <f t="shared" si="12"/>
        <v>47810</v>
      </c>
      <c r="Z6" t="str">
        <f t="shared" si="13"/>
        <v/>
      </c>
    </row>
    <row r="7" spans="1:26" x14ac:dyDescent="0.25">
      <c r="A7" s="41" t="s">
        <v>52</v>
      </c>
      <c r="B7" s="36" t="str">
        <f>IF(Y7="","",IFERROR(INDEX('قائمة الأصناف'!$B$3:$B$1000,MATCH(Y7,'قائمة الأصناف'!$C$3:$C$1000,0)),"⚠ كود غير معرف"))</f>
        <v>برتقال أبو صره</v>
      </c>
      <c r="C7" s="42">
        <v>4815</v>
      </c>
      <c r="D7" s="43">
        <v>6.5</v>
      </c>
      <c r="E7" s="29">
        <f t="shared" si="0"/>
        <v>31297.5</v>
      </c>
      <c r="F7" s="29">
        <f>IF(E7="","",E7*الإعدادات!$B$8)</f>
        <v>4694.625</v>
      </c>
      <c r="G7" s="29">
        <f t="shared" si="1"/>
        <v>35992.125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31297.5</v>
      </c>
      <c r="W7" s="30">
        <f t="shared" si="10"/>
        <v>1</v>
      </c>
      <c r="X7" s="27" t="str">
        <f t="shared" si="11"/>
        <v>⏳ لا توجد فواتير شراء</v>
      </c>
      <c r="Y7" t="str">
        <f t="shared" si="12"/>
        <v>47906</v>
      </c>
      <c r="Z7" t="str">
        <f t="shared" si="13"/>
        <v/>
      </c>
    </row>
    <row r="8" spans="1:26" x14ac:dyDescent="0.25">
      <c r="A8" s="41" t="s">
        <v>74</v>
      </c>
      <c r="B8" s="36" t="str">
        <f>IF(Y8="","",IFERROR(INDEX('قائمة الأصناف'!$B$3:$B$1000,MATCH(Y8,'قائمة الأصناف'!$C$3:$C$1000,0)),"⚠ كود غير معرف"))</f>
        <v>رمان هندى</v>
      </c>
      <c r="C8" s="42">
        <v>1024</v>
      </c>
      <c r="D8" s="43">
        <v>18</v>
      </c>
      <c r="E8" s="29">
        <f t="shared" si="0"/>
        <v>18432</v>
      </c>
      <c r="F8" s="29">
        <f>IF(E8="","",E8*الإعدادات!$B$8)</f>
        <v>2764.7999999999997</v>
      </c>
      <c r="G8" s="29">
        <f t="shared" si="1"/>
        <v>21196.799999999999</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18432</v>
      </c>
      <c r="W8" s="30">
        <f t="shared" si="10"/>
        <v>1</v>
      </c>
      <c r="X8" s="27" t="str">
        <f t="shared" si="11"/>
        <v>⏳ لا توجد فواتير شراء</v>
      </c>
      <c r="Y8" t="str">
        <f t="shared" si="12"/>
        <v>47883</v>
      </c>
      <c r="Z8" t="str">
        <f t="shared" si="13"/>
        <v/>
      </c>
    </row>
    <row r="9" spans="1:26" x14ac:dyDescent="0.25">
      <c r="A9" s="41" t="s">
        <v>70</v>
      </c>
      <c r="B9" s="36" t="str">
        <f>IF(Y9="","",IFERROR(INDEX('قائمة الأصناف'!$B$3:$B$1000,MATCH(Y9,'قائمة الأصناف'!$C$3:$C$1000,0)),"⚠ كود غير معرف"))</f>
        <v>عنب ابيض</v>
      </c>
      <c r="C9" s="42">
        <v>1519</v>
      </c>
      <c r="D9" s="43">
        <v>8.5</v>
      </c>
      <c r="E9" s="29">
        <f t="shared" si="0"/>
        <v>12911.5</v>
      </c>
      <c r="F9" s="29">
        <f>IF(E9="","",E9*الإعدادات!$B$8)</f>
        <v>1936.7249999999999</v>
      </c>
      <c r="G9" s="29">
        <f t="shared" si="1"/>
        <v>14848.225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12911.5</v>
      </c>
      <c r="W9" s="30">
        <f t="shared" si="10"/>
        <v>1</v>
      </c>
      <c r="X9" s="27" t="str">
        <f t="shared" si="11"/>
        <v>⏳ لا توجد فواتير شراء</v>
      </c>
      <c r="Y9" t="str">
        <f t="shared" si="12"/>
        <v>48575</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34215.9</v>
      </c>
      <c r="D50" s="31"/>
      <c r="E50" s="32">
        <f>SUM(E5:E49)</f>
        <v>136471.98000000001</v>
      </c>
      <c r="F50" s="32">
        <f>SUM(F5:F49)</f>
        <v>20470.796999999999</v>
      </c>
      <c r="G50" s="32">
        <f>SUM(G5:G49)</f>
        <v>156942.777</v>
      </c>
      <c r="H50" s="31"/>
      <c r="I50" s="31"/>
      <c r="J50" s="31"/>
      <c r="K50" s="31"/>
      <c r="L50" s="31"/>
      <c r="M50" s="46">
        <f>SUM(M5:M49)</f>
        <v>0</v>
      </c>
      <c r="N50" s="31"/>
      <c r="O50" s="32">
        <f>SUM(O5:O49)</f>
        <v>0</v>
      </c>
      <c r="P50" s="32">
        <f>SUM(P5:P49)</f>
        <v>0</v>
      </c>
      <c r="Q50" s="32">
        <f>SUM(Q5:Q49)</f>
        <v>0</v>
      </c>
      <c r="R50" s="31"/>
      <c r="S50" s="31"/>
      <c r="T50" s="32">
        <f>SUM(T5:T49)</f>
        <v>0</v>
      </c>
      <c r="U50" s="31"/>
      <c r="V50" s="32">
        <f>SUM(V5:V49)</f>
        <v>136471.98000000001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58" priority="9">
      <formula>ISNUMBER(SEARCH("غير معرف",B5))</formula>
    </cfRule>
  </conditionalFormatting>
  <conditionalFormatting sqref="H5:Q49">
    <cfRule type="expression" dxfId="257" priority="2">
      <formula>AND($Z5&lt;&gt;"",COUNTIF($Y$5:$Y$49,$Z5)=0)</formula>
    </cfRule>
  </conditionalFormatting>
  <conditionalFormatting sqref="I5:I49">
    <cfRule type="expression" dxfId="256" priority="10">
      <formula>ISNUMBER(SEARCH("غير معرف",I5))</formula>
    </cfRule>
  </conditionalFormatting>
  <conditionalFormatting sqref="J5:J49">
    <cfRule type="expression" dxfId="255" priority="3">
      <formula>ISNUMBER(SEARCH("تم استلام",J5))</formula>
    </cfRule>
    <cfRule type="expression" dxfId="254" priority="4">
      <formula>ISNUMBER(SEARCH("لم تصل",J5))</formula>
    </cfRule>
  </conditionalFormatting>
  <conditionalFormatting sqref="V5:V50">
    <cfRule type="cellIs" dxfId="253" priority="5" operator="lessThan">
      <formula>0</formula>
    </cfRule>
  </conditionalFormatting>
  <conditionalFormatting sqref="X5:X49">
    <cfRule type="expression" dxfId="252" priority="6">
      <formula>ISNUMBER(SEARCH("اكتملت",X5))</formula>
    </cfRule>
    <cfRule type="expression" dxfId="251" priority="7">
      <formula>ISNUMBER(SEARCH("وصل ",X5))</formula>
    </cfRule>
    <cfRule type="expression" dxfId="250" priority="8">
      <formula>ISNUMBER(SEARCH("لا توجد",X5))</formula>
    </cfRule>
  </conditionalFormatting>
  <dataValidations count="1">
    <dataValidation type="list" allowBlank="1" sqref="H5:H49" xr:uid="{00000000-0002-0000-08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8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800-000000000000}">
          <x14:formula1>
            <xm:f>'قائمة الأصناف'!$A$3:$A$1000</xm:f>
          </x14:formula1>
          <x14:formula2>
            <xm:f>0</xm:f>
          </x14:formula2>
          <xm:sqref>A5:A49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7</v>
      </c>
      <c r="C1" s="16" t="s">
        <v>993</v>
      </c>
      <c r="D1" s="37">
        <f>IF($B$1&lt;=الإعدادات!$B$6,DATE(الإعدادات!$B$3,الإعدادات!$B$4,$B$1),"")</f>
        <v>46180</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58</v>
      </c>
      <c r="B5" s="36" t="str">
        <f>IF(Y5="","",IFERROR(INDEX('قائمة الأصناف'!$B$3:$B$1000,MATCH(Y5,'قائمة الأصناف'!$C$3:$C$1000,0)),"⚠ كود غير معرف"))</f>
        <v>كلمنتينا</v>
      </c>
      <c r="C5" s="42">
        <v>5097</v>
      </c>
      <c r="D5" s="43">
        <v>5</v>
      </c>
      <c r="E5" s="29">
        <f t="shared" ref="E5:E49" si="0">IF(OR(C5="",D5=""),"",C5*D5)</f>
        <v>25485</v>
      </c>
      <c r="F5" s="29">
        <f>IF(E5="","",E5*الإعدادات!$B$8)</f>
        <v>3822.75</v>
      </c>
      <c r="G5" s="29">
        <f t="shared" ref="G5:G49" si="1">IF(E5="","",E5+F5)</f>
        <v>29307.75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25485</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48432</v>
      </c>
      <c r="Z5" t="str">
        <f t="shared" ref="Z5:Z49" si="13">IF(TRIM(H5)="","",IF(ISNUMBER(VALUE(TRIM(H5))),TEXT(VALUE(TRIM(H5)),"0"),TRIM(H5)))</f>
        <v/>
      </c>
    </row>
    <row r="6" spans="1:26" x14ac:dyDescent="0.25">
      <c r="A6" s="41" t="s">
        <v>68</v>
      </c>
      <c r="B6" s="36" t="str">
        <f>IF(Y6="","",IFERROR(INDEX('قائمة الأصناف'!$B$3:$B$1000,MATCH(Y6,'قائمة الأصناف'!$C$3:$C$1000,0)),"⚠ كود غير معرف"))</f>
        <v>ليمون</v>
      </c>
      <c r="C6" s="42">
        <v>5025</v>
      </c>
      <c r="D6" s="43">
        <v>7</v>
      </c>
      <c r="E6" s="29">
        <f t="shared" si="0"/>
        <v>35175</v>
      </c>
      <c r="F6" s="29">
        <f>IF(E6="","",E6*الإعدادات!$B$8)</f>
        <v>5276.25</v>
      </c>
      <c r="G6" s="29">
        <f t="shared" si="1"/>
        <v>40451.25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35175</v>
      </c>
      <c r="W6" s="30">
        <f t="shared" si="10"/>
        <v>1</v>
      </c>
      <c r="X6" s="27" t="str">
        <f t="shared" si="11"/>
        <v>⏳ لا توجد فواتير شراء</v>
      </c>
      <c r="Y6" t="str">
        <f t="shared" si="12"/>
        <v>48024</v>
      </c>
      <c r="Z6" t="str">
        <f t="shared" si="13"/>
        <v/>
      </c>
    </row>
    <row r="7" spans="1:26" x14ac:dyDescent="0.25">
      <c r="A7" s="41" t="s">
        <v>94</v>
      </c>
      <c r="B7" s="36" t="str">
        <f>IF(Y7="","",IFERROR(INDEX('قائمة الأصناف'!$B$3:$B$1000,MATCH(Y7,'قائمة الأصناف'!$C$3:$C$1000,0)),"⚠ كود غير معرف"))</f>
        <v>اناناس</v>
      </c>
      <c r="C7" s="42">
        <v>740</v>
      </c>
      <c r="D7" s="43">
        <v>12</v>
      </c>
      <c r="E7" s="29">
        <f t="shared" si="0"/>
        <v>8880</v>
      </c>
      <c r="F7" s="29">
        <f>IF(E7="","",E7*الإعدادات!$B$8)</f>
        <v>1332</v>
      </c>
      <c r="G7" s="29">
        <f t="shared" si="1"/>
        <v>10212</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8880</v>
      </c>
      <c r="W7" s="30">
        <f t="shared" si="10"/>
        <v>1</v>
      </c>
      <c r="X7" s="27" t="str">
        <f t="shared" si="11"/>
        <v>⏳ لا توجد فواتير شراء</v>
      </c>
      <c r="Y7" t="str">
        <f t="shared" si="12"/>
        <v>47863</v>
      </c>
      <c r="Z7" t="str">
        <f t="shared" si="13"/>
        <v/>
      </c>
    </row>
    <row r="8" spans="1:26" x14ac:dyDescent="0.25">
      <c r="A8" s="41" t="s">
        <v>100</v>
      </c>
      <c r="B8" s="36" t="str">
        <f>IF(Y8="","",IFERROR(INDEX('قائمة الأصناف'!$B$3:$B$1000,MATCH(Y8,'قائمة الأصناف'!$C$3:$C$1000,0)),"⚠ كود غير معرف"))</f>
        <v>عنب اسود</v>
      </c>
      <c r="C8" s="42">
        <v>1550</v>
      </c>
      <c r="D8" s="43">
        <v>8</v>
      </c>
      <c r="E8" s="29">
        <f t="shared" si="0"/>
        <v>12400</v>
      </c>
      <c r="F8" s="29">
        <f>IF(E8="","",E8*الإعدادات!$B$8)</f>
        <v>1860</v>
      </c>
      <c r="G8" s="29">
        <f t="shared" si="1"/>
        <v>14260</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12400</v>
      </c>
      <c r="W8" s="30">
        <f t="shared" si="10"/>
        <v>1</v>
      </c>
      <c r="X8" s="27" t="str">
        <f t="shared" si="11"/>
        <v>⏳ لا توجد فواتير شراء</v>
      </c>
      <c r="Y8" t="str">
        <f t="shared" si="12"/>
        <v>48601</v>
      </c>
      <c r="Z8" t="str">
        <f t="shared" si="13"/>
        <v/>
      </c>
    </row>
    <row r="9" spans="1:26" x14ac:dyDescent="0.25">
      <c r="A9" s="41" t="s">
        <v>108</v>
      </c>
      <c r="B9" s="36" t="str">
        <f>IF(Y9="","",IFERROR(INDEX('قائمة الأصناف'!$B$3:$B$1000,MATCH(Y9,'قائمة الأصناف'!$C$3:$C$1000,0)),"⚠ كود غير معرف"))</f>
        <v>عنب احمر سدلس</v>
      </c>
      <c r="C9" s="42">
        <v>1806</v>
      </c>
      <c r="D9" s="43">
        <v>8</v>
      </c>
      <c r="E9" s="29">
        <f t="shared" si="0"/>
        <v>14448</v>
      </c>
      <c r="F9" s="29">
        <f>IF(E9="","",E9*الإعدادات!$B$8)</f>
        <v>2167.1999999999998</v>
      </c>
      <c r="G9" s="29">
        <f t="shared" si="1"/>
        <v>16615.2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14448</v>
      </c>
      <c r="W9" s="30">
        <f t="shared" si="10"/>
        <v>1</v>
      </c>
      <c r="X9" s="27" t="str">
        <f t="shared" si="11"/>
        <v>⏳ لا توجد فواتير شراء</v>
      </c>
      <c r="Y9" t="str">
        <f t="shared" si="12"/>
        <v>48643</v>
      </c>
      <c r="Z9" t="str">
        <f t="shared" si="13"/>
        <v/>
      </c>
    </row>
    <row r="10" spans="1:26" x14ac:dyDescent="0.25">
      <c r="A10" s="41" t="s">
        <v>110</v>
      </c>
      <c r="B10" s="36" t="str">
        <f>IF(Y10="","",IFERROR(INDEX('قائمة الأصناف'!$B$3:$B$1000,MATCH(Y10,'قائمة الأصناف'!$C$3:$C$1000,0)),"⚠ كود غير معرف"))</f>
        <v>GRAPEFRUIT</v>
      </c>
      <c r="C10" s="42">
        <v>1917</v>
      </c>
      <c r="D10" s="43">
        <v>5</v>
      </c>
      <c r="E10" s="29">
        <f t="shared" si="0"/>
        <v>9585</v>
      </c>
      <c r="F10" s="29">
        <f>IF(E10="","",E10*الإعدادات!$B$8)</f>
        <v>1437.75</v>
      </c>
      <c r="G10" s="29">
        <f t="shared" si="1"/>
        <v>11022.75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9585</v>
      </c>
      <c r="W10" s="30">
        <f t="shared" si="10"/>
        <v>1</v>
      </c>
      <c r="X10" s="27" t="str">
        <f t="shared" si="11"/>
        <v>⏳ لا توجد فواتير شراء</v>
      </c>
      <c r="Y10" t="str">
        <f t="shared" si="12"/>
        <v>48402</v>
      </c>
      <c r="Z10" t="str">
        <f t="shared" si="13"/>
        <v/>
      </c>
    </row>
    <row r="11" spans="1:26" x14ac:dyDescent="0.25">
      <c r="A11" s="41" t="s">
        <v>66</v>
      </c>
      <c r="B11" s="36" t="str">
        <f>IF(Y11="","",IFERROR(INDEX('قائمة الأصناف'!$B$3:$B$1000,MATCH(Y11,'قائمة الأصناف'!$C$3:$C$1000,0)),"⚠ كود غير معرف"))</f>
        <v>شمام</v>
      </c>
      <c r="C11" s="42">
        <v>1014</v>
      </c>
      <c r="D11" s="43">
        <v>3.5</v>
      </c>
      <c r="E11" s="29">
        <f t="shared" si="0"/>
        <v>3549</v>
      </c>
      <c r="F11" s="29">
        <f>IF(E11="","",E11*الإعدادات!$B$8)</f>
        <v>532.35</v>
      </c>
      <c r="G11" s="29">
        <f t="shared" si="1"/>
        <v>4081.35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3549</v>
      </c>
      <c r="W11" s="30">
        <f t="shared" si="10"/>
        <v>1</v>
      </c>
      <c r="X11" s="27" t="str">
        <f t="shared" si="11"/>
        <v>⏳ لا توجد فواتير شراء</v>
      </c>
      <c r="Y11" t="str">
        <f t="shared" si="12"/>
        <v>48623</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17149</v>
      </c>
      <c r="D50" s="31"/>
      <c r="E50" s="32">
        <f>SUM(E5:E49)</f>
        <v>109522</v>
      </c>
      <c r="F50" s="32">
        <f>SUM(F5:F49)</f>
        <v>16428.3</v>
      </c>
      <c r="G50" s="32">
        <f>SUM(G5:G49)</f>
        <v>125950.3</v>
      </c>
      <c r="H50" s="31"/>
      <c r="I50" s="31"/>
      <c r="J50" s="31"/>
      <c r="K50" s="31"/>
      <c r="L50" s="31"/>
      <c r="M50" s="46">
        <f>SUM(M5:M49)</f>
        <v>0</v>
      </c>
      <c r="N50" s="31"/>
      <c r="O50" s="32">
        <f>SUM(O5:O49)</f>
        <v>0</v>
      </c>
      <c r="P50" s="32">
        <f>SUM(P5:P49)</f>
        <v>0</v>
      </c>
      <c r="Q50" s="32">
        <f>SUM(Q5:Q49)</f>
        <v>0</v>
      </c>
      <c r="R50" s="31"/>
      <c r="S50" s="31"/>
      <c r="T50" s="32">
        <f>SUM(T5:T49)</f>
        <v>0</v>
      </c>
      <c r="U50" s="31"/>
      <c r="V50" s="32">
        <f>SUM(V5:V49)</f>
        <v>109522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48" priority="9">
      <formula>ISNUMBER(SEARCH("غير معرف",B5))</formula>
    </cfRule>
  </conditionalFormatting>
  <conditionalFormatting sqref="H5:Q49">
    <cfRule type="expression" dxfId="247" priority="2">
      <formula>AND($Z5&lt;&gt;"",COUNTIF($Y$5:$Y$49,$Z5)=0)</formula>
    </cfRule>
  </conditionalFormatting>
  <conditionalFormatting sqref="I5:I49">
    <cfRule type="expression" dxfId="246" priority="10">
      <formula>ISNUMBER(SEARCH("غير معرف",I5))</formula>
    </cfRule>
  </conditionalFormatting>
  <conditionalFormatting sqref="J5:J49">
    <cfRule type="expression" dxfId="245" priority="3">
      <formula>ISNUMBER(SEARCH("تم استلام",J5))</formula>
    </cfRule>
    <cfRule type="expression" dxfId="244" priority="4">
      <formula>ISNUMBER(SEARCH("لم تصل",J5))</formula>
    </cfRule>
  </conditionalFormatting>
  <conditionalFormatting sqref="V5:V50">
    <cfRule type="cellIs" dxfId="243" priority="5" operator="lessThan">
      <formula>0</formula>
    </cfRule>
  </conditionalFormatting>
  <conditionalFormatting sqref="X5:X49">
    <cfRule type="expression" dxfId="242" priority="6">
      <formula>ISNUMBER(SEARCH("اكتملت",X5))</formula>
    </cfRule>
    <cfRule type="expression" dxfId="241" priority="7">
      <formula>ISNUMBER(SEARCH("وصل ",X5))</formula>
    </cfRule>
    <cfRule type="expression" dxfId="240" priority="8">
      <formula>ISNUMBER(SEARCH("لا توجد",X5))</formula>
    </cfRule>
  </conditionalFormatting>
  <dataValidations count="1">
    <dataValidation type="list" allowBlank="1" sqref="H5:H49" xr:uid="{00000000-0002-0000-09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9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900-000000000000}">
          <x14:formula1>
            <xm:f>'قائمة الأصناف'!$A$3:$A$1000</xm:f>
          </x14:formula1>
          <x14:formula2>
            <xm:f>0</xm:f>
          </x14:formula2>
          <xm:sqref>A5:A49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8</v>
      </c>
      <c r="C1" s="16" t="s">
        <v>993</v>
      </c>
      <c r="D1" s="37">
        <f>IF($B$1&lt;=الإعدادات!$B$6,DATE(الإعدادات!$B$3,الإعدادات!$B$4,$B$1),"")</f>
        <v>46181</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54</v>
      </c>
      <c r="B5" s="36" t="str">
        <f>IF(Y5="","",IFERROR(INDEX('قائمة الأصناف'!$B$3:$B$1000,MATCH(Y5,'قائمة الأصناف'!$C$3:$C$1000,0)),"⚠ كود غير معرف"))</f>
        <v>برتقال عصير</v>
      </c>
      <c r="C5" s="42">
        <v>6406</v>
      </c>
      <c r="D5" s="43">
        <v>3</v>
      </c>
      <c r="E5" s="29">
        <f t="shared" ref="E5:E49" si="0">IF(OR(C5="",D5=""),"",C5*D5)</f>
        <v>19218</v>
      </c>
      <c r="F5" s="29">
        <f>IF(E5="","",E5*الإعدادات!$B$8)</f>
        <v>2882.7</v>
      </c>
      <c r="G5" s="29">
        <f t="shared" ref="G5:G49" si="1">IF(E5="","",E5+F5)</f>
        <v>22100.7</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19218</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t="s">
        <v>58</v>
      </c>
      <c r="B6" s="36" t="str">
        <f>IF(Y6="","",IFERROR(INDEX('قائمة الأصناف'!$B$3:$B$1000,MATCH(Y6,'قائمة الأصناف'!$C$3:$C$1000,0)),"⚠ كود غير معرف"))</f>
        <v>كلمنتينا</v>
      </c>
      <c r="C6" s="42">
        <v>5011</v>
      </c>
      <c r="D6" s="43">
        <v>5</v>
      </c>
      <c r="E6" s="29">
        <f t="shared" si="0"/>
        <v>25055</v>
      </c>
      <c r="F6" s="29">
        <f>IF(E6="","",E6*الإعدادات!$B$8)</f>
        <v>3758.25</v>
      </c>
      <c r="G6" s="29">
        <f t="shared" si="1"/>
        <v>28813.25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25055</v>
      </c>
      <c r="W6" s="30">
        <f t="shared" si="10"/>
        <v>1</v>
      </c>
      <c r="X6" s="27" t="str">
        <f t="shared" si="11"/>
        <v>⏳ لا توجد فواتير شراء</v>
      </c>
      <c r="Y6" t="str">
        <f t="shared" si="12"/>
        <v>48432</v>
      </c>
      <c r="Z6" t="str">
        <f t="shared" si="13"/>
        <v/>
      </c>
    </row>
    <row r="7" spans="1:26" x14ac:dyDescent="0.25">
      <c r="A7" s="41" t="s">
        <v>48</v>
      </c>
      <c r="B7" s="36" t="str">
        <f>IF(Y7="","",IFERROR(INDEX('قائمة الأصناف'!$B$3:$B$1000,MATCH(Y7,'قائمة الأصناف'!$C$3:$C$1000,0)),"⚠ كود غير معرف"))</f>
        <v>مانجو يمنى</v>
      </c>
      <c r="C7" s="42">
        <v>3390</v>
      </c>
      <c r="D7" s="43">
        <v>4.5</v>
      </c>
      <c r="E7" s="29">
        <f t="shared" si="0"/>
        <v>15255</v>
      </c>
      <c r="F7" s="29">
        <f>IF(E7="","",E7*الإعدادات!$B$8)</f>
        <v>2288.25</v>
      </c>
      <c r="G7" s="29">
        <f t="shared" si="1"/>
        <v>17543.25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15255</v>
      </c>
      <c r="W7" s="30">
        <f t="shared" si="10"/>
        <v>1</v>
      </c>
      <c r="X7" s="27" t="str">
        <f t="shared" si="11"/>
        <v>⏳ لا توجد فواتير شراء</v>
      </c>
      <c r="Y7" t="str">
        <f t="shared" si="12"/>
        <v>48568</v>
      </c>
      <c r="Z7" t="str">
        <f t="shared" si="13"/>
        <v/>
      </c>
    </row>
    <row r="8" spans="1:26" x14ac:dyDescent="0.25">
      <c r="A8" s="41" t="s">
        <v>66</v>
      </c>
      <c r="B8" s="36" t="str">
        <f>IF(Y8="","",IFERROR(INDEX('قائمة الأصناف'!$B$3:$B$1000,MATCH(Y8,'قائمة الأصناف'!$C$3:$C$1000,0)),"⚠ كود غير معرف"))</f>
        <v>شمام</v>
      </c>
      <c r="C8" s="42">
        <v>2594</v>
      </c>
      <c r="D8" s="43">
        <v>3.5</v>
      </c>
      <c r="E8" s="29">
        <f t="shared" si="0"/>
        <v>9079</v>
      </c>
      <c r="F8" s="29">
        <f>IF(E8="","",E8*الإعدادات!$B$8)</f>
        <v>1361.85</v>
      </c>
      <c r="G8" s="29">
        <f t="shared" si="1"/>
        <v>10440.85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9079</v>
      </c>
      <c r="W8" s="30">
        <f t="shared" si="10"/>
        <v>1</v>
      </c>
      <c r="X8" s="27" t="str">
        <f t="shared" si="11"/>
        <v>⏳ لا توجد فواتير شراء</v>
      </c>
      <c r="Y8" t="str">
        <f t="shared" si="12"/>
        <v>48623</v>
      </c>
      <c r="Z8" t="str">
        <f t="shared" si="13"/>
        <v/>
      </c>
    </row>
    <row r="9" spans="1:26" x14ac:dyDescent="0.25">
      <c r="A9" s="41" t="s">
        <v>115</v>
      </c>
      <c r="B9" s="36" t="str">
        <f>IF(Y9="","",IFERROR(INDEX('قائمة الأصناف'!$B$3:$B$1000,MATCH(Y9,'قائمة الأصناف'!$C$3:$C$1000,0)),"⚠ كود غير معرف"))</f>
        <v>كرز</v>
      </c>
      <c r="C9" s="42">
        <v>1380</v>
      </c>
      <c r="D9" s="43">
        <v>7.5</v>
      </c>
      <c r="E9" s="29">
        <f t="shared" si="0"/>
        <v>10350</v>
      </c>
      <c r="F9" s="29">
        <f>IF(E9="","",E9*الإعدادات!$B$8)</f>
        <v>1552.5</v>
      </c>
      <c r="G9" s="29">
        <f t="shared" si="1"/>
        <v>11902.5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10350</v>
      </c>
      <c r="W9" s="30">
        <f t="shared" si="10"/>
        <v>1</v>
      </c>
      <c r="X9" s="27" t="str">
        <f t="shared" si="11"/>
        <v>⏳ لا توجد فواتير شراء</v>
      </c>
      <c r="Y9" t="str">
        <f t="shared" si="12"/>
        <v>36271</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18781</v>
      </c>
      <c r="D50" s="31"/>
      <c r="E50" s="32">
        <f>SUM(E5:E49)</f>
        <v>78957</v>
      </c>
      <c r="F50" s="32">
        <f>SUM(F5:F49)</f>
        <v>11843.550000000001</v>
      </c>
      <c r="G50" s="32">
        <f>SUM(G5:G49)</f>
        <v>90800.55</v>
      </c>
      <c r="H50" s="31"/>
      <c r="I50" s="31"/>
      <c r="J50" s="31"/>
      <c r="K50" s="31"/>
      <c r="L50" s="31"/>
      <c r="M50" s="46">
        <f>SUM(M5:M49)</f>
        <v>0</v>
      </c>
      <c r="N50" s="31"/>
      <c r="O50" s="32">
        <f>SUM(O5:O49)</f>
        <v>0</v>
      </c>
      <c r="P50" s="32">
        <f>SUM(P5:P49)</f>
        <v>0</v>
      </c>
      <c r="Q50" s="32">
        <f>SUM(Q5:Q49)</f>
        <v>0</v>
      </c>
      <c r="R50" s="31"/>
      <c r="S50" s="31"/>
      <c r="T50" s="32">
        <f>SUM(T5:T49)</f>
        <v>0</v>
      </c>
      <c r="U50" s="31"/>
      <c r="V50" s="32">
        <f>SUM(V5:V49)</f>
        <v>78957</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38" priority="9">
      <formula>ISNUMBER(SEARCH("غير معرف",B5))</formula>
    </cfRule>
  </conditionalFormatting>
  <conditionalFormatting sqref="H5:Q49">
    <cfRule type="expression" dxfId="237" priority="2">
      <formula>AND($Z5&lt;&gt;"",COUNTIF($Y$5:$Y$49,$Z5)=0)</formula>
    </cfRule>
  </conditionalFormatting>
  <conditionalFormatting sqref="I5:I49">
    <cfRule type="expression" dxfId="236" priority="10">
      <formula>ISNUMBER(SEARCH("غير معرف",I5))</formula>
    </cfRule>
  </conditionalFormatting>
  <conditionalFormatting sqref="J5:J49">
    <cfRule type="expression" dxfId="235" priority="3">
      <formula>ISNUMBER(SEARCH("تم استلام",J5))</formula>
    </cfRule>
    <cfRule type="expression" dxfId="234" priority="4">
      <formula>ISNUMBER(SEARCH("لم تصل",J5))</formula>
    </cfRule>
  </conditionalFormatting>
  <conditionalFormatting sqref="V5:V50">
    <cfRule type="cellIs" dxfId="233" priority="5" operator="lessThan">
      <formula>0</formula>
    </cfRule>
  </conditionalFormatting>
  <conditionalFormatting sqref="X5:X49">
    <cfRule type="expression" dxfId="232" priority="6">
      <formula>ISNUMBER(SEARCH("اكتملت",X5))</formula>
    </cfRule>
    <cfRule type="expression" dxfId="231" priority="7">
      <formula>ISNUMBER(SEARCH("وصل ",X5))</formula>
    </cfRule>
    <cfRule type="expression" dxfId="230" priority="8">
      <formula>ISNUMBER(SEARCH("لا توجد",X5))</formula>
    </cfRule>
  </conditionalFormatting>
  <dataValidations count="1">
    <dataValidation type="list" allowBlank="1" sqref="H5:H49" xr:uid="{00000000-0002-0000-0A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A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A00-000000000000}">
          <x14:formula1>
            <xm:f>'قائمة الأصناف'!$A$3:$A$1000</xm:f>
          </x14:formula1>
          <x14:formula2>
            <xm:f>0</xm:f>
          </x14:formula2>
          <xm:sqref>A5:A49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9</v>
      </c>
      <c r="C1" s="16" t="s">
        <v>993</v>
      </c>
      <c r="D1" s="37">
        <f>IF($B$1&lt;=الإعدادات!$B$6,DATE(الإعدادات!$B$3,الإعدادات!$B$4,$B$1),"")</f>
        <v>46182</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66</v>
      </c>
      <c r="B5" s="36" t="str">
        <f>IF(Y5="","",IFERROR(INDEX('قائمة الأصناف'!$B$3:$B$1000,MATCH(Y5,'قائمة الأصناف'!$C$3:$C$1000,0)),"⚠ كود غير معرف"))</f>
        <v>شمام</v>
      </c>
      <c r="C5" s="42">
        <v>944</v>
      </c>
      <c r="D5" s="43">
        <v>3.3</v>
      </c>
      <c r="E5" s="29">
        <f t="shared" ref="E5:E49" si="0">IF(OR(C5="",D5=""),"",C5*D5)</f>
        <v>3115.2</v>
      </c>
      <c r="F5" s="29">
        <f>IF(E5="","",E5*الإعدادات!$B$8)</f>
        <v>467.28</v>
      </c>
      <c r="G5" s="29">
        <f t="shared" ref="G5:G49" si="1">IF(E5="","",E5+F5)</f>
        <v>3582.4799999999996</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3115.2</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48623</v>
      </c>
      <c r="Z5" t="str">
        <f t="shared" ref="Z5:Z49" si="13">IF(TRIM(H5)="","",IF(ISNUMBER(VALUE(TRIM(H5))),TEXT(VALUE(TRIM(H5)),"0"),TRIM(H5)))</f>
        <v/>
      </c>
    </row>
    <row r="6" spans="1:26" x14ac:dyDescent="0.25">
      <c r="A6" s="41" t="s">
        <v>117</v>
      </c>
      <c r="B6" s="36" t="str">
        <f>IF(Y6="","",IFERROR(INDEX('قائمة الأصناف'!$B$3:$B$1000,MATCH(Y6,'قائمة الأصناف'!$C$3:$C$1000,0)),"⚠ كود غير معرف"))</f>
        <v>تفاح اخضر</v>
      </c>
      <c r="C6" s="42">
        <v>1960</v>
      </c>
      <c r="D6" s="43">
        <v>7.2</v>
      </c>
      <c r="E6" s="29">
        <f t="shared" si="0"/>
        <v>14112</v>
      </c>
      <c r="F6" s="29">
        <f>IF(E6="","",E6*الإعدادات!$B$8)</f>
        <v>2116.7999999999997</v>
      </c>
      <c r="G6" s="29">
        <f t="shared" si="1"/>
        <v>16228.8</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14112</v>
      </c>
      <c r="W6" s="30">
        <f t="shared" si="10"/>
        <v>1</v>
      </c>
      <c r="X6" s="27" t="str">
        <f t="shared" si="11"/>
        <v>⏳ لا توجد فواتير شراء</v>
      </c>
      <c r="Y6" t="str">
        <f t="shared" si="12"/>
        <v>49499</v>
      </c>
      <c r="Z6" t="str">
        <f t="shared" si="13"/>
        <v/>
      </c>
    </row>
    <row r="7" spans="1:26" x14ac:dyDescent="0.25">
      <c r="A7" s="41" t="s">
        <v>54</v>
      </c>
      <c r="B7" s="36" t="str">
        <f>IF(Y7="","",IFERROR(INDEX('قائمة الأصناف'!$B$3:$B$1000,MATCH(Y7,'قائمة الأصناف'!$C$3:$C$1000,0)),"⚠ كود غير معرف"))</f>
        <v>برتقال عصير</v>
      </c>
      <c r="C7" s="42">
        <v>8327</v>
      </c>
      <c r="D7" s="43">
        <v>3</v>
      </c>
      <c r="E7" s="29">
        <f t="shared" si="0"/>
        <v>24981</v>
      </c>
      <c r="F7" s="29">
        <f>IF(E7="","",E7*الإعدادات!$B$8)</f>
        <v>3747.1499999999996</v>
      </c>
      <c r="G7" s="29">
        <f t="shared" si="1"/>
        <v>28728.15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24981</v>
      </c>
      <c r="W7" s="30">
        <f t="shared" si="10"/>
        <v>1</v>
      </c>
      <c r="X7" s="27" t="str">
        <f t="shared" si="11"/>
        <v>⏳ لا توجد فواتير شراء</v>
      </c>
      <c r="Y7" t="str">
        <f t="shared" si="12"/>
        <v>49494</v>
      </c>
      <c r="Z7" t="str">
        <f t="shared" si="13"/>
        <v/>
      </c>
    </row>
    <row r="8" spans="1:26" x14ac:dyDescent="0.25">
      <c r="A8" s="41" t="s">
        <v>48</v>
      </c>
      <c r="B8" s="36" t="str">
        <f>IF(Y8="","",IFERROR(INDEX('قائمة الأصناف'!$B$3:$B$1000,MATCH(Y8,'قائمة الأصناف'!$C$3:$C$1000,0)),"⚠ كود غير معرف"))</f>
        <v>مانجو يمنى</v>
      </c>
      <c r="C8" s="42">
        <v>2017</v>
      </c>
      <c r="D8" s="43">
        <v>4.5</v>
      </c>
      <c r="E8" s="29">
        <f t="shared" si="0"/>
        <v>9076.5</v>
      </c>
      <c r="F8" s="29">
        <f>IF(E8="","",E8*الإعدادات!$B$8)</f>
        <v>1361.4749999999999</v>
      </c>
      <c r="G8" s="29">
        <f t="shared" si="1"/>
        <v>10437.975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9076.5</v>
      </c>
      <c r="W8" s="30">
        <f t="shared" si="10"/>
        <v>1</v>
      </c>
      <c r="X8" s="27" t="str">
        <f t="shared" si="11"/>
        <v>⏳ لا توجد فواتير شراء</v>
      </c>
      <c r="Y8" t="str">
        <f t="shared" si="12"/>
        <v>48568</v>
      </c>
      <c r="Z8" t="str">
        <f t="shared" si="13"/>
        <v/>
      </c>
    </row>
    <row r="9" spans="1:26" x14ac:dyDescent="0.25">
      <c r="A9" s="41" t="s">
        <v>115</v>
      </c>
      <c r="B9" s="36" t="str">
        <f>IF(Y9="","",IFERROR(INDEX('قائمة الأصناف'!$B$3:$B$1000,MATCH(Y9,'قائمة الأصناف'!$C$3:$C$1000,0)),"⚠ كود غير معرف"))</f>
        <v>كرز</v>
      </c>
      <c r="C9" s="42">
        <v>2400</v>
      </c>
      <c r="D9" s="43">
        <v>7.5</v>
      </c>
      <c r="E9" s="29">
        <f t="shared" si="0"/>
        <v>18000</v>
      </c>
      <c r="F9" s="29">
        <f>IF(E9="","",E9*الإعدادات!$B$8)</f>
        <v>2700</v>
      </c>
      <c r="G9" s="29">
        <f t="shared" si="1"/>
        <v>20700</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18000</v>
      </c>
      <c r="W9" s="30">
        <f t="shared" si="10"/>
        <v>1</v>
      </c>
      <c r="X9" s="27" t="str">
        <f t="shared" si="11"/>
        <v>⏳ لا توجد فواتير شراء</v>
      </c>
      <c r="Y9" t="str">
        <f t="shared" si="12"/>
        <v>36271</v>
      </c>
      <c r="Z9" t="str">
        <f t="shared" si="13"/>
        <v/>
      </c>
    </row>
    <row r="10" spans="1:26" x14ac:dyDescent="0.25">
      <c r="A10" s="41" t="s">
        <v>52</v>
      </c>
      <c r="B10" s="36" t="str">
        <f>IF(Y10="","",IFERROR(INDEX('قائمة الأصناف'!$B$3:$B$1000,MATCH(Y10,'قائمة الأصناف'!$C$3:$C$1000,0)),"⚠ كود غير معرف"))</f>
        <v>برتقال أبو صره</v>
      </c>
      <c r="C10" s="42">
        <v>5233</v>
      </c>
      <c r="D10" s="43">
        <v>6.5</v>
      </c>
      <c r="E10" s="29">
        <f t="shared" si="0"/>
        <v>34014.5</v>
      </c>
      <c r="F10" s="29">
        <f>IF(E10="","",E10*الإعدادات!$B$8)</f>
        <v>5102.1750000000002</v>
      </c>
      <c r="G10" s="29">
        <f t="shared" si="1"/>
        <v>39116.675000000003</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34014.5</v>
      </c>
      <c r="W10" s="30">
        <f t="shared" si="10"/>
        <v>1</v>
      </c>
      <c r="X10" s="27" t="str">
        <f t="shared" si="11"/>
        <v>⏳ لا توجد فواتير شراء</v>
      </c>
      <c r="Y10" t="str">
        <f t="shared" si="12"/>
        <v>47906</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20881</v>
      </c>
      <c r="D50" s="31"/>
      <c r="E50" s="32">
        <f>SUM(E5:E49)</f>
        <v>103299.2</v>
      </c>
      <c r="F50" s="32">
        <f>SUM(F5:F49)</f>
        <v>15494.880000000001</v>
      </c>
      <c r="G50" s="32">
        <f>SUM(G5:G49)</f>
        <v>118794.08</v>
      </c>
      <c r="H50" s="31"/>
      <c r="I50" s="31"/>
      <c r="J50" s="31"/>
      <c r="K50" s="31"/>
      <c r="L50" s="31"/>
      <c r="M50" s="46">
        <f>SUM(M5:M49)</f>
        <v>0</v>
      </c>
      <c r="N50" s="31"/>
      <c r="O50" s="32">
        <f>SUM(O5:O49)</f>
        <v>0</v>
      </c>
      <c r="P50" s="32">
        <f>SUM(P5:P49)</f>
        <v>0</v>
      </c>
      <c r="Q50" s="32">
        <f>SUM(Q5:Q49)</f>
        <v>0</v>
      </c>
      <c r="R50" s="31"/>
      <c r="S50" s="31"/>
      <c r="T50" s="32">
        <f>SUM(T5:T49)</f>
        <v>0</v>
      </c>
      <c r="U50" s="31"/>
      <c r="V50" s="32">
        <f>SUM(V5:V49)</f>
        <v>103299.2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28" priority="9">
      <formula>ISNUMBER(SEARCH("غير معرف",B5))</formula>
    </cfRule>
  </conditionalFormatting>
  <conditionalFormatting sqref="H5:Q49">
    <cfRule type="expression" dxfId="227" priority="2">
      <formula>AND($Z5&lt;&gt;"",COUNTIF($Y$5:$Y$49,$Z5)=0)</formula>
    </cfRule>
  </conditionalFormatting>
  <conditionalFormatting sqref="I5:I49">
    <cfRule type="expression" dxfId="226" priority="10">
      <formula>ISNUMBER(SEARCH("غير معرف",I5))</formula>
    </cfRule>
  </conditionalFormatting>
  <conditionalFormatting sqref="J5:J49">
    <cfRule type="expression" dxfId="225" priority="3">
      <formula>ISNUMBER(SEARCH("تم استلام",J5))</formula>
    </cfRule>
    <cfRule type="expression" dxfId="224" priority="4">
      <formula>ISNUMBER(SEARCH("لم تصل",J5))</formula>
    </cfRule>
  </conditionalFormatting>
  <conditionalFormatting sqref="V5:V50">
    <cfRule type="cellIs" dxfId="223" priority="5" operator="lessThan">
      <formula>0</formula>
    </cfRule>
  </conditionalFormatting>
  <conditionalFormatting sqref="X5:X49">
    <cfRule type="expression" dxfId="222" priority="6">
      <formula>ISNUMBER(SEARCH("اكتملت",X5))</formula>
    </cfRule>
    <cfRule type="expression" dxfId="221" priority="7">
      <formula>ISNUMBER(SEARCH("وصل ",X5))</formula>
    </cfRule>
    <cfRule type="expression" dxfId="220" priority="8">
      <formula>ISNUMBER(SEARCH("لا توجد",X5))</formula>
    </cfRule>
  </conditionalFormatting>
  <dataValidations count="1">
    <dataValidation type="list" allowBlank="1" sqref="H5:H49" xr:uid="{00000000-0002-0000-0B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B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B00-000000000000}">
          <x14:formula1>
            <xm:f>'قائمة الأصناف'!$A$3:$A$1000</xm:f>
          </x14:formula1>
          <x14:formula2>
            <xm:f>0</xm:f>
          </x14:formula2>
          <xm:sqref>A5:A49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10</v>
      </c>
      <c r="C1" s="16" t="s">
        <v>993</v>
      </c>
      <c r="D1" s="37">
        <f>IF($B$1&lt;=الإعدادات!$B$6,DATE(الإعدادات!$B$3,الإعدادات!$B$4,$B$1),"")</f>
        <v>46183</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80</v>
      </c>
      <c r="B5" s="36" t="str">
        <f>IF(Y5="","",IFERROR(INDEX('قائمة الأصناف'!$B$3:$B$1000,MATCH(Y5,'قائمة الأصناف'!$C$3:$C$1000,0)),"⚠ كود غير معرف"))</f>
        <v>بصل احمر</v>
      </c>
      <c r="C5" s="42">
        <v>14706</v>
      </c>
      <c r="D5" s="43">
        <v>2.2000000000000002</v>
      </c>
      <c r="E5" s="29">
        <f t="shared" ref="E5:E49" si="0">IF(OR(C5="",D5=""),"",C5*D5)</f>
        <v>32353.200000000004</v>
      </c>
      <c r="F5" s="29">
        <f>IF(E5="","",E5*الإعدادات!$B$8)</f>
        <v>4852.9800000000005</v>
      </c>
      <c r="G5" s="29">
        <f t="shared" ref="G5:G49" si="1">IF(E5="","",E5+F5)</f>
        <v>37206.180000000008</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32353.200000000004</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49502</v>
      </c>
      <c r="Z5" t="str">
        <f t="shared" ref="Z5:Z49" si="13">IF(TRIM(H5)="","",IF(ISNUMBER(VALUE(TRIM(H5))),TEXT(VALUE(TRIM(H5)),"0"),TRIM(H5)))</f>
        <v/>
      </c>
    </row>
    <row r="6" spans="1:26" x14ac:dyDescent="0.25">
      <c r="A6" s="41" t="s">
        <v>96</v>
      </c>
      <c r="B6" s="36" t="str">
        <f>IF(Y6="","",IFERROR(INDEX('قائمة الأصناف'!$B$3:$B$1000,MATCH(Y6,'قائمة الأصناف'!$C$3:$C$1000,0)),"⚠ كود غير معرف"))</f>
        <v>بطاطا حلوه</v>
      </c>
      <c r="C6" s="42">
        <v>2726</v>
      </c>
      <c r="D6" s="43">
        <v>5.5</v>
      </c>
      <c r="E6" s="29">
        <f t="shared" si="0"/>
        <v>14993</v>
      </c>
      <c r="F6" s="29">
        <f>IF(E6="","",E6*الإعدادات!$B$8)</f>
        <v>2248.9499999999998</v>
      </c>
      <c r="G6" s="29">
        <f t="shared" si="1"/>
        <v>17241.95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14993</v>
      </c>
      <c r="W6" s="30">
        <f t="shared" si="10"/>
        <v>1</v>
      </c>
      <c r="X6" s="27" t="str">
        <f t="shared" si="11"/>
        <v>⏳ لا توجد فواتير شراء</v>
      </c>
      <c r="Y6" t="str">
        <f t="shared" si="12"/>
        <v>48217</v>
      </c>
      <c r="Z6" t="str">
        <f t="shared" si="13"/>
        <v/>
      </c>
    </row>
    <row r="7" spans="1:26" x14ac:dyDescent="0.25">
      <c r="A7" s="41" t="s">
        <v>74</v>
      </c>
      <c r="B7" s="36" t="str">
        <f>IF(Y7="","",IFERROR(INDEX('قائمة الأصناف'!$B$3:$B$1000,MATCH(Y7,'قائمة الأصناف'!$C$3:$C$1000,0)),"⚠ كود غير معرف"))</f>
        <v>رمان هندى</v>
      </c>
      <c r="C7" s="42">
        <v>648</v>
      </c>
      <c r="D7" s="43">
        <v>16</v>
      </c>
      <c r="E7" s="29">
        <f t="shared" si="0"/>
        <v>10368</v>
      </c>
      <c r="F7" s="29">
        <f>IF(E7="","",E7*الإعدادات!$B$8)</f>
        <v>1555.2</v>
      </c>
      <c r="G7" s="29">
        <f t="shared" si="1"/>
        <v>11923.2</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10368</v>
      </c>
      <c r="W7" s="30">
        <f t="shared" si="10"/>
        <v>1</v>
      </c>
      <c r="X7" s="27" t="str">
        <f t="shared" si="11"/>
        <v>⏳ لا توجد فواتير شراء</v>
      </c>
      <c r="Y7" t="str">
        <f t="shared" si="12"/>
        <v>47883</v>
      </c>
      <c r="Z7" t="str">
        <f t="shared" si="13"/>
        <v/>
      </c>
    </row>
    <row r="8" spans="1:26" x14ac:dyDescent="0.25">
      <c r="A8" s="41" t="s">
        <v>70</v>
      </c>
      <c r="B8" s="36" t="str">
        <f>IF(Y8="","",IFERROR(INDEX('قائمة الأصناف'!$B$3:$B$1000,MATCH(Y8,'قائمة الأصناف'!$C$3:$C$1000,0)),"⚠ كود غير معرف"))</f>
        <v>عنب ابيض</v>
      </c>
      <c r="C8" s="42">
        <v>1622</v>
      </c>
      <c r="D8" s="43">
        <v>8.5</v>
      </c>
      <c r="E8" s="29">
        <f t="shared" si="0"/>
        <v>13787</v>
      </c>
      <c r="F8" s="29">
        <f>IF(E8="","",E8*الإعدادات!$B$8)</f>
        <v>2068.0499999999997</v>
      </c>
      <c r="G8" s="29">
        <f t="shared" si="1"/>
        <v>15855.05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13787</v>
      </c>
      <c r="W8" s="30">
        <f t="shared" si="10"/>
        <v>1</v>
      </c>
      <c r="X8" s="27" t="str">
        <f t="shared" si="11"/>
        <v>⏳ لا توجد فواتير شراء</v>
      </c>
      <c r="Y8" t="str">
        <f t="shared" si="12"/>
        <v>48575</v>
      </c>
      <c r="Z8" t="str">
        <f t="shared" si="13"/>
        <v/>
      </c>
    </row>
    <row r="9" spans="1:26" x14ac:dyDescent="0.25">
      <c r="A9" s="41" t="s">
        <v>52</v>
      </c>
      <c r="B9" s="36" t="str">
        <f>IF(Y9="","",IFERROR(INDEX('قائمة الأصناف'!$B$3:$B$1000,MATCH(Y9,'قائمة الأصناف'!$C$3:$C$1000,0)),"⚠ كود غير معرف"))</f>
        <v>برتقال أبو صره</v>
      </c>
      <c r="C9" s="42">
        <v>3299</v>
      </c>
      <c r="D9" s="43">
        <v>6.5</v>
      </c>
      <c r="E9" s="29">
        <f t="shared" si="0"/>
        <v>21443.5</v>
      </c>
      <c r="F9" s="29">
        <f>IF(E9="","",E9*الإعدادات!$B$8)</f>
        <v>3216.5250000000001</v>
      </c>
      <c r="G9" s="29">
        <f t="shared" si="1"/>
        <v>24660.025000000001</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21443.5</v>
      </c>
      <c r="W9" s="30">
        <f t="shared" si="10"/>
        <v>1</v>
      </c>
      <c r="X9" s="27" t="str">
        <f t="shared" si="11"/>
        <v>⏳ لا توجد فواتير شراء</v>
      </c>
      <c r="Y9" t="str">
        <f t="shared" si="12"/>
        <v>47906</v>
      </c>
      <c r="Z9" t="str">
        <f t="shared" si="13"/>
        <v/>
      </c>
    </row>
    <row r="10" spans="1:26" x14ac:dyDescent="0.25">
      <c r="A10" s="41" t="s">
        <v>54</v>
      </c>
      <c r="B10" s="36" t="str">
        <f>IF(Y10="","",IFERROR(INDEX('قائمة الأصناف'!$B$3:$B$1000,MATCH(Y10,'قائمة الأصناف'!$C$3:$C$1000,0)),"⚠ كود غير معرف"))</f>
        <v>برتقال عصير</v>
      </c>
      <c r="C10" s="42">
        <v>4208</v>
      </c>
      <c r="D10" s="43">
        <v>3</v>
      </c>
      <c r="E10" s="29">
        <f t="shared" si="0"/>
        <v>12624</v>
      </c>
      <c r="F10" s="29">
        <f>IF(E10="","",E10*الإعدادات!$B$8)</f>
        <v>1893.6</v>
      </c>
      <c r="G10" s="29">
        <f t="shared" si="1"/>
        <v>14517.6</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12624</v>
      </c>
      <c r="W10" s="30">
        <f t="shared" si="10"/>
        <v>1</v>
      </c>
      <c r="X10" s="27" t="str">
        <f t="shared" si="11"/>
        <v>⏳ لا توجد فواتير شراء</v>
      </c>
      <c r="Y10" t="str">
        <f t="shared" si="12"/>
        <v>49494</v>
      </c>
      <c r="Z10" t="str">
        <f t="shared" si="13"/>
        <v/>
      </c>
    </row>
    <row r="11" spans="1:26" x14ac:dyDescent="0.25">
      <c r="A11" s="41" t="s">
        <v>117</v>
      </c>
      <c r="B11" s="36" t="str">
        <f>IF(Y11="","",IFERROR(INDEX('قائمة الأصناف'!$B$3:$B$1000,MATCH(Y11,'قائمة الأصناف'!$C$3:$C$1000,0)),"⚠ كود غير معرف"))</f>
        <v>تفاح اخضر</v>
      </c>
      <c r="C11" s="42">
        <v>1970</v>
      </c>
      <c r="D11" s="43">
        <v>7.2</v>
      </c>
      <c r="E11" s="29">
        <f t="shared" si="0"/>
        <v>14184</v>
      </c>
      <c r="F11" s="29">
        <f>IF(E11="","",E11*الإعدادات!$B$8)</f>
        <v>2127.6</v>
      </c>
      <c r="G11" s="29">
        <f t="shared" si="1"/>
        <v>16311.6</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14184</v>
      </c>
      <c r="W11" s="30">
        <f t="shared" si="10"/>
        <v>1</v>
      </c>
      <c r="X11" s="27" t="str">
        <f t="shared" si="11"/>
        <v>⏳ لا توجد فواتير شراء</v>
      </c>
      <c r="Y11" t="str">
        <f t="shared" si="12"/>
        <v>49499</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29179</v>
      </c>
      <c r="D50" s="31"/>
      <c r="E50" s="32">
        <f>SUM(E5:E49)</f>
        <v>119752.70000000001</v>
      </c>
      <c r="F50" s="32">
        <f>SUM(F5:F49)</f>
        <v>17962.904999999999</v>
      </c>
      <c r="G50" s="32">
        <f>SUM(G5:G49)</f>
        <v>137715.60500000001</v>
      </c>
      <c r="H50" s="31"/>
      <c r="I50" s="31"/>
      <c r="J50" s="31"/>
      <c r="K50" s="31"/>
      <c r="L50" s="31"/>
      <c r="M50" s="46">
        <f>SUM(M5:M49)</f>
        <v>0</v>
      </c>
      <c r="N50" s="31"/>
      <c r="O50" s="32">
        <f>SUM(O5:O49)</f>
        <v>0</v>
      </c>
      <c r="P50" s="32">
        <f>SUM(P5:P49)</f>
        <v>0</v>
      </c>
      <c r="Q50" s="32">
        <f>SUM(Q5:Q49)</f>
        <v>0</v>
      </c>
      <c r="R50" s="31"/>
      <c r="S50" s="31"/>
      <c r="T50" s="32">
        <f>SUM(T5:T49)</f>
        <v>0</v>
      </c>
      <c r="U50" s="31"/>
      <c r="V50" s="32">
        <f>SUM(V5:V49)</f>
        <v>119752.70000000001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18" priority="9">
      <formula>ISNUMBER(SEARCH("غير معرف",B5))</formula>
    </cfRule>
  </conditionalFormatting>
  <conditionalFormatting sqref="H5:Q49">
    <cfRule type="expression" dxfId="217" priority="2">
      <formula>AND($Z5&lt;&gt;"",COUNTIF($Y$5:$Y$49,$Z5)=0)</formula>
    </cfRule>
  </conditionalFormatting>
  <conditionalFormatting sqref="I5:I49">
    <cfRule type="expression" dxfId="216" priority="10">
      <formula>ISNUMBER(SEARCH("غير معرف",I5))</formula>
    </cfRule>
  </conditionalFormatting>
  <conditionalFormatting sqref="J5:J49">
    <cfRule type="expression" dxfId="215" priority="3">
      <formula>ISNUMBER(SEARCH("تم استلام",J5))</formula>
    </cfRule>
    <cfRule type="expression" dxfId="214" priority="4">
      <formula>ISNUMBER(SEARCH("لم تصل",J5))</formula>
    </cfRule>
  </conditionalFormatting>
  <conditionalFormatting sqref="V5:V50">
    <cfRule type="cellIs" dxfId="213" priority="5" operator="lessThan">
      <formula>0</formula>
    </cfRule>
  </conditionalFormatting>
  <conditionalFormatting sqref="X5:X49">
    <cfRule type="expression" dxfId="212" priority="6">
      <formula>ISNUMBER(SEARCH("اكتملت",X5))</formula>
    </cfRule>
    <cfRule type="expression" dxfId="211" priority="7">
      <formula>ISNUMBER(SEARCH("وصل ",X5))</formula>
    </cfRule>
    <cfRule type="expression" dxfId="210" priority="8">
      <formula>ISNUMBER(SEARCH("لا توجد",X5))</formula>
    </cfRule>
  </conditionalFormatting>
  <dataValidations count="1">
    <dataValidation type="list" allowBlank="1" sqref="H5:H49" xr:uid="{00000000-0002-0000-0C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C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C00-000000000000}">
          <x14:formula1>
            <xm:f>'قائمة الأصناف'!$A$3:$A$1000</xm:f>
          </x14:formula1>
          <x14:formula2>
            <xm:f>0</xm:f>
          </x14:formula2>
          <xm:sqref>A5:A49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11</v>
      </c>
      <c r="C1" s="16" t="s">
        <v>993</v>
      </c>
      <c r="D1" s="37">
        <f>IF($B$1&lt;=الإعدادات!$B$6,DATE(الإعدادات!$B$3,الإعدادات!$B$4,$B$1),"")</f>
        <v>46184</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115</v>
      </c>
      <c r="B5" s="36" t="str">
        <f>IF(Y5="","",IFERROR(INDEX('قائمة الأصناف'!$B$3:$B$1000,MATCH(Y5,'قائمة الأصناف'!$C$3:$C$1000,0)),"⚠ كود غير معرف"))</f>
        <v>كرز</v>
      </c>
      <c r="C5" s="42">
        <v>9960</v>
      </c>
      <c r="D5" s="43">
        <v>5.5</v>
      </c>
      <c r="E5" s="29">
        <f t="shared" ref="E5:E49" si="0">IF(OR(C5="",D5=""),"",C5*D5)</f>
        <v>54780</v>
      </c>
      <c r="F5" s="29">
        <f>IF(E5="","",E5*الإعدادات!$B$8)</f>
        <v>8217</v>
      </c>
      <c r="G5" s="29">
        <f t="shared" ref="G5:G49" si="1">IF(E5="","",E5+F5)</f>
        <v>62997</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54780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36271</v>
      </c>
      <c r="Z5" t="str">
        <f t="shared" ref="Z5:Z49" si="13">IF(TRIM(H5)="","",IF(ISNUMBER(VALUE(TRIM(H5))),TEXT(VALUE(TRIM(H5)),"0"),TRIM(H5)))</f>
        <v/>
      </c>
    </row>
    <row r="6" spans="1:26" x14ac:dyDescent="0.25">
      <c r="A6" s="41" t="s">
        <v>112</v>
      </c>
      <c r="B6" s="36" t="str">
        <f>IF(Y6="","",IFERROR(INDEX('قائمة الأصناف'!$B$3:$B$1000,MATCH(Y6,'قائمة الأصناف'!$C$3:$C$1000,0)),"⚠ كود غير معرف"))</f>
        <v>بخاره حمراء</v>
      </c>
      <c r="C6" s="42">
        <v>3990</v>
      </c>
      <c r="D6" s="43">
        <v>6</v>
      </c>
      <c r="E6" s="29">
        <f t="shared" si="0"/>
        <v>23940</v>
      </c>
      <c r="F6" s="29">
        <f>IF(E6="","",E6*الإعدادات!$B$8)</f>
        <v>3591</v>
      </c>
      <c r="G6" s="29">
        <f t="shared" si="1"/>
        <v>27531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23940</v>
      </c>
      <c r="W6" s="30">
        <f t="shared" si="10"/>
        <v>1</v>
      </c>
      <c r="X6" s="27" t="str">
        <f t="shared" si="11"/>
        <v>⏳ لا توجد فواتير شراء</v>
      </c>
      <c r="Y6" t="str">
        <f t="shared" si="12"/>
        <v>5</v>
      </c>
      <c r="Z6" t="str">
        <f t="shared" si="13"/>
        <v/>
      </c>
    </row>
    <row r="7" spans="1:26" x14ac:dyDescent="0.25">
      <c r="A7" s="41" t="s">
        <v>90</v>
      </c>
      <c r="B7" s="36" t="str">
        <f>IF(Y7="","",IFERROR(INDEX('قائمة الأصناف'!$B$3:$B$1000,MATCH(Y7,'قائمة الأصناف'!$C$3:$C$1000,0)),"⚠ كود غير معرف"))</f>
        <v>ليمون فيتنامي</v>
      </c>
      <c r="C7" s="42">
        <v>4300</v>
      </c>
      <c r="D7" s="43">
        <v>8</v>
      </c>
      <c r="E7" s="29">
        <f t="shared" si="0"/>
        <v>34400</v>
      </c>
      <c r="F7" s="29">
        <f>IF(E7="","",E7*الإعدادات!$B$8)</f>
        <v>5160</v>
      </c>
      <c r="G7" s="29">
        <f t="shared" si="1"/>
        <v>39560</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34400</v>
      </c>
      <c r="W7" s="30">
        <f t="shared" si="10"/>
        <v>1</v>
      </c>
      <c r="X7" s="27" t="str">
        <f t="shared" si="11"/>
        <v>⏳ لا توجد فواتير شراء</v>
      </c>
      <c r="Y7" t="str">
        <f t="shared" si="12"/>
        <v>47953</v>
      </c>
      <c r="Z7" t="str">
        <f t="shared" si="13"/>
        <v/>
      </c>
    </row>
    <row r="8" spans="1:26" x14ac:dyDescent="0.25">
      <c r="A8" s="41" t="s">
        <v>48</v>
      </c>
      <c r="B8" s="36" t="str">
        <f>IF(Y8="","",IFERROR(INDEX('قائمة الأصناف'!$B$3:$B$1000,MATCH(Y8,'قائمة الأصناف'!$C$3:$C$1000,0)),"⚠ كود غير معرف"))</f>
        <v>مانجو يمنى</v>
      </c>
      <c r="C8" s="42">
        <v>7696</v>
      </c>
      <c r="D8" s="43">
        <v>5</v>
      </c>
      <c r="E8" s="29">
        <f t="shared" si="0"/>
        <v>38480</v>
      </c>
      <c r="F8" s="29">
        <f>IF(E8="","",E8*الإعدادات!$B$8)</f>
        <v>5772</v>
      </c>
      <c r="G8" s="29">
        <f t="shared" si="1"/>
        <v>44252</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38480</v>
      </c>
      <c r="W8" s="30">
        <f t="shared" si="10"/>
        <v>1</v>
      </c>
      <c r="X8" s="27" t="str">
        <f t="shared" si="11"/>
        <v>⏳ لا توجد فواتير شراء</v>
      </c>
      <c r="Y8" t="str">
        <f t="shared" si="12"/>
        <v>48568</v>
      </c>
      <c r="Z8" t="str">
        <f t="shared" si="13"/>
        <v/>
      </c>
    </row>
    <row r="9" spans="1:26" x14ac:dyDescent="0.25">
      <c r="A9" s="41" t="s">
        <v>108</v>
      </c>
      <c r="B9" s="36" t="str">
        <f>IF(Y9="","",IFERROR(INDEX('قائمة الأصناف'!$B$3:$B$1000,MATCH(Y9,'قائمة الأصناف'!$C$3:$C$1000,0)),"⚠ كود غير معرف"))</f>
        <v>عنب احمر سدلس</v>
      </c>
      <c r="C9" s="42">
        <v>3187</v>
      </c>
      <c r="D9" s="43">
        <v>7</v>
      </c>
      <c r="E9" s="29">
        <f t="shared" si="0"/>
        <v>22309</v>
      </c>
      <c r="F9" s="29">
        <f>IF(E9="","",E9*الإعدادات!$B$8)</f>
        <v>3346.35</v>
      </c>
      <c r="G9" s="29">
        <f t="shared" si="1"/>
        <v>25655.35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22309</v>
      </c>
      <c r="W9" s="30">
        <f t="shared" si="10"/>
        <v>1</v>
      </c>
      <c r="X9" s="27" t="str">
        <f t="shared" si="11"/>
        <v>⏳ لا توجد فواتير شراء</v>
      </c>
      <c r="Y9" t="str">
        <f t="shared" si="12"/>
        <v>48643</v>
      </c>
      <c r="Z9" t="str">
        <f t="shared" si="13"/>
        <v/>
      </c>
    </row>
    <row r="10" spans="1:26" x14ac:dyDescent="0.25">
      <c r="A10" s="41" t="s">
        <v>74</v>
      </c>
      <c r="B10" s="36" t="str">
        <f>IF(Y10="","",IFERROR(INDEX('قائمة الأصناف'!$B$3:$B$1000,MATCH(Y10,'قائمة الأصناف'!$C$3:$C$1000,0)),"⚠ كود غير معرف"))</f>
        <v>رمان هندى</v>
      </c>
      <c r="C10" s="42">
        <v>1310</v>
      </c>
      <c r="D10" s="43">
        <v>13</v>
      </c>
      <c r="E10" s="29">
        <f t="shared" si="0"/>
        <v>17030</v>
      </c>
      <c r="F10" s="29">
        <f>IF(E10="","",E10*الإعدادات!$B$8)</f>
        <v>2554.5</v>
      </c>
      <c r="G10" s="29">
        <f t="shared" si="1"/>
        <v>19584.5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17030</v>
      </c>
      <c r="W10" s="30">
        <f t="shared" si="10"/>
        <v>1</v>
      </c>
      <c r="X10" s="27" t="str">
        <f t="shared" si="11"/>
        <v>⏳ لا توجد فواتير شراء</v>
      </c>
      <c r="Y10" t="str">
        <f t="shared" si="12"/>
        <v>47883</v>
      </c>
      <c r="Z10" t="str">
        <f t="shared" si="13"/>
        <v/>
      </c>
    </row>
    <row r="11" spans="1:26" x14ac:dyDescent="0.25">
      <c r="A11" s="41" t="s">
        <v>54</v>
      </c>
      <c r="B11" s="36" t="str">
        <f>IF(Y11="","",IFERROR(INDEX('قائمة الأصناف'!$B$3:$B$1000,MATCH(Y11,'قائمة الأصناف'!$C$3:$C$1000,0)),"⚠ كود غير معرف"))</f>
        <v>برتقال عصير</v>
      </c>
      <c r="C11" s="42">
        <v>7000</v>
      </c>
      <c r="D11" s="43">
        <v>3.3</v>
      </c>
      <c r="E11" s="29">
        <f t="shared" si="0"/>
        <v>23100</v>
      </c>
      <c r="F11" s="29">
        <f>IF(E11="","",E11*الإعدادات!$B$8)</f>
        <v>3465</v>
      </c>
      <c r="G11" s="29">
        <f t="shared" si="1"/>
        <v>26565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23100</v>
      </c>
      <c r="W11" s="30">
        <f t="shared" si="10"/>
        <v>1</v>
      </c>
      <c r="X11" s="27" t="str">
        <f t="shared" si="11"/>
        <v>⏳ لا توجد فواتير شراء</v>
      </c>
      <c r="Y11" t="str">
        <f t="shared" si="12"/>
        <v>49494</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37443</v>
      </c>
      <c r="D50" s="31"/>
      <c r="E50" s="32">
        <f>SUM(E5:E49)</f>
        <v>214039</v>
      </c>
      <c r="F50" s="32">
        <f>SUM(F5:F49)</f>
        <v>32105.85</v>
      </c>
      <c r="G50" s="32">
        <f>SUM(G5:G49)</f>
        <v>246144.85</v>
      </c>
      <c r="H50" s="31"/>
      <c r="I50" s="31"/>
      <c r="J50" s="31"/>
      <c r="K50" s="31"/>
      <c r="L50" s="31"/>
      <c r="M50" s="46">
        <f>SUM(M5:M49)</f>
        <v>0</v>
      </c>
      <c r="N50" s="31"/>
      <c r="O50" s="32">
        <f>SUM(O5:O49)</f>
        <v>0</v>
      </c>
      <c r="P50" s="32">
        <f>SUM(P5:P49)</f>
        <v>0</v>
      </c>
      <c r="Q50" s="32">
        <f>SUM(Q5:Q49)</f>
        <v>0</v>
      </c>
      <c r="R50" s="31"/>
      <c r="S50" s="31"/>
      <c r="T50" s="32">
        <f>SUM(T5:T49)</f>
        <v>0</v>
      </c>
      <c r="U50" s="31"/>
      <c r="V50" s="32">
        <f>SUM(V5:V49)</f>
        <v>214039</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08" priority="9">
      <formula>ISNUMBER(SEARCH("غير معرف",B5))</formula>
    </cfRule>
  </conditionalFormatting>
  <conditionalFormatting sqref="H5:Q49">
    <cfRule type="expression" dxfId="207" priority="2">
      <formula>AND($Z5&lt;&gt;"",COUNTIF($Y$5:$Y$49,$Z5)=0)</formula>
    </cfRule>
  </conditionalFormatting>
  <conditionalFormatting sqref="I5:I49">
    <cfRule type="expression" dxfId="206" priority="10">
      <formula>ISNUMBER(SEARCH("غير معرف",I5))</formula>
    </cfRule>
  </conditionalFormatting>
  <conditionalFormatting sqref="J5:J49">
    <cfRule type="expression" dxfId="205" priority="3">
      <formula>ISNUMBER(SEARCH("تم استلام",J5))</formula>
    </cfRule>
    <cfRule type="expression" dxfId="204" priority="4">
      <formula>ISNUMBER(SEARCH("لم تصل",J5))</formula>
    </cfRule>
  </conditionalFormatting>
  <conditionalFormatting sqref="V5:V50">
    <cfRule type="cellIs" dxfId="203" priority="5" operator="lessThan">
      <formula>0</formula>
    </cfRule>
  </conditionalFormatting>
  <conditionalFormatting sqref="X5:X49">
    <cfRule type="expression" dxfId="202" priority="6">
      <formula>ISNUMBER(SEARCH("اكتملت",X5))</formula>
    </cfRule>
    <cfRule type="expression" dxfId="201" priority="7">
      <formula>ISNUMBER(SEARCH("وصل ",X5))</formula>
    </cfRule>
    <cfRule type="expression" dxfId="200" priority="8">
      <formula>ISNUMBER(SEARCH("لا توجد",X5))</formula>
    </cfRule>
  </conditionalFormatting>
  <dataValidations count="1">
    <dataValidation type="list" allowBlank="1" sqref="H5:H49" xr:uid="{00000000-0002-0000-0D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D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D00-000000000000}">
          <x14:formula1>
            <xm:f>'قائمة الأصناف'!$A$3:$A$1000</xm:f>
          </x14:formula1>
          <x14:formula2>
            <xm:f>0</xm:f>
          </x14:formula2>
          <xm:sqref>A5:A49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12</v>
      </c>
      <c r="C1" s="16" t="s">
        <v>993</v>
      </c>
      <c r="D1" s="37">
        <f>IF($B$1&lt;=الإعدادات!$B$6,DATE(الإعدادات!$B$3,الإعدادات!$B$4,$B$1),"")</f>
        <v>46185</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113</v>
      </c>
      <c r="B5" s="36" t="str">
        <f>IF(Y5="","",IFERROR(INDEX('قائمة الأصناف'!$B$3:$B$1000,MATCH(Y5,'قائمة الأصناف'!$C$3:$C$1000,0)),"⚠ كود غير معرف"))</f>
        <v>CHERRYSMALLBOX</v>
      </c>
      <c r="C5" s="42">
        <v>7180</v>
      </c>
      <c r="D5" s="43">
        <v>5.5</v>
      </c>
      <c r="E5" s="29">
        <f t="shared" ref="E5:E49" si="0">IF(OR(C5="",D5=""),"",C5*D5)</f>
        <v>39490</v>
      </c>
      <c r="F5" s="29">
        <f>IF(E5="","",E5*الإعدادات!$B$8)</f>
        <v>5923.5</v>
      </c>
      <c r="G5" s="29">
        <f t="shared" ref="G5:G49" si="1">IF(E5="","",E5+F5)</f>
        <v>45413.5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39490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48586</v>
      </c>
      <c r="Z5" t="str">
        <f t="shared" ref="Z5:Z49" si="13">IF(TRIM(H5)="","",IF(ISNUMBER(VALUE(TRIM(H5))),TEXT(VALUE(TRIM(H5)),"0"),TRIM(H5)))</f>
        <v/>
      </c>
    </row>
    <row r="6" spans="1:26" x14ac:dyDescent="0.25">
      <c r="A6" s="41" t="s">
        <v>74</v>
      </c>
      <c r="B6" s="36" t="str">
        <f>IF(Y6="","",IFERROR(INDEX('قائمة الأصناف'!$B$3:$B$1000,MATCH(Y6,'قائمة الأصناف'!$C$3:$C$1000,0)),"⚠ كود غير معرف"))</f>
        <v>رمان هندى</v>
      </c>
      <c r="C6" s="42">
        <v>600</v>
      </c>
      <c r="D6" s="43">
        <v>13</v>
      </c>
      <c r="E6" s="29">
        <f t="shared" si="0"/>
        <v>7800</v>
      </c>
      <c r="F6" s="29">
        <f>IF(E6="","",E6*الإعدادات!$B$8)</f>
        <v>1170</v>
      </c>
      <c r="G6" s="29">
        <f t="shared" si="1"/>
        <v>8970</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7800</v>
      </c>
      <c r="W6" s="30">
        <f t="shared" si="10"/>
        <v>1</v>
      </c>
      <c r="X6" s="27" t="str">
        <f t="shared" si="11"/>
        <v>⏳ لا توجد فواتير شراء</v>
      </c>
      <c r="Y6" t="str">
        <f t="shared" si="12"/>
        <v>47883</v>
      </c>
      <c r="Z6" t="str">
        <f t="shared" si="13"/>
        <v/>
      </c>
    </row>
    <row r="7" spans="1:26" x14ac:dyDescent="0.25">
      <c r="A7" s="41" t="s">
        <v>90</v>
      </c>
      <c r="B7" s="36" t="str">
        <f>IF(Y7="","",IFERROR(INDEX('قائمة الأصناف'!$B$3:$B$1000,MATCH(Y7,'قائمة الأصناف'!$C$3:$C$1000,0)),"⚠ كود غير معرف"))</f>
        <v>ليمون فيتنامي</v>
      </c>
      <c r="C7" s="42">
        <v>1520</v>
      </c>
      <c r="D7" s="43">
        <v>8</v>
      </c>
      <c r="E7" s="29">
        <f t="shared" si="0"/>
        <v>12160</v>
      </c>
      <c r="F7" s="29">
        <f>IF(E7="","",E7*الإعدادات!$B$8)</f>
        <v>1824</v>
      </c>
      <c r="G7" s="29">
        <f t="shared" si="1"/>
        <v>13984</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12160</v>
      </c>
      <c r="W7" s="30">
        <f t="shared" si="10"/>
        <v>1</v>
      </c>
      <c r="X7" s="27" t="str">
        <f t="shared" si="11"/>
        <v>⏳ لا توجد فواتير شراء</v>
      </c>
      <c r="Y7" t="str">
        <f t="shared" si="12"/>
        <v>47953</v>
      </c>
      <c r="Z7" t="str">
        <f t="shared" si="13"/>
        <v/>
      </c>
    </row>
    <row r="8" spans="1:26" x14ac:dyDescent="0.25">
      <c r="A8" s="41" t="s">
        <v>110</v>
      </c>
      <c r="B8" s="36" t="str">
        <f>IF(Y8="","",IFERROR(INDEX('قائمة الأصناف'!$B$3:$B$1000,MATCH(Y8,'قائمة الأصناف'!$C$3:$C$1000,0)),"⚠ كود غير معرف"))</f>
        <v>GRAPEFRUIT</v>
      </c>
      <c r="C8" s="42">
        <v>946</v>
      </c>
      <c r="D8" s="43">
        <v>5</v>
      </c>
      <c r="E8" s="29">
        <f t="shared" si="0"/>
        <v>4730</v>
      </c>
      <c r="F8" s="29">
        <f>IF(E8="","",E8*الإعدادات!$B$8)</f>
        <v>709.5</v>
      </c>
      <c r="G8" s="29">
        <f t="shared" si="1"/>
        <v>5439.5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4730</v>
      </c>
      <c r="W8" s="30">
        <f t="shared" si="10"/>
        <v>1</v>
      </c>
      <c r="X8" s="27" t="str">
        <f t="shared" si="11"/>
        <v>⏳ لا توجد فواتير شراء</v>
      </c>
      <c r="Y8" t="str">
        <f t="shared" si="12"/>
        <v>48402</v>
      </c>
      <c r="Z8" t="str">
        <f t="shared" si="13"/>
        <v/>
      </c>
    </row>
    <row r="9" spans="1:26" x14ac:dyDescent="0.25">
      <c r="A9" s="41" t="s">
        <v>76</v>
      </c>
      <c r="B9" s="36" t="str">
        <f>IF(Y9="","",IFERROR(INDEX('قائمة الأصناف'!$B$3:$B$1000,MATCH(Y9,'قائمة الأصناف'!$C$3:$C$1000,0)),"⚠ كود غير معرف"))</f>
        <v>افوكادو</v>
      </c>
      <c r="C9" s="42">
        <v>2144</v>
      </c>
      <c r="D9" s="43">
        <v>7</v>
      </c>
      <c r="E9" s="29">
        <f t="shared" si="0"/>
        <v>15008</v>
      </c>
      <c r="F9" s="29">
        <f>IF(E9="","",E9*الإعدادات!$B$8)</f>
        <v>2251.1999999999998</v>
      </c>
      <c r="G9" s="29">
        <f t="shared" si="1"/>
        <v>17259.2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15008</v>
      </c>
      <c r="W9" s="30">
        <f t="shared" si="10"/>
        <v>1</v>
      </c>
      <c r="X9" s="27" t="str">
        <f t="shared" si="11"/>
        <v>⏳ لا توجد فواتير شراء</v>
      </c>
      <c r="Y9" t="str">
        <f t="shared" si="12"/>
        <v>48206</v>
      </c>
      <c r="Z9" t="str">
        <f t="shared" si="13"/>
        <v/>
      </c>
    </row>
    <row r="10" spans="1:26" x14ac:dyDescent="0.25">
      <c r="A10" s="41" t="s">
        <v>92</v>
      </c>
      <c r="B10" s="36" t="str">
        <f>IF(Y10="","",IFERROR(INDEX('قائمة الأصناف'!$B$3:$B$1000,MATCH(Y10,'قائمة الأصناف'!$C$3:$C$1000,0)),"⚠ كود غير معرف"))</f>
        <v>مانجو سمكه</v>
      </c>
      <c r="C10" s="42">
        <v>2001</v>
      </c>
      <c r="D10" s="43">
        <v>6</v>
      </c>
      <c r="E10" s="29">
        <f t="shared" si="0"/>
        <v>12006</v>
      </c>
      <c r="F10" s="29">
        <f>IF(E10="","",E10*الإعدادات!$B$8)</f>
        <v>1800.8999999999999</v>
      </c>
      <c r="G10" s="29">
        <f t="shared" si="1"/>
        <v>13806.9</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12006</v>
      </c>
      <c r="W10" s="30">
        <f t="shared" si="10"/>
        <v>1</v>
      </c>
      <c r="X10" s="27" t="str">
        <f t="shared" si="11"/>
        <v>⏳ لا توجد فواتير شراء</v>
      </c>
      <c r="Y10" t="str">
        <f t="shared" si="12"/>
        <v>47915</v>
      </c>
      <c r="Z10" t="str">
        <f t="shared" si="13"/>
        <v/>
      </c>
    </row>
    <row r="11" spans="1:26" x14ac:dyDescent="0.25">
      <c r="A11" s="41" t="s">
        <v>82</v>
      </c>
      <c r="B11" s="36" t="str">
        <f>IF(Y11="","",IFERROR(INDEX('قائمة الأصناف'!$B$3:$B$1000,MATCH(Y11,'قائمة الأصناف'!$C$3:$C$1000,0)),"⚠ كود غير معرف"))</f>
        <v>فلفل احمر</v>
      </c>
      <c r="C11" s="42">
        <v>966</v>
      </c>
      <c r="D11" s="43">
        <v>8</v>
      </c>
      <c r="E11" s="29">
        <f t="shared" si="0"/>
        <v>7728</v>
      </c>
      <c r="F11" s="29">
        <f>IF(E11="","",E11*الإعدادات!$B$8)</f>
        <v>1159.2</v>
      </c>
      <c r="G11" s="29">
        <f t="shared" si="1"/>
        <v>8887.2000000000007</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7728</v>
      </c>
      <c r="W11" s="30">
        <f t="shared" si="10"/>
        <v>1</v>
      </c>
      <c r="X11" s="27" t="str">
        <f t="shared" si="11"/>
        <v>⏳ لا توجد فواتير شراء</v>
      </c>
      <c r="Y11" t="str">
        <f t="shared" si="12"/>
        <v>48679</v>
      </c>
      <c r="Z11" t="str">
        <f t="shared" si="13"/>
        <v/>
      </c>
    </row>
    <row r="12" spans="1:26" x14ac:dyDescent="0.25">
      <c r="A12" s="41" t="s">
        <v>84</v>
      </c>
      <c r="B12" s="36" t="str">
        <f>IF(Y12="","",IFERROR(INDEX('قائمة الأصناف'!$B$3:$B$1000,MATCH(Y12,'قائمة الأصناف'!$C$3:$C$1000,0)),"⚠ كود غير معرف"))</f>
        <v>فلفل اصفر</v>
      </c>
      <c r="C12" s="42">
        <v>1050</v>
      </c>
      <c r="D12" s="43">
        <v>8</v>
      </c>
      <c r="E12" s="29">
        <f t="shared" si="0"/>
        <v>8400</v>
      </c>
      <c r="F12" s="29">
        <f>IF(E12="","",E12*الإعدادات!$B$8)</f>
        <v>1260</v>
      </c>
      <c r="G12" s="29">
        <f t="shared" si="1"/>
        <v>9660</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8400</v>
      </c>
      <c r="W12" s="30">
        <f t="shared" si="10"/>
        <v>1</v>
      </c>
      <c r="X12" s="27" t="str">
        <f t="shared" si="11"/>
        <v>⏳ لا توجد فواتير شراء</v>
      </c>
      <c r="Y12" t="str">
        <f t="shared" si="12"/>
        <v>48683</v>
      </c>
      <c r="Z12" t="str">
        <f t="shared" si="13"/>
        <v/>
      </c>
    </row>
    <row r="13" spans="1:26" x14ac:dyDescent="0.25">
      <c r="A13" s="41" t="s">
        <v>104</v>
      </c>
      <c r="B13" s="36" t="str">
        <f>IF(Y13="","",IFERROR(INDEX('قائمة الأصناف'!$B$3:$B$1000,MATCH(Y13,'قائمة الأصناف'!$C$3:$C$1000,0)),"⚠ كود غير معرف"))</f>
        <v>خس</v>
      </c>
      <c r="C13" s="42">
        <v>417</v>
      </c>
      <c r="D13" s="43">
        <v>10</v>
      </c>
      <c r="E13" s="29">
        <f t="shared" si="0"/>
        <v>4170</v>
      </c>
      <c r="F13" s="29">
        <f>IF(E13="","",E13*الإعدادات!$B$8)</f>
        <v>625.5</v>
      </c>
      <c r="G13" s="29">
        <f t="shared" si="1"/>
        <v>4795.5</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0</v>
      </c>
      <c r="S13" s="45">
        <f t="shared" si="6"/>
        <v>0</v>
      </c>
      <c r="T13" s="29">
        <f t="shared" si="7"/>
        <v>0</v>
      </c>
      <c r="U13" s="29" t="str">
        <f t="shared" si="8"/>
        <v/>
      </c>
      <c r="V13" s="29">
        <f t="shared" si="9"/>
        <v>4170</v>
      </c>
      <c r="W13" s="30">
        <f t="shared" si="10"/>
        <v>1</v>
      </c>
      <c r="X13" s="27" t="str">
        <f t="shared" si="11"/>
        <v>⏳ لا توجد فواتير شراء</v>
      </c>
      <c r="Y13" t="str">
        <f t="shared" si="12"/>
        <v>48394</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16824</v>
      </c>
      <c r="D50" s="31"/>
      <c r="E50" s="32">
        <f>SUM(E5:E49)</f>
        <v>111492</v>
      </c>
      <c r="F50" s="32">
        <f>SUM(F5:F49)</f>
        <v>16723.800000000003</v>
      </c>
      <c r="G50" s="32">
        <f>SUM(G5:G49)</f>
        <v>128215.79999999999</v>
      </c>
      <c r="H50" s="31"/>
      <c r="I50" s="31"/>
      <c r="J50" s="31"/>
      <c r="K50" s="31"/>
      <c r="L50" s="31"/>
      <c r="M50" s="46">
        <f>SUM(M5:M49)</f>
        <v>0</v>
      </c>
      <c r="N50" s="31"/>
      <c r="O50" s="32">
        <f>SUM(O5:O49)</f>
        <v>0</v>
      </c>
      <c r="P50" s="32">
        <f>SUM(P5:P49)</f>
        <v>0</v>
      </c>
      <c r="Q50" s="32">
        <f>SUM(Q5:Q49)</f>
        <v>0</v>
      </c>
      <c r="R50" s="31"/>
      <c r="S50" s="31"/>
      <c r="T50" s="32">
        <f>SUM(T5:T49)</f>
        <v>0</v>
      </c>
      <c r="U50" s="31"/>
      <c r="V50" s="32">
        <f>SUM(V5:V49)</f>
        <v>111492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98" priority="9">
      <formula>ISNUMBER(SEARCH("غير معرف",B5))</formula>
    </cfRule>
  </conditionalFormatting>
  <conditionalFormatting sqref="H5:Q49">
    <cfRule type="expression" dxfId="197" priority="2">
      <formula>AND($Z5&lt;&gt;"",COUNTIF($Y$5:$Y$49,$Z5)=0)</formula>
    </cfRule>
  </conditionalFormatting>
  <conditionalFormatting sqref="I5:I49">
    <cfRule type="expression" dxfId="196" priority="10">
      <formula>ISNUMBER(SEARCH("غير معرف",I5))</formula>
    </cfRule>
  </conditionalFormatting>
  <conditionalFormatting sqref="J5:J49">
    <cfRule type="expression" dxfId="195" priority="3">
      <formula>ISNUMBER(SEARCH("تم استلام",J5))</formula>
    </cfRule>
    <cfRule type="expression" dxfId="194" priority="4">
      <formula>ISNUMBER(SEARCH("لم تصل",J5))</formula>
    </cfRule>
  </conditionalFormatting>
  <conditionalFormatting sqref="V5:V50">
    <cfRule type="cellIs" dxfId="193" priority="5" operator="lessThan">
      <formula>0</formula>
    </cfRule>
  </conditionalFormatting>
  <conditionalFormatting sqref="X5:X49">
    <cfRule type="expression" dxfId="192" priority="6">
      <formula>ISNUMBER(SEARCH("اكتملت",X5))</formula>
    </cfRule>
    <cfRule type="expression" dxfId="191" priority="7">
      <formula>ISNUMBER(SEARCH("وصل ",X5))</formula>
    </cfRule>
    <cfRule type="expression" dxfId="190" priority="8">
      <formula>ISNUMBER(SEARCH("لا توجد",X5))</formula>
    </cfRule>
  </conditionalFormatting>
  <dataValidations count="1">
    <dataValidation type="list" allowBlank="1" sqref="H5:H49" xr:uid="{00000000-0002-0000-0E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E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E00-000000000000}">
          <x14:formula1>
            <xm:f>'قائمة الأصناف'!$A$3:$A$1000</xm:f>
          </x14:formula1>
          <x14:formula2>
            <xm:f>0</xm:f>
          </x14:formula2>
          <xm:sqref>A5:A49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13</v>
      </c>
      <c r="C1" s="16" t="s">
        <v>993</v>
      </c>
      <c r="D1" s="37">
        <f>IF($B$1&lt;=الإعدادات!$B$6,DATE(الإعدادات!$B$3,الإعدادات!$B$4,$B$1),"")</f>
        <v>46186</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113</v>
      </c>
      <c r="B5" s="36" t="str">
        <f>IF(Y5="","",IFERROR(INDEX('قائمة الأصناف'!$B$3:$B$1000,MATCH(Y5,'قائمة الأصناف'!$C$3:$C$1000,0)),"⚠ كود غير معرف"))</f>
        <v>CHERRYSMALLBOX</v>
      </c>
      <c r="C5" s="42">
        <v>6000</v>
      </c>
      <c r="D5" s="43">
        <v>5.5</v>
      </c>
      <c r="E5" s="29">
        <f t="shared" ref="E5:E49" si="0">IF(OR(C5="",D5=""),"",C5*D5)</f>
        <v>33000</v>
      </c>
      <c r="F5" s="29">
        <f>IF(E5="","",E5*الإعدادات!$B$8)</f>
        <v>4950</v>
      </c>
      <c r="G5" s="29">
        <f t="shared" ref="G5:G49" si="1">IF(E5="","",E5+F5)</f>
        <v>37950</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33000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48586</v>
      </c>
      <c r="Z5" t="str">
        <f t="shared" ref="Z5:Z49" si="13">IF(TRIM(H5)="","",IF(ISNUMBER(VALUE(TRIM(H5))),TEXT(VALUE(TRIM(H5)),"0"),TRIM(H5)))</f>
        <v/>
      </c>
    </row>
    <row r="6" spans="1:26" x14ac:dyDescent="0.25">
      <c r="A6" s="41" t="s">
        <v>100</v>
      </c>
      <c r="B6" s="36" t="str">
        <f>IF(Y6="","",IFERROR(INDEX('قائمة الأصناف'!$B$3:$B$1000,MATCH(Y6,'قائمة الأصناف'!$C$3:$C$1000,0)),"⚠ كود غير معرف"))</f>
        <v>عنب اسود</v>
      </c>
      <c r="C6" s="42">
        <v>1584</v>
      </c>
      <c r="D6" s="43">
        <v>8</v>
      </c>
      <c r="E6" s="29">
        <f t="shared" si="0"/>
        <v>12672</v>
      </c>
      <c r="F6" s="29">
        <f>IF(E6="","",E6*الإعدادات!$B$8)</f>
        <v>1900.8</v>
      </c>
      <c r="G6" s="29">
        <f t="shared" si="1"/>
        <v>14572.8</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12672</v>
      </c>
      <c r="W6" s="30">
        <f t="shared" si="10"/>
        <v>1</v>
      </c>
      <c r="X6" s="27" t="str">
        <f t="shared" si="11"/>
        <v>⏳ لا توجد فواتير شراء</v>
      </c>
      <c r="Y6" t="str">
        <f t="shared" si="12"/>
        <v>48601</v>
      </c>
      <c r="Z6" t="str">
        <f t="shared" si="13"/>
        <v/>
      </c>
    </row>
    <row r="7" spans="1:26" x14ac:dyDescent="0.25">
      <c r="A7" s="41" t="s">
        <v>48</v>
      </c>
      <c r="B7" s="36" t="str">
        <f>IF(Y7="","",IFERROR(INDEX('قائمة الأصناف'!$B$3:$B$1000,MATCH(Y7,'قائمة الأصناف'!$C$3:$C$1000,0)),"⚠ كود غير معرف"))</f>
        <v>مانجو يمنى</v>
      </c>
      <c r="C7" s="42">
        <v>2986</v>
      </c>
      <c r="D7" s="43">
        <v>5</v>
      </c>
      <c r="E7" s="29">
        <f t="shared" si="0"/>
        <v>14930</v>
      </c>
      <c r="F7" s="29">
        <f>IF(E7="","",E7*الإعدادات!$B$8)</f>
        <v>2239.5</v>
      </c>
      <c r="G7" s="29">
        <f t="shared" si="1"/>
        <v>17169.5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14930</v>
      </c>
      <c r="W7" s="30">
        <f t="shared" si="10"/>
        <v>1</v>
      </c>
      <c r="X7" s="27" t="str">
        <f t="shared" si="11"/>
        <v>⏳ لا توجد فواتير شراء</v>
      </c>
      <c r="Y7" t="str">
        <f t="shared" si="12"/>
        <v>48568</v>
      </c>
      <c r="Z7" t="str">
        <f t="shared" si="13"/>
        <v/>
      </c>
    </row>
    <row r="8" spans="1:26" x14ac:dyDescent="0.25">
      <c r="A8" s="41" t="s">
        <v>94</v>
      </c>
      <c r="B8" s="36" t="str">
        <f>IF(Y8="","",IFERROR(INDEX('قائمة الأصناف'!$B$3:$B$1000,MATCH(Y8,'قائمة الأصناف'!$C$3:$C$1000,0)),"⚠ كود غير معرف"))</f>
        <v>اناناس</v>
      </c>
      <c r="C8" s="42">
        <v>750</v>
      </c>
      <c r="D8" s="43">
        <v>12</v>
      </c>
      <c r="E8" s="29">
        <f t="shared" si="0"/>
        <v>9000</v>
      </c>
      <c r="F8" s="29">
        <f>IF(E8="","",E8*الإعدادات!$B$8)</f>
        <v>1350</v>
      </c>
      <c r="G8" s="29">
        <f t="shared" si="1"/>
        <v>10350</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9000</v>
      </c>
      <c r="W8" s="30">
        <f t="shared" si="10"/>
        <v>1</v>
      </c>
      <c r="X8" s="27" t="str">
        <f t="shared" si="11"/>
        <v>⏳ لا توجد فواتير شراء</v>
      </c>
      <c r="Y8" t="str">
        <f t="shared" si="12"/>
        <v>47863</v>
      </c>
      <c r="Z8" t="str">
        <f t="shared" si="13"/>
        <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11320</v>
      </c>
      <c r="D50" s="31"/>
      <c r="E50" s="32">
        <f>SUM(E5:E49)</f>
        <v>69602</v>
      </c>
      <c r="F50" s="32">
        <f>SUM(F5:F49)</f>
        <v>10440.299999999999</v>
      </c>
      <c r="G50" s="32">
        <f>SUM(G5:G49)</f>
        <v>80042.3</v>
      </c>
      <c r="H50" s="31"/>
      <c r="I50" s="31"/>
      <c r="J50" s="31"/>
      <c r="K50" s="31"/>
      <c r="L50" s="31"/>
      <c r="M50" s="46">
        <f>SUM(M5:M49)</f>
        <v>0</v>
      </c>
      <c r="N50" s="31"/>
      <c r="O50" s="32">
        <f>SUM(O5:O49)</f>
        <v>0</v>
      </c>
      <c r="P50" s="32">
        <f>SUM(P5:P49)</f>
        <v>0</v>
      </c>
      <c r="Q50" s="32">
        <f>SUM(Q5:Q49)</f>
        <v>0</v>
      </c>
      <c r="R50" s="31"/>
      <c r="S50" s="31"/>
      <c r="T50" s="32">
        <f>SUM(T5:T49)</f>
        <v>0</v>
      </c>
      <c r="U50" s="31"/>
      <c r="V50" s="32">
        <f>SUM(V5:V49)</f>
        <v>69602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88" priority="9">
      <formula>ISNUMBER(SEARCH("غير معرف",B5))</formula>
    </cfRule>
  </conditionalFormatting>
  <conditionalFormatting sqref="H5:Q49">
    <cfRule type="expression" dxfId="187" priority="2">
      <formula>AND($Z5&lt;&gt;"",COUNTIF($Y$5:$Y$49,$Z5)=0)</formula>
    </cfRule>
  </conditionalFormatting>
  <conditionalFormatting sqref="I5:I49">
    <cfRule type="expression" dxfId="186" priority="10">
      <formula>ISNUMBER(SEARCH("غير معرف",I5))</formula>
    </cfRule>
  </conditionalFormatting>
  <conditionalFormatting sqref="J5:J49">
    <cfRule type="expression" dxfId="185" priority="3">
      <formula>ISNUMBER(SEARCH("تم استلام",J5))</formula>
    </cfRule>
    <cfRule type="expression" dxfId="184" priority="4">
      <formula>ISNUMBER(SEARCH("لم تصل",J5))</formula>
    </cfRule>
  </conditionalFormatting>
  <conditionalFormatting sqref="V5:V50">
    <cfRule type="cellIs" dxfId="183" priority="5" operator="lessThan">
      <formula>0</formula>
    </cfRule>
  </conditionalFormatting>
  <conditionalFormatting sqref="X5:X49">
    <cfRule type="expression" dxfId="182" priority="6">
      <formula>ISNUMBER(SEARCH("اكتملت",X5))</formula>
    </cfRule>
    <cfRule type="expression" dxfId="181" priority="7">
      <formula>ISNUMBER(SEARCH("وصل ",X5))</formula>
    </cfRule>
    <cfRule type="expression" dxfId="180" priority="8">
      <formula>ISNUMBER(SEARCH("لا توجد",X5))</formula>
    </cfRule>
  </conditionalFormatting>
  <dataValidations count="1">
    <dataValidation type="list" allowBlank="1" sqref="H5:H49" xr:uid="{00000000-0002-0000-0F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F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F00-000000000000}">
          <x14:formula1>
            <xm:f>'قائمة الأصناف'!$A$3:$A$1000</xm:f>
          </x14:formula1>
          <x14:formula2>
            <xm:f>0</xm:f>
          </x14:formula2>
          <xm:sqref>A5:A49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14</v>
      </c>
      <c r="C1" s="16" t="s">
        <v>993</v>
      </c>
      <c r="D1" s="37">
        <f>IF($B$1&lt;=الإعدادات!$B$6,DATE(الإعدادات!$B$3,الإعدادات!$B$4,$B$1),"")</f>
        <v>46187</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
      </c>
      <c r="C5" s="42"/>
      <c r="D5" s="43"/>
      <c r="E5" s="29" t="str">
        <f t="shared" ref="E5:E49" si="0">IF(OR(C5="",D5=""),"",C5*D5)</f>
        <v/>
      </c>
      <c r="F5" s="29" t="str">
        <f>IF(E5="","",E5*الإعدادات!$B$8)</f>
        <v/>
      </c>
      <c r="G5" s="29" t="str">
        <f t="shared" ref="G5:G49" si="1">IF(E5="","",E5+F5)</f>
        <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t="str">
        <f t="shared" ref="R5:R49" si="5">IF(Y5="","",SUMIFS($M$5:$M$49,$Z$5:$Z$49,Y5))</f>
        <v/>
      </c>
      <c r="S5" s="45" t="str">
        <f t="shared" ref="S5:S49" si="6">IF(Y5="","",COUNTIFS($Z$5:$Z$49,Y5))</f>
        <v/>
      </c>
      <c r="T5" s="29" t="str">
        <f t="shared" ref="T5:T49" si="7">IF(Y5="","",SUMIFS($O$5:$O$49,$Z$5:$Z$49,Y5))</f>
        <v/>
      </c>
      <c r="U5" s="29" t="str">
        <f t="shared" ref="U5:U49" si="8">IF(Y5="","",IF(N(R5)=0,"",T5/R5))</f>
        <v/>
      </c>
      <c r="V5" s="29" t="str">
        <f t="shared" ref="V5:V49" si="9">IF(Y5="","",N(E5)-T5)</f>
        <v/>
      </c>
      <c r="W5" s="30" t="str">
        <f t="shared" ref="W5:W49" si="10">IF(Y5="","",IF(N(E5)=0,"",V5/E5))</f>
        <v/>
      </c>
      <c r="X5" s="27" t="str">
        <f t="shared" ref="X5:X49" si="11">IF(Y5="","",IF(S5=0,"⏳ لا توجد فواتير شراء",IF(COUNTIFS($Z$5:$Z$49,Y5,$N$5:$N$49,"&gt;0")=S5,"✓ اكتملت جميع الفواتير ("&amp;S5&amp;")","⚠ وصل "&amp;COUNTIFS($Z$5:$Z$49,Y5,$N$5:$N$49,"&gt;0")&amp;" من "&amp;S5&amp;" فواتير")))</f>
        <v/>
      </c>
      <c r="Y5" t="str">
        <f t="shared" ref="Y5:Y49" si="12">IF(TRIM(A5)="","",IF(ISNUMBER(VALUE(TRIM(A5))),TEXT(VALUE(TRIM(A5)),"0"),TRIM(A5)))</f>
        <v/>
      </c>
      <c r="Z5" t="str">
        <f t="shared" ref="Z5:Z49" si="13">IF(TRIM(H5)="","",IF(ISNUMBER(VALUE(TRIM(H5))),TEXT(VALUE(TRIM(H5)),"0"),TRIM(H5)))</f>
        <v/>
      </c>
    </row>
    <row r="6" spans="1:26" x14ac:dyDescent="0.25">
      <c r="A6" s="41"/>
      <c r="B6" s="36" t="str">
        <f>IF(Y6="","",IFERROR(INDEX('قائمة الأصناف'!$B$3:$B$1000,MATCH(Y6,'قائمة الأصناف'!$C$3:$C$1000,0)),"⚠ كود غير معرف"))</f>
        <v/>
      </c>
      <c r="C6" s="42"/>
      <c r="D6" s="43"/>
      <c r="E6" s="29" t="str">
        <f t="shared" si="0"/>
        <v/>
      </c>
      <c r="F6" s="29" t="str">
        <f>IF(E6="","",E6*الإعدادات!$B$8)</f>
        <v/>
      </c>
      <c r="G6" s="29" t="str">
        <f t="shared" si="1"/>
        <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t="str">
        <f t="shared" si="5"/>
        <v/>
      </c>
      <c r="S6" s="45" t="str">
        <f t="shared" si="6"/>
        <v/>
      </c>
      <c r="T6" s="29" t="str">
        <f t="shared" si="7"/>
        <v/>
      </c>
      <c r="U6" s="29" t="str">
        <f t="shared" si="8"/>
        <v/>
      </c>
      <c r="V6" s="29" t="str">
        <f t="shared" si="9"/>
        <v/>
      </c>
      <c r="W6" s="30" t="str">
        <f t="shared" si="10"/>
        <v/>
      </c>
      <c r="X6" s="27" t="str">
        <f t="shared" si="11"/>
        <v/>
      </c>
      <c r="Y6" t="str">
        <f t="shared" si="12"/>
        <v/>
      </c>
      <c r="Z6" t="str">
        <f t="shared" si="13"/>
        <v/>
      </c>
    </row>
    <row r="7" spans="1:26" x14ac:dyDescent="0.25">
      <c r="A7" s="41"/>
      <c r="B7" s="36" t="str">
        <f>IF(Y7="","",IFERROR(INDEX('قائمة الأصناف'!$B$3:$B$1000,MATCH(Y7,'قائمة الأصناف'!$C$3:$C$1000,0)),"⚠ كود غير معرف"))</f>
        <v/>
      </c>
      <c r="C7" s="42"/>
      <c r="D7" s="43"/>
      <c r="E7" s="29" t="str">
        <f t="shared" si="0"/>
        <v/>
      </c>
      <c r="F7" s="29" t="str">
        <f>IF(E7="","",E7*الإعدادات!$B$8)</f>
        <v/>
      </c>
      <c r="G7" s="29" t="str">
        <f t="shared" si="1"/>
        <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t="str">
        <f t="shared" si="5"/>
        <v/>
      </c>
      <c r="S7" s="45" t="str">
        <f t="shared" si="6"/>
        <v/>
      </c>
      <c r="T7" s="29" t="str">
        <f t="shared" si="7"/>
        <v/>
      </c>
      <c r="U7" s="29" t="str">
        <f t="shared" si="8"/>
        <v/>
      </c>
      <c r="V7" s="29" t="str">
        <f t="shared" si="9"/>
        <v/>
      </c>
      <c r="W7" s="30" t="str">
        <f t="shared" si="10"/>
        <v/>
      </c>
      <c r="X7" s="27" t="str">
        <f t="shared" si="11"/>
        <v/>
      </c>
      <c r="Y7" t="str">
        <f t="shared" si="12"/>
        <v/>
      </c>
      <c r="Z7" t="str">
        <f t="shared" si="13"/>
        <v/>
      </c>
    </row>
    <row r="8" spans="1:26" x14ac:dyDescent="0.25">
      <c r="A8" s="41"/>
      <c r="B8" s="36" t="str">
        <f>IF(Y8="","",IFERROR(INDEX('قائمة الأصناف'!$B$3:$B$1000,MATCH(Y8,'قائمة الأصناف'!$C$3:$C$1000,0)),"⚠ كود غير معرف"))</f>
        <v/>
      </c>
      <c r="C8" s="42"/>
      <c r="D8" s="43"/>
      <c r="E8" s="29" t="str">
        <f t="shared" si="0"/>
        <v/>
      </c>
      <c r="F8" s="29" t="str">
        <f>IF(E8="","",E8*الإعدادات!$B$8)</f>
        <v/>
      </c>
      <c r="G8" s="29" t="str">
        <f t="shared" si="1"/>
        <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t="str">
        <f t="shared" si="5"/>
        <v/>
      </c>
      <c r="S8" s="45" t="str">
        <f t="shared" si="6"/>
        <v/>
      </c>
      <c r="T8" s="29" t="str">
        <f t="shared" si="7"/>
        <v/>
      </c>
      <c r="U8" s="29" t="str">
        <f t="shared" si="8"/>
        <v/>
      </c>
      <c r="V8" s="29" t="str">
        <f t="shared" si="9"/>
        <v/>
      </c>
      <c r="W8" s="30" t="str">
        <f t="shared" si="10"/>
        <v/>
      </c>
      <c r="X8" s="27" t="str">
        <f t="shared" si="11"/>
        <v/>
      </c>
      <c r="Y8" t="str">
        <f t="shared" si="12"/>
        <v/>
      </c>
      <c r="Z8" t="str">
        <f t="shared" si="13"/>
        <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0</v>
      </c>
      <c r="D50" s="31"/>
      <c r="E50" s="32">
        <f>SUM(E5:E49)</f>
        <v>0</v>
      </c>
      <c r="F50" s="32">
        <f>SUM(F5:F49)</f>
        <v>0</v>
      </c>
      <c r="G50" s="32">
        <f>SUM(G5:G49)</f>
        <v>0</v>
      </c>
      <c r="H50" s="31"/>
      <c r="I50" s="31"/>
      <c r="J50" s="31"/>
      <c r="K50" s="31"/>
      <c r="L50" s="31"/>
      <c r="M50" s="46">
        <f>SUM(M5:M49)</f>
        <v>0</v>
      </c>
      <c r="N50" s="31"/>
      <c r="O50" s="32">
        <f>SUM(O5:O49)</f>
        <v>0</v>
      </c>
      <c r="P50" s="32">
        <f>SUM(P5:P49)</f>
        <v>0</v>
      </c>
      <c r="Q50" s="32">
        <f>SUM(Q5:Q49)</f>
        <v>0</v>
      </c>
      <c r="R50" s="31"/>
      <c r="S50" s="31"/>
      <c r="T50" s="32">
        <f>SUM(T5:T49)</f>
        <v>0</v>
      </c>
      <c r="U50" s="31"/>
      <c r="V50" s="32">
        <f>SUM(V5:V49)</f>
        <v>0</v>
      </c>
      <c r="W50" s="33" t="str">
        <f>IF(N(E50)=0,"",V50/E50)</f>
        <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78" priority="9">
      <formula>ISNUMBER(SEARCH("غير معرف",B5))</formula>
    </cfRule>
  </conditionalFormatting>
  <conditionalFormatting sqref="H5:Q49">
    <cfRule type="expression" dxfId="177" priority="2">
      <formula>AND($Z5&lt;&gt;"",COUNTIF($Y$5:$Y$49,$Z5)=0)</formula>
    </cfRule>
  </conditionalFormatting>
  <conditionalFormatting sqref="I5:I49">
    <cfRule type="expression" dxfId="176" priority="10">
      <formula>ISNUMBER(SEARCH("غير معرف",I5))</formula>
    </cfRule>
  </conditionalFormatting>
  <conditionalFormatting sqref="J5:J49">
    <cfRule type="expression" dxfId="175" priority="3">
      <formula>ISNUMBER(SEARCH("تم استلام",J5))</formula>
    </cfRule>
    <cfRule type="expression" dxfId="174" priority="4">
      <formula>ISNUMBER(SEARCH("لم تصل",J5))</formula>
    </cfRule>
  </conditionalFormatting>
  <conditionalFormatting sqref="V5:V50">
    <cfRule type="cellIs" dxfId="173" priority="5" operator="lessThan">
      <formula>0</formula>
    </cfRule>
  </conditionalFormatting>
  <conditionalFormatting sqref="X5:X49">
    <cfRule type="expression" dxfId="172" priority="6">
      <formula>ISNUMBER(SEARCH("اكتملت",X5))</formula>
    </cfRule>
    <cfRule type="expression" dxfId="171" priority="7">
      <formula>ISNUMBER(SEARCH("وصل ",X5))</formula>
    </cfRule>
    <cfRule type="expression" dxfId="170" priority="8">
      <formula>ISNUMBER(SEARCH("لا توجد",X5))</formula>
    </cfRule>
  </conditionalFormatting>
  <dataValidations count="1">
    <dataValidation type="list" allowBlank="1" sqref="H5:H49" xr:uid="{00000000-0002-0000-10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0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000-000000000000}">
          <x14:formula1>
            <xm:f>'قائمة الأصناف'!$A$3:$A$1000</xm:f>
          </x14:formula1>
          <x14:formula2>
            <xm:f>0</xm:f>
          </x14:formula2>
          <xm:sqref>A5:A49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15</v>
      </c>
      <c r="C1" s="16" t="s">
        <v>993</v>
      </c>
      <c r="D1" s="37">
        <f>IF($B$1&lt;=الإعدادات!$B$6,DATE(الإعدادات!$B$3,الإعدادات!$B$4,$B$1),"")</f>
        <v>46188</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78</v>
      </c>
      <c r="B5" s="36" t="str">
        <f>IF(Y5="","",IFERROR(INDEX('قائمة الأصناف'!$B$3:$B$1000,MATCH(Y5,'قائمة الأصناف'!$C$3:$C$1000,0)),"⚠ كود غير معرف"))</f>
        <v>كيوي</v>
      </c>
      <c r="C5" s="42">
        <v>2376</v>
      </c>
      <c r="D5" s="43">
        <v>15</v>
      </c>
      <c r="E5" s="29">
        <f t="shared" ref="E5:E49" si="0">IF(OR(C5="",D5=""),"",C5*D5)</f>
        <v>35640</v>
      </c>
      <c r="F5" s="29">
        <f>IF(E5="","",E5*الإعدادات!$B$8)</f>
        <v>5346</v>
      </c>
      <c r="G5" s="29">
        <f t="shared" ref="G5:G49" si="1">IF(E5="","",E5+F5)</f>
        <v>40986</v>
      </c>
      <c r="H5" s="41" t="s">
        <v>78</v>
      </c>
      <c r="I5" s="36" t="str">
        <f>IF(Z5="","",IF(COUNTIF($Y$5:$Y$49,Z5)=0,"⚠ الصنف غير موجود في المبيعات",IFERROR(INDEX('قائمة الأصناف'!$B$3:$B$1000,MATCH(Z5,'قائمة الأصناف'!$C$3:$C$1000,0)),"⚠ كود غير معرف")))</f>
        <v>كيوي</v>
      </c>
      <c r="J5" s="27" t="str">
        <f t="shared" ref="J5:J49" si="2">IF(AND(Z5="",TRIM(K5)="",M5="",N5=""),"",IF(AND(Z5&lt;&gt;"",COUNTIF($Y$5:$Y$49,Z5)=0),"✗ حُذف من المبيعات — مستبعد من الحساب",IF(N5="","✗ لم تصل من المورد","✓ تم استلام الفاتورة")))</f>
        <v>✗ لم تصل من المورد</v>
      </c>
      <c r="K5" s="44" t="s">
        <v>1036</v>
      </c>
      <c r="L5" s="41"/>
      <c r="M5" s="42">
        <v>240</v>
      </c>
      <c r="N5" s="43"/>
      <c r="O5" s="29" t="str">
        <f t="shared" ref="O5:O49" si="3">IF(OR(M5="",N5=""),"",IF(COUNTIF($Y$5:$Y$49,Z5)=0,"",M5*N5))</f>
        <v/>
      </c>
      <c r="P5" s="29" t="str">
        <f>IF(O5="","",O5*الإعدادات!$B$8)</f>
        <v/>
      </c>
      <c r="Q5" s="29" t="str">
        <f t="shared" ref="Q5:Q49" si="4">IF(O5="","",O5+P5)</f>
        <v/>
      </c>
      <c r="R5" s="45">
        <f t="shared" ref="R5:R49" si="5">IF(Y5="","",SUMIFS($M$5:$M$49,$Z$5:$Z$49,Y5))</f>
        <v>240</v>
      </c>
      <c r="S5" s="45">
        <f t="shared" ref="S5:S49" si="6">IF(Y5="","",COUNTIFS($Z$5:$Z$49,Y5))</f>
        <v>1</v>
      </c>
      <c r="T5" s="29">
        <f t="shared" ref="T5:T49" si="7">IF(Y5="","",SUMIFS($O$5:$O$49,$Z$5:$Z$49,Y5))</f>
        <v>0</v>
      </c>
      <c r="U5" s="29">
        <f t="shared" ref="U5:U49" si="8">IF(Y5="","",IF(N(R5)=0,"",T5/R5))</f>
        <v>0</v>
      </c>
      <c r="V5" s="29">
        <f t="shared" ref="V5:V49" si="9">IF(Y5="","",N(E5)-T5)</f>
        <v>35640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47786</v>
      </c>
      <c r="Z5" t="str">
        <f t="shared" ref="Z5:Z49" si="13">IF(TRIM(H5)="","",IF(ISNUMBER(VALUE(TRIM(H5))),TEXT(VALUE(TRIM(H5)),"0"),TRIM(H5)))</f>
        <v>47786</v>
      </c>
    </row>
    <row r="6" spans="1:26" x14ac:dyDescent="0.25">
      <c r="A6" s="41" t="s">
        <v>80</v>
      </c>
      <c r="B6" s="36" t="str">
        <f>IF(Y6="","",IFERROR(INDEX('قائمة الأصناف'!$B$3:$B$1000,MATCH(Y6,'قائمة الأصناف'!$C$3:$C$1000,0)),"⚠ كود غير معرف"))</f>
        <v>بصل احمر</v>
      </c>
      <c r="C6" s="42">
        <v>23454</v>
      </c>
      <c r="D6" s="43">
        <v>2.2999999999999998</v>
      </c>
      <c r="E6" s="29">
        <f t="shared" si="0"/>
        <v>53944.2</v>
      </c>
      <c r="F6" s="29">
        <f>IF(E6="","",E6*الإعدادات!$B$8)</f>
        <v>8091.6299999999992</v>
      </c>
      <c r="G6" s="29">
        <f t="shared" si="1"/>
        <v>62035.829999999994</v>
      </c>
      <c r="H6" s="41" t="s">
        <v>80</v>
      </c>
      <c r="I6" s="36" t="str">
        <f>IF(Z6="","",IF(COUNTIF($Y$5:$Y$49,Z6)=0,"⚠ الصنف غير موجود في المبيعات",IFERROR(INDEX('قائمة الأصناف'!$B$3:$B$1000,MATCH(Z6,'قائمة الأصناف'!$C$3:$C$1000,0)),"⚠ كود غير معرف")))</f>
        <v>بصل احمر</v>
      </c>
      <c r="J6" s="27" t="str">
        <f t="shared" si="2"/>
        <v>✗ لم تصل من المورد</v>
      </c>
      <c r="K6" s="44" t="s">
        <v>1037</v>
      </c>
      <c r="L6" s="41"/>
      <c r="M6" s="42"/>
      <c r="N6" s="43"/>
      <c r="O6" s="29" t="str">
        <f t="shared" si="3"/>
        <v/>
      </c>
      <c r="P6" s="29" t="str">
        <f>IF(O6="","",O6*الإعدادات!$B$8)</f>
        <v/>
      </c>
      <c r="Q6" s="29" t="str">
        <f t="shared" si="4"/>
        <v/>
      </c>
      <c r="R6" s="45">
        <f t="shared" si="5"/>
        <v>0</v>
      </c>
      <c r="S6" s="45">
        <f t="shared" si="6"/>
        <v>1</v>
      </c>
      <c r="T6" s="29">
        <f t="shared" si="7"/>
        <v>0</v>
      </c>
      <c r="U6" s="29" t="str">
        <f t="shared" si="8"/>
        <v/>
      </c>
      <c r="V6" s="29">
        <f t="shared" si="9"/>
        <v>53944.2</v>
      </c>
      <c r="W6" s="30">
        <f t="shared" si="10"/>
        <v>1</v>
      </c>
      <c r="X6" s="27" t="str">
        <f t="shared" si="11"/>
        <v>⚠ وصل 0 من 1 فواتير</v>
      </c>
      <c r="Y6" t="str">
        <f t="shared" si="12"/>
        <v>49502</v>
      </c>
      <c r="Z6" t="str">
        <f t="shared" si="13"/>
        <v>49502</v>
      </c>
    </row>
    <row r="7" spans="1:26" x14ac:dyDescent="0.25">
      <c r="A7" s="41" t="s">
        <v>104</v>
      </c>
      <c r="B7" s="36" t="str">
        <f>IF(Y7="","",IFERROR(INDEX('قائمة الأصناف'!$B$3:$B$1000,MATCH(Y7,'قائمة الأصناف'!$C$3:$C$1000,0)),"⚠ كود غير معرف"))</f>
        <v>خس</v>
      </c>
      <c r="C7" s="42">
        <v>613</v>
      </c>
      <c r="D7" s="43">
        <v>8.5</v>
      </c>
      <c r="E7" s="29">
        <f t="shared" si="0"/>
        <v>5210.5</v>
      </c>
      <c r="F7" s="29">
        <f>IF(E7="","",E7*الإعدادات!$B$8)</f>
        <v>781.57499999999993</v>
      </c>
      <c r="G7" s="29">
        <f t="shared" si="1"/>
        <v>5992.0749999999998</v>
      </c>
      <c r="H7" s="41" t="s">
        <v>104</v>
      </c>
      <c r="I7" s="36" t="str">
        <f>IF(Z7="","",IF(COUNTIF($Y$5:$Y$49,Z7)=0,"⚠ الصنف غير موجود في المبيعات",IFERROR(INDEX('قائمة الأصناف'!$B$3:$B$1000,MATCH(Z7,'قائمة الأصناف'!$C$3:$C$1000,0)),"⚠ كود غير معرف")))</f>
        <v>خس</v>
      </c>
      <c r="J7" s="27" t="str">
        <f t="shared" si="2"/>
        <v>✗ لم تصل من المورد</v>
      </c>
      <c r="K7" s="44" t="s">
        <v>1038</v>
      </c>
      <c r="L7" s="41"/>
      <c r="M7" s="42">
        <v>160</v>
      </c>
      <c r="N7" s="43"/>
      <c r="O7" s="29" t="str">
        <f t="shared" si="3"/>
        <v/>
      </c>
      <c r="P7" s="29" t="str">
        <f>IF(O7="","",O7*الإعدادات!$B$8)</f>
        <v/>
      </c>
      <c r="Q7" s="29" t="str">
        <f t="shared" si="4"/>
        <v/>
      </c>
      <c r="R7" s="45">
        <f t="shared" si="5"/>
        <v>160</v>
      </c>
      <c r="S7" s="45">
        <f t="shared" si="6"/>
        <v>1</v>
      </c>
      <c r="T7" s="29">
        <f t="shared" si="7"/>
        <v>0</v>
      </c>
      <c r="U7" s="29">
        <f t="shared" si="8"/>
        <v>0</v>
      </c>
      <c r="V7" s="29">
        <f t="shared" si="9"/>
        <v>5210.5</v>
      </c>
      <c r="W7" s="30">
        <f t="shared" si="10"/>
        <v>1</v>
      </c>
      <c r="X7" s="27" t="str">
        <f t="shared" si="11"/>
        <v>⚠ وصل 0 من 1 فواتير</v>
      </c>
      <c r="Y7" t="str">
        <f t="shared" si="12"/>
        <v>48394</v>
      </c>
      <c r="Z7" t="str">
        <f t="shared" si="13"/>
        <v>48394</v>
      </c>
    </row>
    <row r="8" spans="1:26" x14ac:dyDescent="0.25">
      <c r="A8" s="41" t="s">
        <v>108</v>
      </c>
      <c r="B8" s="36" t="str">
        <f>IF(Y8="","",IFERROR(INDEX('قائمة الأصناف'!$B$3:$B$1000,MATCH(Y8,'قائمة الأصناف'!$C$3:$C$1000,0)),"⚠ كود غير معرف"))</f>
        <v>عنب احمر سدلس</v>
      </c>
      <c r="C8" s="42">
        <v>2693</v>
      </c>
      <c r="D8" s="43">
        <v>7</v>
      </c>
      <c r="E8" s="29">
        <f t="shared" si="0"/>
        <v>18851</v>
      </c>
      <c r="F8" s="29">
        <f>IF(E8="","",E8*الإعدادات!$B$8)</f>
        <v>2827.65</v>
      </c>
      <c r="G8" s="29">
        <f t="shared" si="1"/>
        <v>21678.65</v>
      </c>
      <c r="H8" s="41" t="s">
        <v>108</v>
      </c>
      <c r="I8" s="36" t="str">
        <f>IF(Z8="","",IF(COUNTIF($Y$5:$Y$49,Z8)=0,"⚠ الصنف غير موجود في المبيعات",IFERROR(INDEX('قائمة الأصناف'!$B$3:$B$1000,MATCH(Z8,'قائمة الأصناف'!$C$3:$C$1000,0)),"⚠ كود غير معرف")))</f>
        <v>عنب احمر سدلس</v>
      </c>
      <c r="J8" s="27" t="str">
        <f t="shared" si="2"/>
        <v>✗ لم تصل من المورد</v>
      </c>
      <c r="K8" s="44" t="s">
        <v>1039</v>
      </c>
      <c r="L8" s="41"/>
      <c r="M8" s="42">
        <v>720</v>
      </c>
      <c r="N8" s="43"/>
      <c r="O8" s="29" t="str">
        <f t="shared" si="3"/>
        <v/>
      </c>
      <c r="P8" s="29" t="str">
        <f>IF(O8="","",O8*الإعدادات!$B$8)</f>
        <v/>
      </c>
      <c r="Q8" s="29" t="str">
        <f t="shared" si="4"/>
        <v/>
      </c>
      <c r="R8" s="45">
        <f t="shared" si="5"/>
        <v>720</v>
      </c>
      <c r="S8" s="45">
        <f t="shared" si="6"/>
        <v>1</v>
      </c>
      <c r="T8" s="29">
        <f t="shared" si="7"/>
        <v>0</v>
      </c>
      <c r="U8" s="29">
        <f t="shared" si="8"/>
        <v>0</v>
      </c>
      <c r="V8" s="29">
        <f t="shared" si="9"/>
        <v>18851</v>
      </c>
      <c r="W8" s="30">
        <f t="shared" si="10"/>
        <v>1</v>
      </c>
      <c r="X8" s="27" t="str">
        <f t="shared" si="11"/>
        <v>⚠ وصل 0 من 1 فواتير</v>
      </c>
      <c r="Y8" t="str">
        <f t="shared" si="12"/>
        <v>48643</v>
      </c>
      <c r="Z8" t="str">
        <f t="shared" si="13"/>
        <v>48643</v>
      </c>
    </row>
    <row r="9" spans="1:26" x14ac:dyDescent="0.25">
      <c r="A9" s="41" t="s">
        <v>48</v>
      </c>
      <c r="B9" s="36" t="str">
        <f>IF(Y9="","",IFERROR(INDEX('قائمة الأصناف'!$B$3:$B$1000,MATCH(Y9,'قائمة الأصناف'!$C$3:$C$1000,0)),"⚠ كود غير معرف"))</f>
        <v>مانجو يمنى</v>
      </c>
      <c r="C9" s="42">
        <v>4487</v>
      </c>
      <c r="D9" s="43">
        <v>5</v>
      </c>
      <c r="E9" s="29">
        <f t="shared" si="0"/>
        <v>22435</v>
      </c>
      <c r="F9" s="29">
        <f>IF(E9="","",E9*الإعدادات!$B$8)</f>
        <v>3365.25</v>
      </c>
      <c r="G9" s="29">
        <f t="shared" si="1"/>
        <v>25800.25</v>
      </c>
      <c r="H9" s="41" t="s">
        <v>48</v>
      </c>
      <c r="I9" s="36" t="str">
        <f>IF(Z9="","",IF(COUNTIF($Y$5:$Y$49,Z9)=0,"⚠ الصنف غير موجود في المبيعات",IFERROR(INDEX('قائمة الأصناف'!$B$3:$B$1000,MATCH(Z9,'قائمة الأصناف'!$C$3:$C$1000,0)),"⚠ كود غير معرف")))</f>
        <v>مانجو يمنى</v>
      </c>
      <c r="J9" s="27" t="str">
        <f t="shared" si="2"/>
        <v>✗ لم تصل من المورد</v>
      </c>
      <c r="K9" s="44" t="s">
        <v>1018</v>
      </c>
      <c r="L9" s="41"/>
      <c r="M9" s="42">
        <v>1295</v>
      </c>
      <c r="N9" s="43"/>
      <c r="O9" s="29" t="str">
        <f t="shared" si="3"/>
        <v/>
      </c>
      <c r="P9" s="29" t="str">
        <f>IF(O9="","",O9*الإعدادات!$B$8)</f>
        <v/>
      </c>
      <c r="Q9" s="29" t="str">
        <f t="shared" si="4"/>
        <v/>
      </c>
      <c r="R9" s="45">
        <f t="shared" si="5"/>
        <v>1295</v>
      </c>
      <c r="S9" s="45">
        <f t="shared" si="6"/>
        <v>1</v>
      </c>
      <c r="T9" s="29">
        <f t="shared" si="7"/>
        <v>0</v>
      </c>
      <c r="U9" s="29">
        <f t="shared" si="8"/>
        <v>0</v>
      </c>
      <c r="V9" s="29">
        <f t="shared" si="9"/>
        <v>22435</v>
      </c>
      <c r="W9" s="30">
        <f t="shared" si="10"/>
        <v>1</v>
      </c>
      <c r="X9" s="27" t="str">
        <f t="shared" si="11"/>
        <v>⚠ وصل 0 من 1 فواتير</v>
      </c>
      <c r="Y9" t="str">
        <f t="shared" si="12"/>
        <v>48568</v>
      </c>
      <c r="Z9" t="str">
        <f t="shared" si="13"/>
        <v>48568</v>
      </c>
    </row>
    <row r="10" spans="1:26" x14ac:dyDescent="0.25">
      <c r="A10" s="41" t="s">
        <v>58</v>
      </c>
      <c r="B10" s="36" t="str">
        <f>IF(Y10="","",IFERROR(INDEX('قائمة الأصناف'!$B$3:$B$1000,MATCH(Y10,'قائمة الأصناف'!$C$3:$C$1000,0)),"⚠ كود غير معرف"))</f>
        <v>كلمنتينا</v>
      </c>
      <c r="C10" s="42">
        <v>3784</v>
      </c>
      <c r="D10" s="43">
        <v>5</v>
      </c>
      <c r="E10" s="29">
        <f t="shared" si="0"/>
        <v>18920</v>
      </c>
      <c r="F10" s="29">
        <f>IF(E10="","",E10*الإعدادات!$B$8)</f>
        <v>2838</v>
      </c>
      <c r="G10" s="29">
        <f t="shared" si="1"/>
        <v>21758</v>
      </c>
      <c r="H10" s="41" t="s">
        <v>58</v>
      </c>
      <c r="I10" s="36" t="str">
        <f>IF(Z10="","",IF(COUNTIF($Y$5:$Y$49,Z10)=0,"⚠ الصنف غير موجود في المبيعات",IFERROR(INDEX('قائمة الأصناف'!$B$3:$B$1000,MATCH(Z10,'قائمة الأصناف'!$C$3:$C$1000,0)),"⚠ كود غير معرف")))</f>
        <v>كلمنتينا</v>
      </c>
      <c r="J10" s="27" t="str">
        <f t="shared" si="2"/>
        <v>✗ لم تصل من المورد</v>
      </c>
      <c r="K10" s="44" t="s">
        <v>1040</v>
      </c>
      <c r="L10" s="41"/>
      <c r="M10" s="42">
        <v>512</v>
      </c>
      <c r="N10" s="43"/>
      <c r="O10" s="29" t="str">
        <f t="shared" si="3"/>
        <v/>
      </c>
      <c r="P10" s="29" t="str">
        <f>IF(O10="","",O10*الإعدادات!$B$8)</f>
        <v/>
      </c>
      <c r="Q10" s="29" t="str">
        <f t="shared" si="4"/>
        <v/>
      </c>
      <c r="R10" s="45">
        <f t="shared" si="5"/>
        <v>512</v>
      </c>
      <c r="S10" s="45">
        <f t="shared" si="6"/>
        <v>1</v>
      </c>
      <c r="T10" s="29">
        <f t="shared" si="7"/>
        <v>0</v>
      </c>
      <c r="U10" s="29">
        <f t="shared" si="8"/>
        <v>0</v>
      </c>
      <c r="V10" s="29">
        <f t="shared" si="9"/>
        <v>18920</v>
      </c>
      <c r="W10" s="30">
        <f t="shared" si="10"/>
        <v>1</v>
      </c>
      <c r="X10" s="27" t="str">
        <f t="shared" si="11"/>
        <v>⚠ وصل 0 من 1 فواتير</v>
      </c>
      <c r="Y10" t="str">
        <f t="shared" si="12"/>
        <v>48432</v>
      </c>
      <c r="Z10" t="str">
        <f t="shared" si="13"/>
        <v>48432</v>
      </c>
    </row>
    <row r="11" spans="1:26" x14ac:dyDescent="0.25">
      <c r="A11" s="41" t="s">
        <v>88</v>
      </c>
      <c r="B11" s="36" t="str">
        <f>IF(Y11="","",IFERROR(INDEX('قائمة الأصناف'!$B$3:$B$1000,MATCH(Y11,'قائمة الأصناف'!$C$3:$C$1000,0)),"⚠ كود غير معرف"))</f>
        <v>موز</v>
      </c>
      <c r="C11" s="42">
        <v>2496</v>
      </c>
      <c r="D11" s="43">
        <v>5.5</v>
      </c>
      <c r="E11" s="29">
        <f t="shared" si="0"/>
        <v>13728</v>
      </c>
      <c r="F11" s="29">
        <f>IF(E11="","",E11*الإعدادات!$B$8)</f>
        <v>2059.1999999999998</v>
      </c>
      <c r="G11" s="29">
        <f t="shared" si="1"/>
        <v>15787.2</v>
      </c>
      <c r="H11" s="41" t="s">
        <v>88</v>
      </c>
      <c r="I11" s="36" t="str">
        <f>IF(Z11="","",IF(COUNTIF($Y$5:$Y$49,Z11)=0,"⚠ الصنف غير موجود في المبيعات",IFERROR(INDEX('قائمة الأصناف'!$B$3:$B$1000,MATCH(Z11,'قائمة الأصناف'!$C$3:$C$1000,0)),"⚠ كود غير معرف")))</f>
        <v>موز</v>
      </c>
      <c r="J11" s="27" t="str">
        <f t="shared" si="2"/>
        <v>✗ لم تصل من المورد</v>
      </c>
      <c r="K11" s="44" t="s">
        <v>1030</v>
      </c>
      <c r="L11" s="41"/>
      <c r="M11" s="42">
        <v>180</v>
      </c>
      <c r="N11" s="43"/>
      <c r="O11" s="29" t="str">
        <f t="shared" si="3"/>
        <v/>
      </c>
      <c r="P11" s="29" t="str">
        <f>IF(O11="","",O11*الإعدادات!$B$8)</f>
        <v/>
      </c>
      <c r="Q11" s="29" t="str">
        <f t="shared" si="4"/>
        <v/>
      </c>
      <c r="R11" s="45">
        <f t="shared" si="5"/>
        <v>180</v>
      </c>
      <c r="S11" s="45">
        <f t="shared" si="6"/>
        <v>1</v>
      </c>
      <c r="T11" s="29">
        <f t="shared" si="7"/>
        <v>0</v>
      </c>
      <c r="U11" s="29">
        <f t="shared" si="8"/>
        <v>0</v>
      </c>
      <c r="V11" s="29">
        <f t="shared" si="9"/>
        <v>13728</v>
      </c>
      <c r="W11" s="30">
        <f t="shared" si="10"/>
        <v>1</v>
      </c>
      <c r="X11" s="27" t="str">
        <f t="shared" si="11"/>
        <v>⚠ وصل 0 من 1 فواتير</v>
      </c>
      <c r="Y11" t="str">
        <f t="shared" si="12"/>
        <v>48595</v>
      </c>
      <c r="Z11" t="str">
        <f t="shared" si="13"/>
        <v>48595</v>
      </c>
    </row>
    <row r="12" spans="1:26" x14ac:dyDescent="0.25">
      <c r="A12" s="41" t="s">
        <v>92</v>
      </c>
      <c r="B12" s="36" t="str">
        <f>IF(Y12="","",IFERROR(INDEX('قائمة الأصناف'!$B$3:$B$1000,MATCH(Y12,'قائمة الأصناف'!$C$3:$C$1000,0)),"⚠ كود غير معرف"))</f>
        <v>مانجو سمكه</v>
      </c>
      <c r="C12" s="42">
        <v>1682</v>
      </c>
      <c r="D12" s="43">
        <v>6</v>
      </c>
      <c r="E12" s="29">
        <f t="shared" si="0"/>
        <v>10092</v>
      </c>
      <c r="F12" s="29">
        <f>IF(E12="","",E12*الإعدادات!$B$8)</f>
        <v>1513.8</v>
      </c>
      <c r="G12" s="29">
        <f t="shared" si="1"/>
        <v>11605.8</v>
      </c>
      <c r="H12" s="41" t="s">
        <v>92</v>
      </c>
      <c r="I12" s="36" t="str">
        <f>IF(Z12="","",IF(COUNTIF($Y$5:$Y$49,Z12)=0,"⚠ الصنف غير موجود في المبيعات",IFERROR(INDEX('قائمة الأصناف'!$B$3:$B$1000,MATCH(Z12,'قائمة الأصناف'!$C$3:$C$1000,0)),"⚠ كود غير معرف")))</f>
        <v>مانجو سمكه</v>
      </c>
      <c r="J12" s="27" t="str">
        <f t="shared" si="2"/>
        <v>✗ لم تصل من المورد</v>
      </c>
      <c r="K12" s="44" t="s">
        <v>1018</v>
      </c>
      <c r="L12" s="41"/>
      <c r="M12" s="42">
        <v>516</v>
      </c>
      <c r="N12" s="43"/>
      <c r="O12" s="29" t="str">
        <f t="shared" si="3"/>
        <v/>
      </c>
      <c r="P12" s="29" t="str">
        <f>IF(O12="","",O12*الإعدادات!$B$8)</f>
        <v/>
      </c>
      <c r="Q12" s="29" t="str">
        <f t="shared" si="4"/>
        <v/>
      </c>
      <c r="R12" s="45">
        <f t="shared" si="5"/>
        <v>516</v>
      </c>
      <c r="S12" s="45">
        <f t="shared" si="6"/>
        <v>1</v>
      </c>
      <c r="T12" s="29">
        <f t="shared" si="7"/>
        <v>0</v>
      </c>
      <c r="U12" s="29">
        <f t="shared" si="8"/>
        <v>0</v>
      </c>
      <c r="V12" s="29">
        <f t="shared" si="9"/>
        <v>10092</v>
      </c>
      <c r="W12" s="30">
        <f t="shared" si="10"/>
        <v>1</v>
      </c>
      <c r="X12" s="27" t="str">
        <f t="shared" si="11"/>
        <v>⚠ وصل 0 من 1 فواتير</v>
      </c>
      <c r="Y12" t="str">
        <f t="shared" si="12"/>
        <v>47915</v>
      </c>
      <c r="Z12" t="str">
        <f t="shared" si="13"/>
        <v>47915</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41585</v>
      </c>
      <c r="D50" s="31"/>
      <c r="E50" s="32">
        <f>SUM(E5:E49)</f>
        <v>178820.7</v>
      </c>
      <c r="F50" s="32">
        <f>SUM(F5:F49)</f>
        <v>26823.105</v>
      </c>
      <c r="G50" s="32">
        <f>SUM(G5:G49)</f>
        <v>205643.80499999999</v>
      </c>
      <c r="H50" s="31"/>
      <c r="I50" s="31"/>
      <c r="J50" s="31"/>
      <c r="K50" s="31"/>
      <c r="L50" s="31"/>
      <c r="M50" s="46">
        <f>SUM(M5:M49)</f>
        <v>3623</v>
      </c>
      <c r="N50" s="31"/>
      <c r="O50" s="32">
        <f>SUM(O5:O49)</f>
        <v>0</v>
      </c>
      <c r="P50" s="32">
        <f>SUM(P5:P49)</f>
        <v>0</v>
      </c>
      <c r="Q50" s="32">
        <f>SUM(Q5:Q49)</f>
        <v>0</v>
      </c>
      <c r="R50" s="31"/>
      <c r="S50" s="31"/>
      <c r="T50" s="32">
        <f>SUM(T5:T49)</f>
        <v>0</v>
      </c>
      <c r="U50" s="31"/>
      <c r="V50" s="32">
        <f>SUM(V5:V49)</f>
        <v>178820.7</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68" priority="9">
      <formula>ISNUMBER(SEARCH("غير معرف",B5))</formula>
    </cfRule>
  </conditionalFormatting>
  <conditionalFormatting sqref="H5:Q49">
    <cfRule type="expression" dxfId="167" priority="2">
      <formula>AND($Z5&lt;&gt;"",COUNTIF($Y$5:$Y$49,$Z5)=0)</formula>
    </cfRule>
  </conditionalFormatting>
  <conditionalFormatting sqref="I5:I49">
    <cfRule type="expression" dxfId="166" priority="10">
      <formula>ISNUMBER(SEARCH("غير معرف",I5))</formula>
    </cfRule>
  </conditionalFormatting>
  <conditionalFormatting sqref="J5:J49">
    <cfRule type="expression" dxfId="165" priority="3">
      <formula>ISNUMBER(SEARCH("تم استلام",J5))</formula>
    </cfRule>
    <cfRule type="expression" dxfId="164" priority="4">
      <formula>ISNUMBER(SEARCH("لم تصل",J5))</formula>
    </cfRule>
  </conditionalFormatting>
  <conditionalFormatting sqref="V5:V50">
    <cfRule type="cellIs" dxfId="163" priority="5" operator="lessThan">
      <formula>0</formula>
    </cfRule>
  </conditionalFormatting>
  <conditionalFormatting sqref="X5:X49">
    <cfRule type="expression" dxfId="162" priority="6">
      <formula>ISNUMBER(SEARCH("اكتملت",X5))</formula>
    </cfRule>
    <cfRule type="expression" dxfId="161" priority="7">
      <formula>ISNUMBER(SEARCH("وصل ",X5))</formula>
    </cfRule>
    <cfRule type="expression" dxfId="160" priority="8">
      <formula>ISNUMBER(SEARCH("لا توجد",X5))</formula>
    </cfRule>
  </conditionalFormatting>
  <dataValidations count="1">
    <dataValidation type="list" allowBlank="1" sqref="H5:H49" xr:uid="{00000000-0002-0000-11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1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100-000000000000}">
          <x14:formula1>
            <xm:f>'قائمة الأصناف'!$A$3:$A$1000</xm:f>
          </x14:formula1>
          <x14:formula2>
            <xm:f>0</xm:f>
          </x14:formula2>
          <xm:sqref>A5:A49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16</v>
      </c>
      <c r="C1" s="16" t="s">
        <v>993</v>
      </c>
      <c r="D1" s="37">
        <f>IF($B$1&lt;=الإعدادات!$B$6,DATE(الإعدادات!$B$3,الإعدادات!$B$4,$B$1),"")</f>
        <v>46189</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50</v>
      </c>
      <c r="B5" s="36" t="str">
        <f>IF(Y5="","",IFERROR(INDEX('قائمة الأصناف'!$B$3:$B$1000,MATCH(Y5,'قائمة الأصناف'!$C$3:$C$1000,0)),"⚠ كود غير معرف"))</f>
        <v>مانجو تومي</v>
      </c>
      <c r="C5" s="42">
        <v>1198</v>
      </c>
      <c r="D5" s="43">
        <v>4</v>
      </c>
      <c r="E5" s="29">
        <f t="shared" ref="E5:E49" si="0">IF(OR(C5="",D5=""),"",C5*D5)</f>
        <v>4792</v>
      </c>
      <c r="F5" s="29">
        <f>IF(E5="","",E5*الإعدادات!$B$8)</f>
        <v>718.8</v>
      </c>
      <c r="G5" s="29">
        <f t="shared" ref="G5:G49" si="1">IF(E5="","",E5+F5)</f>
        <v>5510.8</v>
      </c>
      <c r="H5" s="41" t="s">
        <v>50</v>
      </c>
      <c r="I5" s="36" t="str">
        <f>IF(Z5="","",IF(COUNTIF($Y$5:$Y$49,Z5)=0,"⚠ الصنف غير موجود في المبيعات",IFERROR(INDEX('قائمة الأصناف'!$B$3:$B$1000,MATCH(Z5,'قائمة الأصناف'!$C$3:$C$1000,0)),"⚠ كود غير معرف")))</f>
        <v>مانجو تومي</v>
      </c>
      <c r="J5" s="27" t="str">
        <f t="shared" ref="J5:J49" si="2">IF(AND(Z5="",TRIM(K5)="",M5="",N5=""),"",IF(AND(Z5&lt;&gt;"",COUNTIF($Y$5:$Y$49,Z5)=0),"✗ حُذف من المبيعات — مستبعد من الحساب",IF(N5="","✗ لم تصل من المورد","✓ تم استلام الفاتورة")))</f>
        <v>✗ لم تصل من المورد</v>
      </c>
      <c r="K5" s="44" t="s">
        <v>1018</v>
      </c>
      <c r="L5" s="41"/>
      <c r="M5" s="42">
        <v>343</v>
      </c>
      <c r="N5" s="43"/>
      <c r="O5" s="29" t="str">
        <f t="shared" ref="O5:O49" si="3">IF(OR(M5="",N5=""),"",IF(COUNTIF($Y$5:$Y$49,Z5)=0,"",M5*N5))</f>
        <v/>
      </c>
      <c r="P5" s="29" t="str">
        <f>IF(O5="","",O5*الإعدادات!$B$8)</f>
        <v/>
      </c>
      <c r="Q5" s="29" t="str">
        <f t="shared" ref="Q5:Q49" si="4">IF(O5="","",O5+P5)</f>
        <v/>
      </c>
      <c r="R5" s="45">
        <f t="shared" ref="R5:R49" si="5">IF(Y5="","",SUMIFS($M$5:$M$49,$Z$5:$Z$49,Y5))</f>
        <v>343</v>
      </c>
      <c r="S5" s="45">
        <f t="shared" ref="S5:S49" si="6">IF(Y5="","",COUNTIFS($Z$5:$Z$49,Y5))</f>
        <v>1</v>
      </c>
      <c r="T5" s="29">
        <f t="shared" ref="T5:T49" si="7">IF(Y5="","",SUMIFS($O$5:$O$49,$Z$5:$Z$49,Y5))</f>
        <v>0</v>
      </c>
      <c r="U5" s="29">
        <f t="shared" ref="U5:U49" si="8">IF(Y5="","",IF(N(R5)=0,"",T5/R5))</f>
        <v>0</v>
      </c>
      <c r="V5" s="29">
        <f t="shared" ref="V5:V49" si="9">IF(Y5="","",N(E5)-T5)</f>
        <v>4792</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48593</v>
      </c>
      <c r="Z5" t="str">
        <f t="shared" ref="Z5:Z49" si="13">IF(TRIM(H5)="","",IF(ISNUMBER(VALUE(TRIM(H5))),TEXT(VALUE(TRIM(H5)),"0"),TRIM(H5)))</f>
        <v>48593</v>
      </c>
    </row>
    <row r="6" spans="1:26" x14ac:dyDescent="0.25">
      <c r="A6" s="41" t="s">
        <v>54</v>
      </c>
      <c r="B6" s="36" t="str">
        <f>IF(Y6="","",IFERROR(INDEX('قائمة الأصناف'!$B$3:$B$1000,MATCH(Y6,'قائمة الأصناف'!$C$3:$C$1000,0)),"⚠ كود غير معرف"))</f>
        <v>برتقال عصير</v>
      </c>
      <c r="C6" s="42">
        <v>5278</v>
      </c>
      <c r="D6" s="43">
        <v>3.3</v>
      </c>
      <c r="E6" s="29">
        <f t="shared" si="0"/>
        <v>17417.399999999998</v>
      </c>
      <c r="F6" s="29">
        <f>IF(E6="","",E6*الإعدادات!$B$8)</f>
        <v>2612.6099999999997</v>
      </c>
      <c r="G6" s="29">
        <f t="shared" si="1"/>
        <v>20030.009999999998</v>
      </c>
      <c r="H6" s="41" t="s">
        <v>54</v>
      </c>
      <c r="I6" s="36" t="str">
        <f>IF(Z6="","",IF(COUNTIF($Y$5:$Y$49,Z6)=0,"⚠ الصنف غير موجود في المبيعات",IFERROR(INDEX('قائمة الأصناف'!$B$3:$B$1000,MATCH(Z6,'قائمة الأصناف'!$C$3:$C$1000,0)),"⚠ كود غير معرف")))</f>
        <v>برتقال عصير</v>
      </c>
      <c r="J6" s="27" t="str">
        <f t="shared" si="2"/>
        <v>✗ لم تصل من المورد</v>
      </c>
      <c r="K6" s="44" t="s">
        <v>1041</v>
      </c>
      <c r="L6" s="41"/>
      <c r="M6" s="42">
        <v>400</v>
      </c>
      <c r="N6" s="43"/>
      <c r="O6" s="29" t="str">
        <f t="shared" si="3"/>
        <v/>
      </c>
      <c r="P6" s="29" t="str">
        <f>IF(O6="","",O6*الإعدادات!$B$8)</f>
        <v/>
      </c>
      <c r="Q6" s="29" t="str">
        <f t="shared" si="4"/>
        <v/>
      </c>
      <c r="R6" s="45">
        <f t="shared" si="5"/>
        <v>400</v>
      </c>
      <c r="S6" s="45">
        <f t="shared" si="6"/>
        <v>1</v>
      </c>
      <c r="T6" s="29">
        <f t="shared" si="7"/>
        <v>0</v>
      </c>
      <c r="U6" s="29">
        <f t="shared" si="8"/>
        <v>0</v>
      </c>
      <c r="V6" s="29">
        <f t="shared" si="9"/>
        <v>17417.399999999998</v>
      </c>
      <c r="W6" s="30">
        <f t="shared" si="10"/>
        <v>1</v>
      </c>
      <c r="X6" s="27" t="str">
        <f t="shared" si="11"/>
        <v>⚠ وصل 0 من 1 فواتير</v>
      </c>
      <c r="Y6" t="str">
        <f t="shared" si="12"/>
        <v>49494</v>
      </c>
      <c r="Z6" t="str">
        <f t="shared" si="13"/>
        <v>49494</v>
      </c>
    </row>
    <row r="7" spans="1:26" x14ac:dyDescent="0.25">
      <c r="A7" s="41" t="s">
        <v>110</v>
      </c>
      <c r="B7" s="36" t="str">
        <f>IF(Y7="","",IFERROR(INDEX('قائمة الأصناف'!$B$3:$B$1000,MATCH(Y7,'قائمة الأصناف'!$C$3:$C$1000,0)),"⚠ كود غير معرف"))</f>
        <v>GRAPEFRUIT</v>
      </c>
      <c r="C7" s="42">
        <v>853</v>
      </c>
      <c r="D7" s="43">
        <v>5</v>
      </c>
      <c r="E7" s="29">
        <f t="shared" si="0"/>
        <v>4265</v>
      </c>
      <c r="F7" s="29">
        <f>IF(E7="","",E7*الإعدادات!$B$8)</f>
        <v>639.75</v>
      </c>
      <c r="G7" s="29">
        <f t="shared" si="1"/>
        <v>4904.75</v>
      </c>
      <c r="H7" s="41" t="s">
        <v>110</v>
      </c>
      <c r="I7" s="36" t="str">
        <f>IF(Z7="","",IF(COUNTIF($Y$5:$Y$49,Z7)=0,"⚠ الصنف غير موجود في المبيعات",IFERROR(INDEX('قائمة الأصناف'!$B$3:$B$1000,MATCH(Z7,'قائمة الأصناف'!$C$3:$C$1000,0)),"⚠ كود غير معرف")))</f>
        <v>GRAPEFRUIT</v>
      </c>
      <c r="J7" s="27" t="str">
        <f t="shared" si="2"/>
        <v>✗ لم تصل من المورد</v>
      </c>
      <c r="K7" s="44" t="s">
        <v>1042</v>
      </c>
      <c r="L7" s="41"/>
      <c r="M7" s="42">
        <v>53</v>
      </c>
      <c r="N7" s="43"/>
      <c r="O7" s="29" t="str">
        <f t="shared" si="3"/>
        <v/>
      </c>
      <c r="P7" s="29" t="str">
        <f>IF(O7="","",O7*الإعدادات!$B$8)</f>
        <v/>
      </c>
      <c r="Q7" s="29" t="str">
        <f t="shared" si="4"/>
        <v/>
      </c>
      <c r="R7" s="45">
        <f t="shared" si="5"/>
        <v>53</v>
      </c>
      <c r="S7" s="45">
        <f t="shared" si="6"/>
        <v>1</v>
      </c>
      <c r="T7" s="29">
        <f t="shared" si="7"/>
        <v>0</v>
      </c>
      <c r="U7" s="29">
        <f t="shared" si="8"/>
        <v>0</v>
      </c>
      <c r="V7" s="29">
        <f t="shared" si="9"/>
        <v>4265</v>
      </c>
      <c r="W7" s="30">
        <f t="shared" si="10"/>
        <v>1</v>
      </c>
      <c r="X7" s="27" t="str">
        <f t="shared" si="11"/>
        <v>⚠ وصل 0 من 1 فواتير</v>
      </c>
      <c r="Y7" t="str">
        <f t="shared" si="12"/>
        <v>48402</v>
      </c>
      <c r="Z7" t="str">
        <f t="shared" si="13"/>
        <v>48402</v>
      </c>
    </row>
    <row r="8" spans="1:26" x14ac:dyDescent="0.25">
      <c r="A8" s="41" t="s">
        <v>70</v>
      </c>
      <c r="B8" s="36" t="str">
        <f>IF(Y8="","",IFERROR(INDEX('قائمة الأصناف'!$B$3:$B$1000,MATCH(Y8,'قائمة الأصناف'!$C$3:$C$1000,0)),"⚠ كود غير معرف"))</f>
        <v>عنب ابيض</v>
      </c>
      <c r="C8" s="42">
        <v>1741</v>
      </c>
      <c r="D8" s="43">
        <v>8.5</v>
      </c>
      <c r="E8" s="29">
        <f t="shared" si="0"/>
        <v>14798.5</v>
      </c>
      <c r="F8" s="29">
        <f>IF(E8="","",E8*الإعدادات!$B$8)</f>
        <v>2219.7750000000001</v>
      </c>
      <c r="G8" s="29">
        <f t="shared" si="1"/>
        <v>17018.275000000001</v>
      </c>
      <c r="H8" s="41" t="s">
        <v>70</v>
      </c>
      <c r="I8" s="36" t="str">
        <f>IF(Z8="","",IF(COUNTIF($Y$5:$Y$49,Z8)=0,"⚠ الصنف غير موجود في المبيعات",IFERROR(INDEX('قائمة الأصناف'!$B$3:$B$1000,MATCH(Z8,'قائمة الأصناف'!$C$3:$C$1000,0)),"⚠ كود غير معرف")))</f>
        <v>عنب ابيض</v>
      </c>
      <c r="J8" s="27" t="str">
        <f t="shared" si="2"/>
        <v>✗ لم تصل من المورد</v>
      </c>
      <c r="K8" s="44" t="s">
        <v>1036</v>
      </c>
      <c r="L8" s="41"/>
      <c r="M8" s="42">
        <v>517</v>
      </c>
      <c r="N8" s="43"/>
      <c r="O8" s="29" t="str">
        <f t="shared" si="3"/>
        <v/>
      </c>
      <c r="P8" s="29" t="str">
        <f>IF(O8="","",O8*الإعدادات!$B$8)</f>
        <v/>
      </c>
      <c r="Q8" s="29" t="str">
        <f t="shared" si="4"/>
        <v/>
      </c>
      <c r="R8" s="45">
        <f t="shared" si="5"/>
        <v>517</v>
      </c>
      <c r="S8" s="45">
        <f t="shared" si="6"/>
        <v>1</v>
      </c>
      <c r="T8" s="29">
        <f t="shared" si="7"/>
        <v>0</v>
      </c>
      <c r="U8" s="29">
        <f t="shared" si="8"/>
        <v>0</v>
      </c>
      <c r="V8" s="29">
        <f t="shared" si="9"/>
        <v>14798.5</v>
      </c>
      <c r="W8" s="30">
        <f t="shared" si="10"/>
        <v>1</v>
      </c>
      <c r="X8" s="27" t="str">
        <f t="shared" si="11"/>
        <v>⚠ وصل 0 من 1 فواتير</v>
      </c>
      <c r="Y8" t="str">
        <f t="shared" si="12"/>
        <v>48575</v>
      </c>
      <c r="Z8" t="str">
        <f t="shared" si="13"/>
        <v>48575</v>
      </c>
    </row>
    <row r="9" spans="1:26" x14ac:dyDescent="0.25">
      <c r="A9" s="41" t="s">
        <v>96</v>
      </c>
      <c r="B9" s="36" t="str">
        <f>IF(Y9="","",IFERROR(INDEX('قائمة الأصناف'!$B$3:$B$1000,MATCH(Y9,'قائمة الأصناف'!$C$3:$C$1000,0)),"⚠ كود غير معرف"))</f>
        <v>بطاطا حلوه</v>
      </c>
      <c r="C9" s="42">
        <v>1879</v>
      </c>
      <c r="D9" s="43">
        <v>5.5</v>
      </c>
      <c r="E9" s="29">
        <f t="shared" si="0"/>
        <v>10334.5</v>
      </c>
      <c r="F9" s="29">
        <f>IF(E9="","",E9*الإعدادات!$B$8)</f>
        <v>1550.175</v>
      </c>
      <c r="G9" s="29">
        <f t="shared" si="1"/>
        <v>11884.674999999999</v>
      </c>
      <c r="H9" s="41" t="s">
        <v>96</v>
      </c>
      <c r="I9" s="36" t="str">
        <f>IF(Z9="","",IF(COUNTIF($Y$5:$Y$49,Z9)=0,"⚠ الصنف غير موجود في المبيعات",IFERROR(INDEX('قائمة الأصناف'!$B$3:$B$1000,MATCH(Z9,'قائمة الأصناف'!$C$3:$C$1000,0)),"⚠ كود غير معرف")))</f>
        <v>بطاطا حلوه</v>
      </c>
      <c r="J9" s="27" t="str">
        <f t="shared" si="2"/>
        <v>✗ لم تصل من المورد</v>
      </c>
      <c r="K9" s="44" t="s">
        <v>1038</v>
      </c>
      <c r="L9" s="41"/>
      <c r="M9" s="42">
        <v>364</v>
      </c>
      <c r="N9" s="43"/>
      <c r="O9" s="29" t="str">
        <f t="shared" si="3"/>
        <v/>
      </c>
      <c r="P9" s="29" t="str">
        <f>IF(O9="","",O9*الإعدادات!$B$8)</f>
        <v/>
      </c>
      <c r="Q9" s="29" t="str">
        <f t="shared" si="4"/>
        <v/>
      </c>
      <c r="R9" s="45">
        <f t="shared" si="5"/>
        <v>728</v>
      </c>
      <c r="S9" s="45">
        <f t="shared" si="6"/>
        <v>2</v>
      </c>
      <c r="T9" s="29">
        <f t="shared" si="7"/>
        <v>0</v>
      </c>
      <c r="U9" s="29">
        <f t="shared" si="8"/>
        <v>0</v>
      </c>
      <c r="V9" s="29">
        <f t="shared" si="9"/>
        <v>10334.5</v>
      </c>
      <c r="W9" s="30">
        <f t="shared" si="10"/>
        <v>1</v>
      </c>
      <c r="X9" s="27" t="str">
        <f t="shared" si="11"/>
        <v>⚠ وصل 0 من 2 فواتير</v>
      </c>
      <c r="Y9" t="str">
        <f t="shared" si="12"/>
        <v>48217</v>
      </c>
      <c r="Z9" t="str">
        <f t="shared" si="13"/>
        <v>48217</v>
      </c>
    </row>
    <row r="10" spans="1:26" x14ac:dyDescent="0.25">
      <c r="A10" s="41" t="s">
        <v>96</v>
      </c>
      <c r="B10" s="36" t="str">
        <f>IF(Y10="","",IFERROR(INDEX('قائمة الأصناف'!$B$3:$B$1000,MATCH(Y10,'قائمة الأصناف'!$C$3:$C$1000,0)),"⚠ كود غير معرف"))</f>
        <v>بطاطا حلوه</v>
      </c>
      <c r="C10" s="42"/>
      <c r="D10" s="43"/>
      <c r="E10" s="29" t="str">
        <f t="shared" si="0"/>
        <v/>
      </c>
      <c r="F10" s="29" t="str">
        <f>IF(E10="","",E10*الإعدادات!$B$8)</f>
        <v/>
      </c>
      <c r="G10" s="29" t="str">
        <f t="shared" si="1"/>
        <v/>
      </c>
      <c r="H10" s="41" t="s">
        <v>96</v>
      </c>
      <c r="I10" s="36" t="str">
        <f>IF(Z10="","",IF(COUNTIF($Y$5:$Y$49,Z10)=0,"⚠ الصنف غير موجود في المبيعات",IFERROR(INDEX('قائمة الأصناف'!$B$3:$B$1000,MATCH(Z10,'قائمة الأصناف'!$C$3:$C$1000,0)),"⚠ كود غير معرف")))</f>
        <v>بطاطا حلوه</v>
      </c>
      <c r="J10" s="27" t="str">
        <f t="shared" si="2"/>
        <v>✗ لم تصل من المورد</v>
      </c>
      <c r="K10" s="44" t="s">
        <v>1028</v>
      </c>
      <c r="L10" s="41"/>
      <c r="M10" s="42">
        <v>364</v>
      </c>
      <c r="N10" s="43"/>
      <c r="O10" s="29" t="str">
        <f t="shared" si="3"/>
        <v/>
      </c>
      <c r="P10" s="29" t="str">
        <f>IF(O10="","",O10*الإعدادات!$B$8)</f>
        <v/>
      </c>
      <c r="Q10" s="29" t="str">
        <f t="shared" si="4"/>
        <v/>
      </c>
      <c r="R10" s="45">
        <f t="shared" si="5"/>
        <v>728</v>
      </c>
      <c r="S10" s="45">
        <f t="shared" si="6"/>
        <v>2</v>
      </c>
      <c r="T10" s="29">
        <f t="shared" si="7"/>
        <v>0</v>
      </c>
      <c r="U10" s="29">
        <f t="shared" si="8"/>
        <v>0</v>
      </c>
      <c r="V10" s="29">
        <f t="shared" si="9"/>
        <v>0</v>
      </c>
      <c r="W10" s="30" t="str">
        <f t="shared" si="10"/>
        <v/>
      </c>
      <c r="X10" s="27" t="str">
        <f t="shared" si="11"/>
        <v>⚠ وصل 0 من 2 فواتير</v>
      </c>
      <c r="Y10" t="str">
        <f t="shared" si="12"/>
        <v>48217</v>
      </c>
      <c r="Z10" t="str">
        <f t="shared" si="13"/>
        <v>48217</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10949</v>
      </c>
      <c r="D50" s="31"/>
      <c r="E50" s="32">
        <f>SUM(E5:E49)</f>
        <v>51607.399999999994</v>
      </c>
      <c r="F50" s="32">
        <f>SUM(F5:F49)</f>
        <v>7741.11</v>
      </c>
      <c r="G50" s="32">
        <f>SUM(G5:G49)</f>
        <v>59348.509999999995</v>
      </c>
      <c r="H50" s="31"/>
      <c r="I50" s="31"/>
      <c r="J50" s="31"/>
      <c r="K50" s="31"/>
      <c r="L50" s="31"/>
      <c r="M50" s="46">
        <f>SUM(M5:M49)</f>
        <v>2041</v>
      </c>
      <c r="N50" s="31"/>
      <c r="O50" s="32">
        <f>SUM(O5:O49)</f>
        <v>0</v>
      </c>
      <c r="P50" s="32">
        <f>SUM(P5:P49)</f>
        <v>0</v>
      </c>
      <c r="Q50" s="32">
        <f>SUM(Q5:Q49)</f>
        <v>0</v>
      </c>
      <c r="R50" s="31"/>
      <c r="S50" s="31"/>
      <c r="T50" s="32">
        <f>SUM(T5:T49)</f>
        <v>0</v>
      </c>
      <c r="U50" s="31"/>
      <c r="V50" s="32">
        <f>SUM(V5:V49)</f>
        <v>51607.399999999994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58" priority="9">
      <formula>ISNUMBER(SEARCH("غير معرف",B5))</formula>
    </cfRule>
  </conditionalFormatting>
  <conditionalFormatting sqref="H5:Q49">
    <cfRule type="expression" dxfId="157" priority="2">
      <formula>AND($Z5&lt;&gt;"",COUNTIF($Y$5:$Y$49,$Z5)=0)</formula>
    </cfRule>
  </conditionalFormatting>
  <conditionalFormatting sqref="I5:I49">
    <cfRule type="expression" dxfId="156" priority="10">
      <formula>ISNUMBER(SEARCH("غير معرف",I5))</formula>
    </cfRule>
  </conditionalFormatting>
  <conditionalFormatting sqref="J5:J49">
    <cfRule type="expression" dxfId="155" priority="3">
      <formula>ISNUMBER(SEARCH("تم استلام",J5))</formula>
    </cfRule>
    <cfRule type="expression" dxfId="154" priority="4">
      <formula>ISNUMBER(SEARCH("لم تصل",J5))</formula>
    </cfRule>
  </conditionalFormatting>
  <conditionalFormatting sqref="V5:V50">
    <cfRule type="cellIs" dxfId="153" priority="5" operator="lessThan">
      <formula>0</formula>
    </cfRule>
  </conditionalFormatting>
  <conditionalFormatting sqref="X5:X49">
    <cfRule type="expression" dxfId="152" priority="6">
      <formula>ISNUMBER(SEARCH("اكتملت",X5))</formula>
    </cfRule>
    <cfRule type="expression" dxfId="151" priority="7">
      <formula>ISNUMBER(SEARCH("وصل ",X5))</formula>
    </cfRule>
    <cfRule type="expression" dxfId="150" priority="8">
      <formula>ISNUMBER(SEARCH("لا توجد",X5))</formula>
    </cfRule>
  </conditionalFormatting>
  <dataValidations count="1">
    <dataValidation type="list" allowBlank="1" sqref="H5:H49" xr:uid="{00000000-0002-0000-12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2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200-000000000000}">
          <x14:formula1>
            <xm:f>'قائمة الأصناف'!$A$3:$A$1000</xm:f>
          </x14:formula1>
          <x14:formula2>
            <xm:f>0</xm:f>
          </x14:formula2>
          <xm:sqref>A5:A49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17</v>
      </c>
      <c r="C1" s="16" t="s">
        <v>993</v>
      </c>
      <c r="D1" s="37">
        <f>IF($B$1&lt;=الإعدادات!$B$6,DATE(الإعدادات!$B$3,الإعدادات!$B$4,$B$1),"")</f>
        <v>46190</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108</v>
      </c>
      <c r="B5" s="36" t="str">
        <f>IF(Y5="","",IFERROR(INDEX('قائمة الأصناف'!$B$3:$B$1000,MATCH(Y5,'قائمة الأصناف'!$C$3:$C$1000,0)),"⚠ كود غير معرف"))</f>
        <v>عنب احمر سدلس</v>
      </c>
      <c r="C5" s="42">
        <v>2900</v>
      </c>
      <c r="D5" s="43">
        <v>7.5</v>
      </c>
      <c r="E5" s="29">
        <f t="shared" ref="E5:E49" si="0">IF(OR(C5="",D5=""),"",C5*D5)</f>
        <v>21750</v>
      </c>
      <c r="F5" s="29">
        <f>IF(E5="","",E5*الإعدادات!$B$8)</f>
        <v>3262.5</v>
      </c>
      <c r="G5" s="29">
        <f t="shared" ref="G5:G49" si="1">IF(E5="","",E5+F5)</f>
        <v>25012.5</v>
      </c>
      <c r="H5" s="41" t="s">
        <v>108</v>
      </c>
      <c r="I5" s="36" t="str">
        <f>IF(Z5="","",IF(COUNTIF($Y$5:$Y$49,Z5)=0,"⚠ الصنف غير موجود في المبيعات",IFERROR(INDEX('قائمة الأصناف'!$B$3:$B$1000,MATCH(Z5,'قائمة الأصناف'!$C$3:$C$1000,0)),"⚠ كود غير معرف")))</f>
        <v>عنب احمر سدلس</v>
      </c>
      <c r="J5" s="27" t="str">
        <f t="shared" ref="J5:J49" si="2">IF(AND(Z5="",TRIM(K5)="",M5="",N5=""),"",IF(AND(Z5&lt;&gt;"",COUNTIF($Y$5:$Y$49,Z5)=0),"✗ حُذف من المبيعات — مستبعد من الحساب",IF(N5="","✗ لم تصل من المورد","✓ تم استلام الفاتورة")))</f>
        <v>✗ لم تصل من المورد</v>
      </c>
      <c r="K5" s="44" t="s">
        <v>1043</v>
      </c>
      <c r="L5" s="41"/>
      <c r="M5" s="42">
        <v>1000</v>
      </c>
      <c r="N5" s="43"/>
      <c r="O5" s="29" t="str">
        <f t="shared" ref="O5:O49" si="3">IF(OR(M5="",N5=""),"",IF(COUNTIF($Y$5:$Y$49,Z5)=0,"",M5*N5))</f>
        <v/>
      </c>
      <c r="P5" s="29" t="str">
        <f>IF(O5="","",O5*الإعدادات!$B$8)</f>
        <v/>
      </c>
      <c r="Q5" s="29" t="str">
        <f t="shared" ref="Q5:Q49" si="4">IF(O5="","",O5+P5)</f>
        <v/>
      </c>
      <c r="R5" s="45">
        <f t="shared" ref="R5:R49" si="5">IF(Y5="","",SUMIFS($M$5:$M$49,$Z$5:$Z$49,Y5))</f>
        <v>1000</v>
      </c>
      <c r="S5" s="45">
        <f t="shared" ref="S5:S49" si="6">IF(Y5="","",COUNTIFS($Z$5:$Z$49,Y5))</f>
        <v>1</v>
      </c>
      <c r="T5" s="29">
        <f t="shared" ref="T5:T49" si="7">IF(Y5="","",SUMIFS($O$5:$O$49,$Z$5:$Z$49,Y5))</f>
        <v>0</v>
      </c>
      <c r="U5" s="29">
        <f t="shared" ref="U5:U49" si="8">IF(Y5="","",IF(N(R5)=0,"",T5/R5))</f>
        <v>0</v>
      </c>
      <c r="V5" s="29">
        <f t="shared" ref="V5:V49" si="9">IF(Y5="","",N(E5)-T5)</f>
        <v>21750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48643</v>
      </c>
      <c r="Z5" t="str">
        <f t="shared" ref="Z5:Z49" si="13">IF(TRIM(H5)="","",IF(ISNUMBER(VALUE(TRIM(H5))),TEXT(VALUE(TRIM(H5)),"0"),TRIM(H5)))</f>
        <v>48643</v>
      </c>
    </row>
    <row r="6" spans="1:26" x14ac:dyDescent="0.25">
      <c r="A6" s="41" t="s">
        <v>100</v>
      </c>
      <c r="B6" s="36" t="str">
        <f>IF(Y6="","",IFERROR(INDEX('قائمة الأصناف'!$B$3:$B$1000,MATCH(Y6,'قائمة الأصناف'!$C$3:$C$1000,0)),"⚠ كود غير معرف"))</f>
        <v>عنب اسود</v>
      </c>
      <c r="C6" s="42">
        <v>4643</v>
      </c>
      <c r="D6" s="43">
        <v>6</v>
      </c>
      <c r="E6" s="29">
        <f t="shared" si="0"/>
        <v>27858</v>
      </c>
      <c r="F6" s="29">
        <f>IF(E6="","",E6*الإعدادات!$B$8)</f>
        <v>4178.7</v>
      </c>
      <c r="G6" s="29">
        <f t="shared" si="1"/>
        <v>32036.7</v>
      </c>
      <c r="H6" s="41" t="s">
        <v>100</v>
      </c>
      <c r="I6" s="36" t="str">
        <f>IF(Z6="","",IF(COUNTIF($Y$5:$Y$49,Z6)=0,"⚠ الصنف غير موجود في المبيعات",IFERROR(INDEX('قائمة الأصناف'!$B$3:$B$1000,MATCH(Z6,'قائمة الأصناف'!$C$3:$C$1000,0)),"⚠ كود غير معرف")))</f>
        <v>عنب اسود</v>
      </c>
      <c r="J6" s="27" t="str">
        <f t="shared" si="2"/>
        <v>✗ لم تصل من المورد</v>
      </c>
      <c r="K6" s="44" t="s">
        <v>1043</v>
      </c>
      <c r="L6" s="41"/>
      <c r="M6" s="42">
        <v>1500</v>
      </c>
      <c r="N6" s="43"/>
      <c r="O6" s="29" t="str">
        <f t="shared" si="3"/>
        <v/>
      </c>
      <c r="P6" s="29" t="str">
        <f>IF(O6="","",O6*الإعدادات!$B$8)</f>
        <v/>
      </c>
      <c r="Q6" s="29" t="str">
        <f t="shared" si="4"/>
        <v/>
      </c>
      <c r="R6" s="45">
        <f t="shared" si="5"/>
        <v>1500</v>
      </c>
      <c r="S6" s="45">
        <f t="shared" si="6"/>
        <v>1</v>
      </c>
      <c r="T6" s="29">
        <f t="shared" si="7"/>
        <v>0</v>
      </c>
      <c r="U6" s="29">
        <f t="shared" si="8"/>
        <v>0</v>
      </c>
      <c r="V6" s="29">
        <f t="shared" si="9"/>
        <v>27858</v>
      </c>
      <c r="W6" s="30">
        <f t="shared" si="10"/>
        <v>1</v>
      </c>
      <c r="X6" s="27" t="str">
        <f t="shared" si="11"/>
        <v>⚠ وصل 0 من 1 فواتير</v>
      </c>
      <c r="Y6" t="str">
        <f t="shared" si="12"/>
        <v>48601</v>
      </c>
      <c r="Z6" t="str">
        <f t="shared" si="13"/>
        <v>48601</v>
      </c>
    </row>
    <row r="7" spans="1:26" x14ac:dyDescent="0.25">
      <c r="A7" s="41" t="s">
        <v>92</v>
      </c>
      <c r="B7" s="36" t="str">
        <f>IF(Y7="","",IFERROR(INDEX('قائمة الأصناف'!$B$3:$B$1000,MATCH(Y7,'قائمة الأصناف'!$C$3:$C$1000,0)),"⚠ كود غير معرف"))</f>
        <v>مانجو سمكه</v>
      </c>
      <c r="C7" s="42">
        <v>2137</v>
      </c>
      <c r="D7" s="43">
        <v>6</v>
      </c>
      <c r="E7" s="29">
        <f t="shared" si="0"/>
        <v>12822</v>
      </c>
      <c r="F7" s="29">
        <f>IF(E7="","",E7*الإعدادات!$B$8)</f>
        <v>1923.3</v>
      </c>
      <c r="G7" s="29">
        <f t="shared" si="1"/>
        <v>14745.3</v>
      </c>
      <c r="H7" s="41" t="s">
        <v>92</v>
      </c>
      <c r="I7" s="36" t="str">
        <f>IF(Z7="","",IF(COUNTIF($Y$5:$Y$49,Z7)=0,"⚠ الصنف غير موجود في المبيعات",IFERROR(INDEX('قائمة الأصناف'!$B$3:$B$1000,MATCH(Z7,'قائمة الأصناف'!$C$3:$C$1000,0)),"⚠ كود غير معرف")))</f>
        <v>مانجو سمكه</v>
      </c>
      <c r="J7" s="27" t="str">
        <f t="shared" si="2"/>
        <v>✗ لم تصل من المورد</v>
      </c>
      <c r="K7" s="44" t="s">
        <v>1018</v>
      </c>
      <c r="L7" s="41"/>
      <c r="M7" s="42">
        <v>960</v>
      </c>
      <c r="N7" s="43"/>
      <c r="O7" s="29" t="str">
        <f t="shared" si="3"/>
        <v/>
      </c>
      <c r="P7" s="29" t="str">
        <f>IF(O7="","",O7*الإعدادات!$B$8)</f>
        <v/>
      </c>
      <c r="Q7" s="29" t="str">
        <f t="shared" si="4"/>
        <v/>
      </c>
      <c r="R7" s="45">
        <f t="shared" si="5"/>
        <v>960</v>
      </c>
      <c r="S7" s="45">
        <f t="shared" si="6"/>
        <v>1</v>
      </c>
      <c r="T7" s="29">
        <f t="shared" si="7"/>
        <v>0</v>
      </c>
      <c r="U7" s="29">
        <f t="shared" si="8"/>
        <v>0</v>
      </c>
      <c r="V7" s="29">
        <f t="shared" si="9"/>
        <v>12822</v>
      </c>
      <c r="W7" s="30">
        <f t="shared" si="10"/>
        <v>1</v>
      </c>
      <c r="X7" s="27" t="str">
        <f t="shared" si="11"/>
        <v>⚠ وصل 0 من 1 فواتير</v>
      </c>
      <c r="Y7" t="str">
        <f t="shared" si="12"/>
        <v>47915</v>
      </c>
      <c r="Z7" t="str">
        <f t="shared" si="13"/>
        <v>47915</v>
      </c>
    </row>
    <row r="8" spans="1:26" x14ac:dyDescent="0.25">
      <c r="A8" s="41" t="s">
        <v>102</v>
      </c>
      <c r="B8" s="36" t="str">
        <f>IF(Y8="","",IFERROR(INDEX('قائمة الأصناف'!$B$3:$B$1000,MATCH(Y8,'قائمة الأصناف'!$C$3:$C$1000,0)),"⚠ كود غير معرف"))</f>
        <v>ليمون بن زهير</v>
      </c>
      <c r="C8" s="42">
        <v>13566</v>
      </c>
      <c r="D8" s="43">
        <v>3</v>
      </c>
      <c r="E8" s="29">
        <f t="shared" si="0"/>
        <v>40698</v>
      </c>
      <c r="F8" s="29">
        <f>IF(E8="","",E8*الإعدادات!$B$8)</f>
        <v>6104.7</v>
      </c>
      <c r="G8" s="29">
        <f t="shared" si="1"/>
        <v>46802.7</v>
      </c>
      <c r="H8" s="41" t="s">
        <v>102</v>
      </c>
      <c r="I8" s="36" t="str">
        <f>IF(Z8="","",IF(COUNTIF($Y$5:$Y$49,Z8)=0,"⚠ الصنف غير موجود في المبيعات",IFERROR(INDEX('قائمة الأصناف'!$B$3:$B$1000,MATCH(Z8,'قائمة الأصناف'!$C$3:$C$1000,0)),"⚠ كود غير معرف")))</f>
        <v>ليمون بن زهير</v>
      </c>
      <c r="J8" s="27" t="str">
        <f t="shared" si="2"/>
        <v>✗ لم تصل من المورد</v>
      </c>
      <c r="K8" s="44" t="s">
        <v>1044</v>
      </c>
      <c r="L8" s="41"/>
      <c r="M8" s="42">
        <v>2261</v>
      </c>
      <c r="N8" s="43"/>
      <c r="O8" s="29" t="str">
        <f t="shared" si="3"/>
        <v/>
      </c>
      <c r="P8" s="29" t="str">
        <f>IF(O8="","",O8*الإعدادات!$B$8)</f>
        <v/>
      </c>
      <c r="Q8" s="29" t="str">
        <f t="shared" si="4"/>
        <v/>
      </c>
      <c r="R8" s="45">
        <f t="shared" si="5"/>
        <v>2261</v>
      </c>
      <c r="S8" s="45">
        <f t="shared" si="6"/>
        <v>1</v>
      </c>
      <c r="T8" s="29">
        <f t="shared" si="7"/>
        <v>0</v>
      </c>
      <c r="U8" s="29">
        <f t="shared" si="8"/>
        <v>0</v>
      </c>
      <c r="V8" s="29">
        <f t="shared" si="9"/>
        <v>40698</v>
      </c>
      <c r="W8" s="30">
        <f t="shared" si="10"/>
        <v>1</v>
      </c>
      <c r="X8" s="27" t="str">
        <f t="shared" si="11"/>
        <v>⚠ وصل 0 من 1 فواتير</v>
      </c>
      <c r="Y8" t="str">
        <f t="shared" si="12"/>
        <v>48318</v>
      </c>
      <c r="Z8" t="str">
        <f t="shared" si="13"/>
        <v>48318</v>
      </c>
    </row>
    <row r="9" spans="1:26" x14ac:dyDescent="0.25">
      <c r="A9" s="41" t="s">
        <v>96</v>
      </c>
      <c r="B9" s="36" t="str">
        <f>IF(Y9="","",IFERROR(INDEX('قائمة الأصناف'!$B$3:$B$1000,MATCH(Y9,'قائمة الأصناف'!$C$3:$C$1000,0)),"⚠ كود غير معرف"))</f>
        <v>بطاطا حلوه</v>
      </c>
      <c r="C9" s="42">
        <v>1675</v>
      </c>
      <c r="D9" s="43">
        <v>5.5</v>
      </c>
      <c r="E9" s="29">
        <f t="shared" si="0"/>
        <v>9212.5</v>
      </c>
      <c r="F9" s="29">
        <f>IF(E9="","",E9*الإعدادات!$B$8)</f>
        <v>1381.875</v>
      </c>
      <c r="G9" s="29">
        <f t="shared" si="1"/>
        <v>10594.375</v>
      </c>
      <c r="H9" s="41" t="s">
        <v>96</v>
      </c>
      <c r="I9" s="36" t="str">
        <f>IF(Z9="","",IF(COUNTIF($Y$5:$Y$49,Z9)=0,"⚠ الصنف غير موجود في المبيعات",IFERROR(INDEX('قائمة الأصناف'!$B$3:$B$1000,MATCH(Z9,'قائمة الأصناف'!$C$3:$C$1000,0)),"⚠ كود غير معرف")))</f>
        <v>بطاطا حلوه</v>
      </c>
      <c r="J9" s="27" t="str">
        <f t="shared" si="2"/>
        <v>✗ لم تصل من المورد</v>
      </c>
      <c r="K9" s="44" t="s">
        <v>1045</v>
      </c>
      <c r="L9" s="41"/>
      <c r="M9" s="42">
        <v>312</v>
      </c>
      <c r="N9" s="43"/>
      <c r="O9" s="29" t="str">
        <f t="shared" si="3"/>
        <v/>
      </c>
      <c r="P9" s="29" t="str">
        <f>IF(O9="","",O9*الإعدادات!$B$8)</f>
        <v/>
      </c>
      <c r="Q9" s="29" t="str">
        <f t="shared" si="4"/>
        <v/>
      </c>
      <c r="R9" s="45">
        <f t="shared" si="5"/>
        <v>620</v>
      </c>
      <c r="S9" s="45">
        <f t="shared" si="6"/>
        <v>2</v>
      </c>
      <c r="T9" s="29">
        <f t="shared" si="7"/>
        <v>0</v>
      </c>
      <c r="U9" s="29">
        <f t="shared" si="8"/>
        <v>0</v>
      </c>
      <c r="V9" s="29">
        <f t="shared" si="9"/>
        <v>9212.5</v>
      </c>
      <c r="W9" s="30">
        <f t="shared" si="10"/>
        <v>1</v>
      </c>
      <c r="X9" s="27" t="str">
        <f t="shared" si="11"/>
        <v>⚠ وصل 0 من 2 فواتير</v>
      </c>
      <c r="Y9" t="str">
        <f t="shared" si="12"/>
        <v>48217</v>
      </c>
      <c r="Z9" t="str">
        <f t="shared" si="13"/>
        <v>48217</v>
      </c>
    </row>
    <row r="10" spans="1:26" x14ac:dyDescent="0.25">
      <c r="A10" s="41" t="s">
        <v>96</v>
      </c>
      <c r="B10" s="36" t="str">
        <f>IF(Y10="","",IFERROR(INDEX('قائمة الأصناف'!$B$3:$B$1000,MATCH(Y10,'قائمة الأصناف'!$C$3:$C$1000,0)),"⚠ كود غير معرف"))</f>
        <v>بطاطا حلوه</v>
      </c>
      <c r="C10" s="42"/>
      <c r="D10" s="43"/>
      <c r="E10" s="29" t="str">
        <f t="shared" si="0"/>
        <v/>
      </c>
      <c r="F10" s="29" t="str">
        <f>IF(E10="","",E10*الإعدادات!$B$8)</f>
        <v/>
      </c>
      <c r="G10" s="29" t="str">
        <f t="shared" si="1"/>
        <v/>
      </c>
      <c r="H10" s="41" t="s">
        <v>96</v>
      </c>
      <c r="I10" s="36" t="str">
        <f>IF(Z10="","",IF(COUNTIF($Y$5:$Y$49,Z10)=0,"⚠ الصنف غير موجود في المبيعات",IFERROR(INDEX('قائمة الأصناف'!$B$3:$B$1000,MATCH(Z10,'قائمة الأصناف'!$C$3:$C$1000,0)),"⚠ كود غير معرف")))</f>
        <v>بطاطا حلوه</v>
      </c>
      <c r="J10" s="27" t="str">
        <f t="shared" si="2"/>
        <v>✗ لم تصل من المورد</v>
      </c>
      <c r="K10" s="44" t="s">
        <v>1046</v>
      </c>
      <c r="L10" s="41"/>
      <c r="M10" s="42">
        <v>308</v>
      </c>
      <c r="N10" s="43"/>
      <c r="O10" s="29" t="str">
        <f t="shared" si="3"/>
        <v/>
      </c>
      <c r="P10" s="29" t="str">
        <f>IF(O10="","",O10*الإعدادات!$B$8)</f>
        <v/>
      </c>
      <c r="Q10" s="29" t="str">
        <f t="shared" si="4"/>
        <v/>
      </c>
      <c r="R10" s="45">
        <f t="shared" si="5"/>
        <v>620</v>
      </c>
      <c r="S10" s="45">
        <f t="shared" si="6"/>
        <v>2</v>
      </c>
      <c r="T10" s="29">
        <f t="shared" si="7"/>
        <v>0</v>
      </c>
      <c r="U10" s="29">
        <f t="shared" si="8"/>
        <v>0</v>
      </c>
      <c r="V10" s="29">
        <f t="shared" si="9"/>
        <v>0</v>
      </c>
      <c r="W10" s="30" t="str">
        <f t="shared" si="10"/>
        <v/>
      </c>
      <c r="X10" s="27" t="str">
        <f t="shared" si="11"/>
        <v>⚠ وصل 0 من 2 فواتير</v>
      </c>
      <c r="Y10" t="str">
        <f t="shared" si="12"/>
        <v>48217</v>
      </c>
      <c r="Z10" t="str">
        <f t="shared" si="13"/>
        <v>48217</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24921</v>
      </c>
      <c r="D50" s="31"/>
      <c r="E50" s="32">
        <f>SUM(E5:E49)</f>
        <v>112340.5</v>
      </c>
      <c r="F50" s="32">
        <f>SUM(F5:F49)</f>
        <v>16851.075000000001</v>
      </c>
      <c r="G50" s="32">
        <f>SUM(G5:G49)</f>
        <v>129191.575</v>
      </c>
      <c r="H50" s="31"/>
      <c r="I50" s="31"/>
      <c r="J50" s="31"/>
      <c r="K50" s="31"/>
      <c r="L50" s="31"/>
      <c r="M50" s="46">
        <f>SUM(M5:M49)</f>
        <v>6341</v>
      </c>
      <c r="N50" s="31"/>
      <c r="O50" s="32">
        <f>SUM(O5:O49)</f>
        <v>0</v>
      </c>
      <c r="P50" s="32">
        <f>SUM(P5:P49)</f>
        <v>0</v>
      </c>
      <c r="Q50" s="32">
        <f>SUM(Q5:Q49)</f>
        <v>0</v>
      </c>
      <c r="R50" s="31"/>
      <c r="S50" s="31"/>
      <c r="T50" s="32">
        <f>SUM(T5:T49)</f>
        <v>0</v>
      </c>
      <c r="U50" s="31"/>
      <c r="V50" s="32">
        <f>SUM(V5:V49)</f>
        <v>112340.5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48" priority="9">
      <formula>ISNUMBER(SEARCH("غير معرف",B5))</formula>
    </cfRule>
  </conditionalFormatting>
  <conditionalFormatting sqref="H5:Q49">
    <cfRule type="expression" dxfId="147" priority="2">
      <formula>AND($Z5&lt;&gt;"",COUNTIF($Y$5:$Y$49,$Z5)=0)</formula>
    </cfRule>
  </conditionalFormatting>
  <conditionalFormatting sqref="I5:I49">
    <cfRule type="expression" dxfId="146" priority="10">
      <formula>ISNUMBER(SEARCH("غير معرف",I5))</formula>
    </cfRule>
  </conditionalFormatting>
  <conditionalFormatting sqref="J5:J49">
    <cfRule type="expression" dxfId="145" priority="3">
      <formula>ISNUMBER(SEARCH("تم استلام",J5))</formula>
    </cfRule>
    <cfRule type="expression" dxfId="144" priority="4">
      <formula>ISNUMBER(SEARCH("لم تصل",J5))</formula>
    </cfRule>
  </conditionalFormatting>
  <conditionalFormatting sqref="V5:V50">
    <cfRule type="cellIs" dxfId="143" priority="5" operator="lessThan">
      <formula>0</formula>
    </cfRule>
  </conditionalFormatting>
  <conditionalFormatting sqref="X5:X49">
    <cfRule type="expression" dxfId="142" priority="6">
      <formula>ISNUMBER(SEARCH("اكتملت",X5))</formula>
    </cfRule>
    <cfRule type="expression" dxfId="141" priority="7">
      <formula>ISNUMBER(SEARCH("وصل ",X5))</formula>
    </cfRule>
    <cfRule type="expression" dxfId="140" priority="8">
      <formula>ISNUMBER(SEARCH("لا توجد",X5))</formula>
    </cfRule>
  </conditionalFormatting>
  <dataValidations count="1">
    <dataValidation type="list" allowBlank="1" sqref="H5:H49" xr:uid="{00000000-0002-0000-13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3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300-000000000000}">
          <x14:formula1>
            <xm:f>'قائمة الأصناف'!$A$3:$A$1000</xm:f>
          </x14:formula1>
          <x14:formula2>
            <xm:f>0</xm:f>
          </x14:formula2>
          <xm:sqref>A5:A49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18</v>
      </c>
      <c r="C1" s="16" t="s">
        <v>993</v>
      </c>
      <c r="D1" s="37">
        <f>IF($B$1&lt;=الإعدادات!$B$6,DATE(الإعدادات!$B$3,الإعدادات!$B$4,$B$1),"")</f>
        <v>46191</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80</v>
      </c>
      <c r="B5" s="36" t="str">
        <f>IF(Y5="","",IFERROR(INDEX('قائمة الأصناف'!$B$3:$B$1000,MATCH(Y5,'قائمة الأصناف'!$C$3:$C$1000,0)),"⚠ كود غير معرف"))</f>
        <v>بصل احمر</v>
      </c>
      <c r="C5" s="42">
        <v>23132</v>
      </c>
      <c r="D5" s="43">
        <v>2</v>
      </c>
      <c r="E5" s="29">
        <f t="shared" ref="E5:E49" si="0">IF(OR(C5="",D5=""),"",C5*D5)</f>
        <v>46264</v>
      </c>
      <c r="F5" s="29">
        <f>IF(E5="","",E5*الإعدادات!$B$8)</f>
        <v>6939.5999999999995</v>
      </c>
      <c r="G5" s="29">
        <f t="shared" ref="G5:G49" si="1">IF(E5="","",E5+F5)</f>
        <v>53203.6</v>
      </c>
      <c r="H5" s="41" t="s">
        <v>80</v>
      </c>
      <c r="I5" s="36" t="str">
        <f>IF(Z5="","",IF(COUNTIF($Y$5:$Y$49,Z5)=0,"⚠ الصنف غير موجود في المبيعات",IFERROR(INDEX('قائمة الأصناف'!$B$3:$B$1000,MATCH(Z5,'قائمة الأصناف'!$C$3:$C$1000,0)),"⚠ كود غير معرف")))</f>
        <v>بصل احمر</v>
      </c>
      <c r="J5" s="27" t="str">
        <f t="shared" ref="J5:J49" si="2">IF(AND(Z5="",TRIM(K5)="",M5="",N5=""),"",IF(AND(Z5&lt;&gt;"",COUNTIF($Y$5:$Y$49,Z5)=0),"✗ حُذف من المبيعات — مستبعد من الحساب",IF(N5="","✗ لم تصل من المورد","✓ تم استلام الفاتورة")))</f>
        <v>✗ لم تصل من المورد</v>
      </c>
      <c r="K5" s="44" t="s">
        <v>1037</v>
      </c>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1</v>
      </c>
      <c r="T5" s="29">
        <f t="shared" ref="T5:T49" si="7">IF(Y5="","",SUMIFS($O$5:$O$49,$Z$5:$Z$49,Y5))</f>
        <v>0</v>
      </c>
      <c r="U5" s="29" t="str">
        <f t="shared" ref="U5:U49" si="8">IF(Y5="","",IF(N(R5)=0,"",T5/R5))</f>
        <v/>
      </c>
      <c r="V5" s="29">
        <f t="shared" ref="V5:V49" si="9">IF(Y5="","",N(E5)-T5)</f>
        <v>46264</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49502</v>
      </c>
      <c r="Z5" t="str">
        <f t="shared" ref="Z5:Z49" si="13">IF(TRIM(H5)="","",IF(ISNUMBER(VALUE(TRIM(H5))),TEXT(VALUE(TRIM(H5)),"0"),TRIM(H5)))</f>
        <v>49502</v>
      </c>
    </row>
    <row r="6" spans="1:26" x14ac:dyDescent="0.25">
      <c r="A6" s="41" t="s">
        <v>121</v>
      </c>
      <c r="B6" s="36" t="str">
        <f>IF(Y6="","",IFERROR(INDEX('قائمة الأصناف'!$B$3:$B$1000,MATCH(Y6,'قائمة الأصناف'!$C$3:$C$1000,0)),"⚠ كود غير معرف"))</f>
        <v>WATERMELON</v>
      </c>
      <c r="C6" s="42">
        <v>23238</v>
      </c>
      <c r="D6" s="43">
        <v>1.7</v>
      </c>
      <c r="E6" s="29">
        <f t="shared" si="0"/>
        <v>39504.6</v>
      </c>
      <c r="F6" s="29">
        <f>IF(E6="","",E6*الإعدادات!$B$8)</f>
        <v>5925.69</v>
      </c>
      <c r="G6" s="29">
        <f t="shared" si="1"/>
        <v>45430.29</v>
      </c>
      <c r="H6" s="41" t="s">
        <v>121</v>
      </c>
      <c r="I6" s="36" t="str">
        <f>IF(Z6="","",IF(COUNTIF($Y$5:$Y$49,Z6)=0,"⚠ الصنف غير موجود في المبيعات",IFERROR(INDEX('قائمة الأصناف'!$B$3:$B$1000,MATCH(Z6,'قائمة الأصناف'!$C$3:$C$1000,0)),"⚠ كود غير معرف")))</f>
        <v>WATERMELON</v>
      </c>
      <c r="J6" s="27" t="str">
        <f t="shared" si="2"/>
        <v>✗ لم تصل من المورد</v>
      </c>
      <c r="K6" s="44" t="s">
        <v>1037</v>
      </c>
      <c r="L6" s="41"/>
      <c r="M6" s="42"/>
      <c r="N6" s="43"/>
      <c r="O6" s="29" t="str">
        <f t="shared" si="3"/>
        <v/>
      </c>
      <c r="P6" s="29" t="str">
        <f>IF(O6="","",O6*الإعدادات!$B$8)</f>
        <v/>
      </c>
      <c r="Q6" s="29" t="str">
        <f t="shared" si="4"/>
        <v/>
      </c>
      <c r="R6" s="45">
        <f t="shared" si="5"/>
        <v>0</v>
      </c>
      <c r="S6" s="45">
        <f t="shared" si="6"/>
        <v>1</v>
      </c>
      <c r="T6" s="29">
        <f t="shared" si="7"/>
        <v>0</v>
      </c>
      <c r="U6" s="29" t="str">
        <f t="shared" si="8"/>
        <v/>
      </c>
      <c r="V6" s="29">
        <f t="shared" si="9"/>
        <v>39504.6</v>
      </c>
      <c r="W6" s="30">
        <f t="shared" si="10"/>
        <v>1</v>
      </c>
      <c r="X6" s="27" t="str">
        <f t="shared" si="11"/>
        <v>⚠ وصل 0 من 1 فواتير</v>
      </c>
      <c r="Y6" t="str">
        <f t="shared" si="12"/>
        <v>47809</v>
      </c>
      <c r="Z6" t="str">
        <f t="shared" si="13"/>
        <v>47809</v>
      </c>
    </row>
    <row r="7" spans="1:26" x14ac:dyDescent="0.25">
      <c r="A7" s="41" t="s">
        <v>113</v>
      </c>
      <c r="B7" s="36" t="str">
        <f>IF(Y7="","",IFERROR(INDEX('قائمة الأصناف'!$B$3:$B$1000,MATCH(Y7,'قائمة الأصناف'!$C$3:$C$1000,0)),"⚠ كود غير معرف"))</f>
        <v>CHERRYSMALLBOX</v>
      </c>
      <c r="C7" s="42">
        <v>7980</v>
      </c>
      <c r="D7" s="43">
        <v>5.8</v>
      </c>
      <c r="E7" s="29">
        <f t="shared" si="0"/>
        <v>46284</v>
      </c>
      <c r="F7" s="29">
        <f>IF(E7="","",E7*الإعدادات!$B$8)</f>
        <v>6942.5999999999995</v>
      </c>
      <c r="G7" s="29">
        <f t="shared" si="1"/>
        <v>53226.6</v>
      </c>
      <c r="H7" s="41" t="s">
        <v>113</v>
      </c>
      <c r="I7" s="36" t="str">
        <f>IF(Z7="","",IF(COUNTIF($Y$5:$Y$49,Z7)=0,"⚠ الصنف غير موجود في المبيعات",IFERROR(INDEX('قائمة الأصناف'!$B$3:$B$1000,MATCH(Z7,'قائمة الأصناف'!$C$3:$C$1000,0)),"⚠ كود غير معرف")))</f>
        <v>CHERRYSMALLBOX</v>
      </c>
      <c r="J7" s="27" t="str">
        <f t="shared" si="2"/>
        <v>✗ لم تصل من المورد</v>
      </c>
      <c r="K7" s="44" t="s">
        <v>1047</v>
      </c>
      <c r="L7" s="41"/>
      <c r="M7" s="42">
        <v>4000</v>
      </c>
      <c r="N7" s="43"/>
      <c r="O7" s="29" t="str">
        <f t="shared" si="3"/>
        <v/>
      </c>
      <c r="P7" s="29" t="str">
        <f>IF(O7="","",O7*الإعدادات!$B$8)</f>
        <v/>
      </c>
      <c r="Q7" s="29" t="str">
        <f t="shared" si="4"/>
        <v/>
      </c>
      <c r="R7" s="45">
        <f t="shared" si="5"/>
        <v>4000</v>
      </c>
      <c r="S7" s="45">
        <f t="shared" si="6"/>
        <v>1</v>
      </c>
      <c r="T7" s="29">
        <f t="shared" si="7"/>
        <v>0</v>
      </c>
      <c r="U7" s="29">
        <f t="shared" si="8"/>
        <v>0</v>
      </c>
      <c r="V7" s="29">
        <f t="shared" si="9"/>
        <v>46284</v>
      </c>
      <c r="W7" s="30">
        <f t="shared" si="10"/>
        <v>1</v>
      </c>
      <c r="X7" s="27" t="str">
        <f t="shared" si="11"/>
        <v>⚠ وصل 0 من 1 فواتير</v>
      </c>
      <c r="Y7" t="str">
        <f t="shared" si="12"/>
        <v>48586</v>
      </c>
      <c r="Z7" t="str">
        <f t="shared" si="13"/>
        <v>48586</v>
      </c>
    </row>
    <row r="8" spans="1:26" x14ac:dyDescent="0.25">
      <c r="A8" s="41" t="s">
        <v>100</v>
      </c>
      <c r="B8" s="36" t="str">
        <f>IF(Y8="","",IFERROR(INDEX('قائمة الأصناف'!$B$3:$B$1000,MATCH(Y8,'قائمة الأصناف'!$C$3:$C$1000,0)),"⚠ كود غير معرف"))</f>
        <v>عنب اسود</v>
      </c>
      <c r="C8" s="42">
        <v>2526</v>
      </c>
      <c r="D8" s="43">
        <v>5.8</v>
      </c>
      <c r="E8" s="29">
        <f t="shared" si="0"/>
        <v>14650.8</v>
      </c>
      <c r="F8" s="29">
        <f>IF(E8="","",E8*الإعدادات!$B$8)</f>
        <v>2197.62</v>
      </c>
      <c r="G8" s="29">
        <f t="shared" si="1"/>
        <v>16848.419999999998</v>
      </c>
      <c r="H8" s="41" t="s">
        <v>100</v>
      </c>
      <c r="I8" s="36" t="str">
        <f>IF(Z8="","",IF(COUNTIF($Y$5:$Y$49,Z8)=0,"⚠ الصنف غير موجود في المبيعات",IFERROR(INDEX('قائمة الأصناف'!$B$3:$B$1000,MATCH(Z8,'قائمة الأصناف'!$C$3:$C$1000,0)),"⚠ كود غير معرف")))</f>
        <v>عنب اسود</v>
      </c>
      <c r="J8" s="27" t="str">
        <f t="shared" si="2"/>
        <v>✗ لم تصل من المورد</v>
      </c>
      <c r="K8" s="44" t="s">
        <v>1043</v>
      </c>
      <c r="L8" s="41"/>
      <c r="M8" s="42">
        <v>870</v>
      </c>
      <c r="N8" s="43"/>
      <c r="O8" s="29" t="str">
        <f t="shared" si="3"/>
        <v/>
      </c>
      <c r="P8" s="29" t="str">
        <f>IF(O8="","",O8*الإعدادات!$B$8)</f>
        <v/>
      </c>
      <c r="Q8" s="29" t="str">
        <f t="shared" si="4"/>
        <v/>
      </c>
      <c r="R8" s="45">
        <f t="shared" si="5"/>
        <v>870</v>
      </c>
      <c r="S8" s="45">
        <f t="shared" si="6"/>
        <v>1</v>
      </c>
      <c r="T8" s="29">
        <f t="shared" si="7"/>
        <v>0</v>
      </c>
      <c r="U8" s="29">
        <f t="shared" si="8"/>
        <v>0</v>
      </c>
      <c r="V8" s="29">
        <f t="shared" si="9"/>
        <v>14650.8</v>
      </c>
      <c r="W8" s="30">
        <f t="shared" si="10"/>
        <v>1</v>
      </c>
      <c r="X8" s="27" t="str">
        <f t="shared" si="11"/>
        <v>⚠ وصل 0 من 1 فواتير</v>
      </c>
      <c r="Y8" t="str">
        <f t="shared" si="12"/>
        <v>48601</v>
      </c>
      <c r="Z8" t="str">
        <f t="shared" si="13"/>
        <v>48601</v>
      </c>
    </row>
    <row r="9" spans="1:26" x14ac:dyDescent="0.25">
      <c r="A9" s="41" t="s">
        <v>72</v>
      </c>
      <c r="B9" s="36" t="str">
        <f>IF(Y9="","",IFERROR(INDEX('قائمة الأصناف'!$B$3:$B$1000,MATCH(Y9,'قائمة الأصناف'!$C$3:$C$1000,0)),"⚠ كود غير معرف"))</f>
        <v>كمثري</v>
      </c>
      <c r="C9" s="42">
        <v>3423</v>
      </c>
      <c r="D9" s="43">
        <v>8</v>
      </c>
      <c r="E9" s="29">
        <f t="shared" si="0"/>
        <v>27384</v>
      </c>
      <c r="F9" s="29">
        <f>IF(E9="","",E9*الإعدادات!$B$8)</f>
        <v>4107.5999999999995</v>
      </c>
      <c r="G9" s="29">
        <f t="shared" si="1"/>
        <v>31491.599999999999</v>
      </c>
      <c r="H9" s="41" t="s">
        <v>72</v>
      </c>
      <c r="I9" s="36" t="str">
        <f>IF(Z9="","",IF(COUNTIF($Y$5:$Y$49,Z9)=0,"⚠ الصنف غير موجود في المبيعات",IFERROR(INDEX('قائمة الأصناف'!$B$3:$B$1000,MATCH(Z9,'قائمة الأصناف'!$C$3:$C$1000,0)),"⚠ كود غير معرف")))</f>
        <v>كمثري</v>
      </c>
      <c r="J9" s="27" t="str">
        <f t="shared" si="2"/>
        <v>✗ لم تصل من المورد</v>
      </c>
      <c r="K9" s="44" t="s">
        <v>1034</v>
      </c>
      <c r="L9" s="41"/>
      <c r="M9" s="42">
        <v>270</v>
      </c>
      <c r="N9" s="43"/>
      <c r="O9" s="29" t="str">
        <f t="shared" si="3"/>
        <v/>
      </c>
      <c r="P9" s="29" t="str">
        <f>IF(O9="","",O9*الإعدادات!$B$8)</f>
        <v/>
      </c>
      <c r="Q9" s="29" t="str">
        <f t="shared" si="4"/>
        <v/>
      </c>
      <c r="R9" s="45">
        <f t="shared" si="5"/>
        <v>270</v>
      </c>
      <c r="S9" s="45">
        <f t="shared" si="6"/>
        <v>1</v>
      </c>
      <c r="T9" s="29">
        <f t="shared" si="7"/>
        <v>0</v>
      </c>
      <c r="U9" s="29">
        <f t="shared" si="8"/>
        <v>0</v>
      </c>
      <c r="V9" s="29">
        <f t="shared" si="9"/>
        <v>27384</v>
      </c>
      <c r="W9" s="30">
        <f t="shared" si="10"/>
        <v>1</v>
      </c>
      <c r="X9" s="27" t="str">
        <f t="shared" si="11"/>
        <v>⚠ وصل 0 من 1 فواتير</v>
      </c>
      <c r="Y9" t="str">
        <f t="shared" si="12"/>
        <v>47884</v>
      </c>
      <c r="Z9" t="str">
        <f t="shared" si="13"/>
        <v>47884</v>
      </c>
    </row>
    <row r="10" spans="1:26" x14ac:dyDescent="0.25">
      <c r="A10" s="41" t="s">
        <v>112</v>
      </c>
      <c r="B10" s="36" t="str">
        <f>IF(Y10="","",IFERROR(INDEX('قائمة الأصناف'!$B$3:$B$1000,MATCH(Y10,'قائمة الأصناف'!$C$3:$C$1000,0)),"⚠ كود غير معرف"))</f>
        <v>بخاره حمراء</v>
      </c>
      <c r="C10" s="42">
        <v>3200</v>
      </c>
      <c r="D10" s="43">
        <v>6</v>
      </c>
      <c r="E10" s="29">
        <f t="shared" si="0"/>
        <v>19200</v>
      </c>
      <c r="F10" s="29">
        <f>IF(E10="","",E10*الإعدادات!$B$8)</f>
        <v>2880</v>
      </c>
      <c r="G10" s="29">
        <f t="shared" si="1"/>
        <v>22080</v>
      </c>
      <c r="H10" s="41" t="s">
        <v>112</v>
      </c>
      <c r="I10" s="36" t="str">
        <f>IF(Z10="","",IF(COUNTIF($Y$5:$Y$49,Z10)=0,"⚠ الصنف غير موجود في المبيعات",IFERROR(INDEX('قائمة الأصناف'!$B$3:$B$1000,MATCH(Z10,'قائمة الأصناف'!$C$3:$C$1000,0)),"⚠ كود غير معرف")))</f>
        <v>بخاره حمراء</v>
      </c>
      <c r="J10" s="27" t="str">
        <f t="shared" si="2"/>
        <v>✗ لم تصل من المورد</v>
      </c>
      <c r="K10" s="44" t="s">
        <v>1047</v>
      </c>
      <c r="L10" s="41"/>
      <c r="M10" s="42">
        <v>1560</v>
      </c>
      <c r="N10" s="43"/>
      <c r="O10" s="29" t="str">
        <f t="shared" si="3"/>
        <v/>
      </c>
      <c r="P10" s="29" t="str">
        <f>IF(O10="","",O10*الإعدادات!$B$8)</f>
        <v/>
      </c>
      <c r="Q10" s="29" t="str">
        <f t="shared" si="4"/>
        <v/>
      </c>
      <c r="R10" s="45">
        <f t="shared" si="5"/>
        <v>1560</v>
      </c>
      <c r="S10" s="45">
        <f t="shared" si="6"/>
        <v>1</v>
      </c>
      <c r="T10" s="29">
        <f t="shared" si="7"/>
        <v>0</v>
      </c>
      <c r="U10" s="29">
        <f t="shared" si="8"/>
        <v>0</v>
      </c>
      <c r="V10" s="29">
        <f t="shared" si="9"/>
        <v>19200</v>
      </c>
      <c r="W10" s="30">
        <f t="shared" si="10"/>
        <v>1</v>
      </c>
      <c r="X10" s="27" t="str">
        <f t="shared" si="11"/>
        <v>⚠ وصل 0 من 1 فواتير</v>
      </c>
      <c r="Y10" t="str">
        <f t="shared" si="12"/>
        <v>5</v>
      </c>
      <c r="Z10" t="str">
        <f t="shared" si="13"/>
        <v>5</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63499</v>
      </c>
      <c r="D50" s="31"/>
      <c r="E50" s="32">
        <f>SUM(E5:E49)</f>
        <v>193287.4</v>
      </c>
      <c r="F50" s="32">
        <f>SUM(F5:F49)</f>
        <v>28993.109999999997</v>
      </c>
      <c r="G50" s="32">
        <f>SUM(G5:G49)</f>
        <v>222280.50999999998</v>
      </c>
      <c r="H50" s="31"/>
      <c r="I50" s="31"/>
      <c r="J50" s="31"/>
      <c r="K50" s="31"/>
      <c r="L50" s="31"/>
      <c r="M50" s="46">
        <f>SUM(M5:M49)</f>
        <v>6700</v>
      </c>
      <c r="N50" s="31"/>
      <c r="O50" s="32">
        <f>SUM(O5:O49)</f>
        <v>0</v>
      </c>
      <c r="P50" s="32">
        <f>SUM(P5:P49)</f>
        <v>0</v>
      </c>
      <c r="Q50" s="32">
        <f>SUM(Q5:Q49)</f>
        <v>0</v>
      </c>
      <c r="R50" s="31"/>
      <c r="S50" s="31"/>
      <c r="T50" s="32">
        <f>SUM(T5:T49)</f>
        <v>0</v>
      </c>
      <c r="U50" s="31"/>
      <c r="V50" s="32">
        <f>SUM(V5:V49)</f>
        <v>193287.4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38" priority="9">
      <formula>ISNUMBER(SEARCH("غير معرف",B5))</formula>
    </cfRule>
  </conditionalFormatting>
  <conditionalFormatting sqref="H5:Q49">
    <cfRule type="expression" dxfId="137" priority="2">
      <formula>AND($Z5&lt;&gt;"",COUNTIF($Y$5:$Y$49,$Z5)=0)</formula>
    </cfRule>
  </conditionalFormatting>
  <conditionalFormatting sqref="I5:I49">
    <cfRule type="expression" dxfId="136" priority="10">
      <formula>ISNUMBER(SEARCH("غير معرف",I5))</formula>
    </cfRule>
  </conditionalFormatting>
  <conditionalFormatting sqref="J5:J49">
    <cfRule type="expression" dxfId="135" priority="3">
      <formula>ISNUMBER(SEARCH("تم استلام",J5))</formula>
    </cfRule>
    <cfRule type="expression" dxfId="134" priority="4">
      <formula>ISNUMBER(SEARCH("لم تصل",J5))</formula>
    </cfRule>
  </conditionalFormatting>
  <conditionalFormatting sqref="V5:V50">
    <cfRule type="cellIs" dxfId="133" priority="5" operator="lessThan">
      <formula>0</formula>
    </cfRule>
  </conditionalFormatting>
  <conditionalFormatting sqref="X5:X49">
    <cfRule type="expression" dxfId="132" priority="6">
      <formula>ISNUMBER(SEARCH("اكتملت",X5))</formula>
    </cfRule>
    <cfRule type="expression" dxfId="131" priority="7">
      <formula>ISNUMBER(SEARCH("وصل ",X5))</formula>
    </cfRule>
    <cfRule type="expression" dxfId="130" priority="8">
      <formula>ISNUMBER(SEARCH("لا توجد",X5))</formula>
    </cfRule>
  </conditionalFormatting>
  <dataValidations count="1">
    <dataValidation type="list" allowBlank="1" sqref="H5:H49" xr:uid="{00000000-0002-0000-14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4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400-000000000000}">
          <x14:formula1>
            <xm:f>'قائمة الأصناف'!$A$3:$A$1000</xm:f>
          </x14:formula1>
          <x14:formula2>
            <xm:f>0</xm:f>
          </x14:formula2>
          <xm:sqref>A5:A49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19</v>
      </c>
      <c r="C1" s="16" t="s">
        <v>993</v>
      </c>
      <c r="D1" s="37">
        <f>IF($B$1&lt;=الإعدادات!$B$6,DATE(الإعدادات!$B$3,الإعدادات!$B$4,$B$1),"")</f>
        <v>46192</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88</v>
      </c>
      <c r="B5" s="36" t="str">
        <f>IF(Y5="","",IFERROR(INDEX('قائمة الأصناف'!$B$3:$B$1000,MATCH(Y5,'قائمة الأصناف'!$C$3:$C$1000,0)),"⚠ كود غير معرف"))</f>
        <v>موز</v>
      </c>
      <c r="C5" s="42">
        <v>1680</v>
      </c>
      <c r="D5" s="43">
        <v>5.5</v>
      </c>
      <c r="E5" s="29">
        <f t="shared" ref="E5:E49" si="0">IF(OR(C5="",D5=""),"",C5*D5)</f>
        <v>9240</v>
      </c>
      <c r="F5" s="29">
        <f>IF(E5="","",E5*الإعدادات!$B$8)</f>
        <v>1386</v>
      </c>
      <c r="G5" s="29">
        <f t="shared" ref="G5:G49" si="1">IF(E5="","",E5+F5)</f>
        <v>10626</v>
      </c>
      <c r="H5" s="41" t="s">
        <v>88</v>
      </c>
      <c r="I5" s="36" t="str">
        <f>IF(Z5="","",IF(COUNTIF($Y$5:$Y$49,Z5)=0,"⚠ الصنف غير موجود في المبيعات",IFERROR(INDEX('قائمة الأصناف'!$B$3:$B$1000,MATCH(Z5,'قائمة الأصناف'!$C$3:$C$1000,0)),"⚠ كود غير معرف")))</f>
        <v>موز</v>
      </c>
      <c r="J5" s="27" t="str">
        <f t="shared" ref="J5:J49" si="2">IF(AND(Z5="",TRIM(K5)="",M5="",N5=""),"",IF(AND(Z5&lt;&gt;"",COUNTIF($Y$5:$Y$49,Z5)=0),"✗ حُذف من المبيعات — مستبعد من الحساب",IF(N5="","✗ لم تصل من المورد","✓ تم استلام الفاتورة")))</f>
        <v>✗ لم تصل من المورد</v>
      </c>
      <c r="K5" s="44" t="s">
        <v>1030</v>
      </c>
      <c r="L5" s="41"/>
      <c r="M5" s="42">
        <v>120</v>
      </c>
      <c r="N5" s="43"/>
      <c r="O5" s="29" t="str">
        <f t="shared" ref="O5:O49" si="3">IF(OR(M5="",N5=""),"",IF(COUNTIF($Y$5:$Y$49,Z5)=0,"",M5*N5))</f>
        <v/>
      </c>
      <c r="P5" s="29" t="str">
        <f>IF(O5="","",O5*الإعدادات!$B$8)</f>
        <v/>
      </c>
      <c r="Q5" s="29" t="str">
        <f t="shared" ref="Q5:Q49" si="4">IF(O5="","",O5+P5)</f>
        <v/>
      </c>
      <c r="R5" s="45">
        <f t="shared" ref="R5:R49" si="5">IF(Y5="","",SUMIFS($M$5:$M$49,$Z$5:$Z$49,Y5))</f>
        <v>120</v>
      </c>
      <c r="S5" s="45">
        <f t="shared" ref="S5:S49" si="6">IF(Y5="","",COUNTIFS($Z$5:$Z$49,Y5))</f>
        <v>1</v>
      </c>
      <c r="T5" s="29">
        <f t="shared" ref="T5:T49" si="7">IF(Y5="","",SUMIFS($O$5:$O$49,$Z$5:$Z$49,Y5))</f>
        <v>0</v>
      </c>
      <c r="U5" s="29">
        <f t="shared" ref="U5:U49" si="8">IF(Y5="","",IF(N(R5)=0,"",T5/R5))</f>
        <v>0</v>
      </c>
      <c r="V5" s="29">
        <f t="shared" ref="V5:V49" si="9">IF(Y5="","",N(E5)-T5)</f>
        <v>9240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48595</v>
      </c>
      <c r="Z5" t="str">
        <f t="shared" ref="Z5:Z49" si="13">IF(TRIM(H5)="","",IF(ISNUMBER(VALUE(TRIM(H5))),TEXT(VALUE(TRIM(H5)),"0"),TRIM(H5)))</f>
        <v>48595</v>
      </c>
    </row>
    <row r="6" spans="1:26" x14ac:dyDescent="0.25">
      <c r="A6" s="41" t="s">
        <v>113</v>
      </c>
      <c r="B6" s="36" t="str">
        <f>IF(Y6="","",IFERROR(INDEX('قائمة الأصناف'!$B$3:$B$1000,MATCH(Y6,'قائمة الأصناف'!$C$3:$C$1000,0)),"⚠ كود غير معرف"))</f>
        <v>CHERRYSMALLBOX</v>
      </c>
      <c r="C6" s="42">
        <v>3600</v>
      </c>
      <c r="D6" s="43">
        <v>5.8</v>
      </c>
      <c r="E6" s="29">
        <f t="shared" si="0"/>
        <v>20880</v>
      </c>
      <c r="F6" s="29">
        <f>IF(E6="","",E6*الإعدادات!$B$8)</f>
        <v>3132</v>
      </c>
      <c r="G6" s="29">
        <f t="shared" si="1"/>
        <v>24012</v>
      </c>
      <c r="H6" s="41" t="s">
        <v>113</v>
      </c>
      <c r="I6" s="36" t="str">
        <f>IF(Z6="","",IF(COUNTIF($Y$5:$Y$49,Z6)=0,"⚠ الصنف غير موجود في المبيعات",IFERROR(INDEX('قائمة الأصناف'!$B$3:$B$1000,MATCH(Z6,'قائمة الأصناف'!$C$3:$C$1000,0)),"⚠ كود غير معرف")))</f>
        <v>CHERRYSMALLBOX</v>
      </c>
      <c r="J6" s="27" t="str">
        <f t="shared" si="2"/>
        <v>✗ لم تصل من المورد</v>
      </c>
      <c r="K6" s="44" t="s">
        <v>1043</v>
      </c>
      <c r="L6" s="41"/>
      <c r="M6" s="42">
        <v>1800</v>
      </c>
      <c r="N6" s="43"/>
      <c r="O6" s="29" t="str">
        <f t="shared" si="3"/>
        <v/>
      </c>
      <c r="P6" s="29" t="str">
        <f>IF(O6="","",O6*الإعدادات!$B$8)</f>
        <v/>
      </c>
      <c r="Q6" s="29" t="str">
        <f t="shared" si="4"/>
        <v/>
      </c>
      <c r="R6" s="45">
        <f t="shared" si="5"/>
        <v>1800</v>
      </c>
      <c r="S6" s="45">
        <f t="shared" si="6"/>
        <v>1</v>
      </c>
      <c r="T6" s="29">
        <f t="shared" si="7"/>
        <v>0</v>
      </c>
      <c r="U6" s="29">
        <f t="shared" si="8"/>
        <v>0</v>
      </c>
      <c r="V6" s="29">
        <f t="shared" si="9"/>
        <v>20880</v>
      </c>
      <c r="W6" s="30">
        <f t="shared" si="10"/>
        <v>1</v>
      </c>
      <c r="X6" s="27" t="str">
        <f t="shared" si="11"/>
        <v>⚠ وصل 0 من 1 فواتير</v>
      </c>
      <c r="Y6" t="str">
        <f t="shared" si="12"/>
        <v>48586</v>
      </c>
      <c r="Z6" t="str">
        <f t="shared" si="13"/>
        <v>48586</v>
      </c>
    </row>
    <row r="7" spans="1:26" x14ac:dyDescent="0.25">
      <c r="A7" s="41" t="s">
        <v>50</v>
      </c>
      <c r="B7" s="36" t="str">
        <f>IF(Y7="","",IFERROR(INDEX('قائمة الأصناف'!$B$3:$B$1000,MATCH(Y7,'قائمة الأصناف'!$C$3:$C$1000,0)),"⚠ كود غير معرف"))</f>
        <v>مانجو تومي</v>
      </c>
      <c r="C7" s="42">
        <v>2020</v>
      </c>
      <c r="D7" s="43">
        <v>4</v>
      </c>
      <c r="E7" s="29">
        <f t="shared" si="0"/>
        <v>8080</v>
      </c>
      <c r="F7" s="29">
        <f>IF(E7="","",E7*الإعدادات!$B$8)</f>
        <v>1212</v>
      </c>
      <c r="G7" s="29">
        <f t="shared" si="1"/>
        <v>9292</v>
      </c>
      <c r="H7" s="41" t="s">
        <v>50</v>
      </c>
      <c r="I7" s="36" t="str">
        <f>IF(Z7="","",IF(COUNTIF($Y$5:$Y$49,Z7)=0,"⚠ الصنف غير موجود في المبيعات",IFERROR(INDEX('قائمة الأصناف'!$B$3:$B$1000,MATCH(Z7,'قائمة الأصناف'!$C$3:$C$1000,0)),"⚠ كود غير معرف")))</f>
        <v>مانجو تومي</v>
      </c>
      <c r="J7" s="27" t="str">
        <f t="shared" si="2"/>
        <v>✗ لم تصل من المورد</v>
      </c>
      <c r="K7" s="44" t="s">
        <v>1018</v>
      </c>
      <c r="L7" s="41"/>
      <c r="M7" s="42">
        <v>531</v>
      </c>
      <c r="N7" s="43"/>
      <c r="O7" s="29" t="str">
        <f t="shared" si="3"/>
        <v/>
      </c>
      <c r="P7" s="29" t="str">
        <f>IF(O7="","",O7*الإعدادات!$B$8)</f>
        <v/>
      </c>
      <c r="Q7" s="29" t="str">
        <f t="shared" si="4"/>
        <v/>
      </c>
      <c r="R7" s="45">
        <f t="shared" si="5"/>
        <v>531</v>
      </c>
      <c r="S7" s="45">
        <f t="shared" si="6"/>
        <v>1</v>
      </c>
      <c r="T7" s="29">
        <f t="shared" si="7"/>
        <v>0</v>
      </c>
      <c r="U7" s="29">
        <f t="shared" si="8"/>
        <v>0</v>
      </c>
      <c r="V7" s="29">
        <f t="shared" si="9"/>
        <v>8080</v>
      </c>
      <c r="W7" s="30">
        <f t="shared" si="10"/>
        <v>1</v>
      </c>
      <c r="X7" s="27" t="str">
        <f t="shared" si="11"/>
        <v>⚠ وصل 0 من 1 فواتير</v>
      </c>
      <c r="Y7" t="str">
        <f t="shared" si="12"/>
        <v>48593</v>
      </c>
      <c r="Z7" t="str">
        <f t="shared" si="13"/>
        <v>48593</v>
      </c>
    </row>
    <row r="8" spans="1:26" x14ac:dyDescent="0.25">
      <c r="A8" s="41" t="s">
        <v>86</v>
      </c>
      <c r="B8" s="36" t="str">
        <f>IF(Y8="","",IFERROR(INDEX('قائمة الأصناف'!$B$3:$B$1000,MATCH(Y8,'قائمة الأصناف'!$C$3:$C$1000,0)),"⚠ كود غير معرف"))</f>
        <v>بخاره حمراء</v>
      </c>
      <c r="C8" s="42">
        <v>1795</v>
      </c>
      <c r="D8" s="43">
        <v>8</v>
      </c>
      <c r="E8" s="29">
        <f t="shared" si="0"/>
        <v>14360</v>
      </c>
      <c r="F8" s="29">
        <f>IF(E8="","",E8*الإعدادات!$B$8)</f>
        <v>2154</v>
      </c>
      <c r="G8" s="29">
        <f t="shared" si="1"/>
        <v>16514</v>
      </c>
      <c r="H8" s="41" t="s">
        <v>86</v>
      </c>
      <c r="I8" s="36" t="str">
        <f>IF(Z8="","",IF(COUNTIF($Y$5:$Y$49,Z8)=0,"⚠ الصنف غير موجود في المبيعات",IFERROR(INDEX('قائمة الأصناف'!$B$3:$B$1000,MATCH(Z8,'قائمة الأصناف'!$C$3:$C$1000,0)),"⚠ كود غير معرف")))</f>
        <v>بخاره حمراء</v>
      </c>
      <c r="J8" s="27" t="str">
        <f t="shared" si="2"/>
        <v>✗ لم تصل من المورد</v>
      </c>
      <c r="K8" s="44" t="s">
        <v>1042</v>
      </c>
      <c r="L8" s="41"/>
      <c r="M8" s="42">
        <v>300</v>
      </c>
      <c r="N8" s="43"/>
      <c r="O8" s="29" t="str">
        <f t="shared" si="3"/>
        <v/>
      </c>
      <c r="P8" s="29" t="str">
        <f>IF(O8="","",O8*الإعدادات!$B$8)</f>
        <v/>
      </c>
      <c r="Q8" s="29" t="str">
        <f t="shared" si="4"/>
        <v/>
      </c>
      <c r="R8" s="45">
        <f t="shared" si="5"/>
        <v>300</v>
      </c>
      <c r="S8" s="45">
        <f t="shared" si="6"/>
        <v>1</v>
      </c>
      <c r="T8" s="29">
        <f t="shared" si="7"/>
        <v>0</v>
      </c>
      <c r="U8" s="29">
        <f t="shared" si="8"/>
        <v>0</v>
      </c>
      <c r="V8" s="29">
        <f t="shared" si="9"/>
        <v>14360</v>
      </c>
      <c r="W8" s="30">
        <f t="shared" si="10"/>
        <v>1</v>
      </c>
      <c r="X8" s="27" t="str">
        <f t="shared" si="11"/>
        <v>⚠ وصل 0 من 1 فواتير</v>
      </c>
      <c r="Y8" t="str">
        <f t="shared" si="12"/>
        <v>47810</v>
      </c>
      <c r="Z8" t="str">
        <f t="shared" si="13"/>
        <v>47810</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9095</v>
      </c>
      <c r="D50" s="31"/>
      <c r="E50" s="32">
        <f>SUM(E5:E49)</f>
        <v>52560</v>
      </c>
      <c r="F50" s="32">
        <f>SUM(F5:F49)</f>
        <v>7884</v>
      </c>
      <c r="G50" s="32">
        <f>SUM(G5:G49)</f>
        <v>60444</v>
      </c>
      <c r="H50" s="31"/>
      <c r="I50" s="31"/>
      <c r="J50" s="31"/>
      <c r="K50" s="31"/>
      <c r="L50" s="31"/>
      <c r="M50" s="46">
        <f>SUM(M5:M49)</f>
        <v>2751</v>
      </c>
      <c r="N50" s="31"/>
      <c r="O50" s="32">
        <f>SUM(O5:O49)</f>
        <v>0</v>
      </c>
      <c r="P50" s="32">
        <f>SUM(P5:P49)</f>
        <v>0</v>
      </c>
      <c r="Q50" s="32">
        <f>SUM(Q5:Q49)</f>
        <v>0</v>
      </c>
      <c r="R50" s="31"/>
      <c r="S50" s="31"/>
      <c r="T50" s="32">
        <f>SUM(T5:T49)</f>
        <v>0</v>
      </c>
      <c r="U50" s="31"/>
      <c r="V50" s="32">
        <f>SUM(V5:V49)</f>
        <v>52560</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28" priority="9">
      <formula>ISNUMBER(SEARCH("غير معرف",B5))</formula>
    </cfRule>
  </conditionalFormatting>
  <conditionalFormatting sqref="H5:Q49">
    <cfRule type="expression" dxfId="127" priority="2">
      <formula>AND($Z5&lt;&gt;"",COUNTIF($Y$5:$Y$49,$Z5)=0)</formula>
    </cfRule>
  </conditionalFormatting>
  <conditionalFormatting sqref="I5:I49">
    <cfRule type="expression" dxfId="126" priority="10">
      <formula>ISNUMBER(SEARCH("غير معرف",I5))</formula>
    </cfRule>
  </conditionalFormatting>
  <conditionalFormatting sqref="J5:J49">
    <cfRule type="expression" dxfId="125" priority="3">
      <formula>ISNUMBER(SEARCH("تم استلام",J5))</formula>
    </cfRule>
    <cfRule type="expression" dxfId="124" priority="4">
      <formula>ISNUMBER(SEARCH("لم تصل",J5))</formula>
    </cfRule>
  </conditionalFormatting>
  <conditionalFormatting sqref="V5:V50">
    <cfRule type="cellIs" dxfId="123" priority="5" operator="lessThan">
      <formula>0</formula>
    </cfRule>
  </conditionalFormatting>
  <conditionalFormatting sqref="X5:X49">
    <cfRule type="expression" dxfId="122" priority="6">
      <formula>ISNUMBER(SEARCH("اكتملت",X5))</formula>
    </cfRule>
    <cfRule type="expression" dxfId="121" priority="7">
      <formula>ISNUMBER(SEARCH("وصل ",X5))</formula>
    </cfRule>
    <cfRule type="expression" dxfId="120" priority="8">
      <formula>ISNUMBER(SEARCH("لا توجد",X5))</formula>
    </cfRule>
  </conditionalFormatting>
  <dataValidations count="1">
    <dataValidation type="list" allowBlank="1" sqref="H5:H49" xr:uid="{00000000-0002-0000-15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5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500-000000000000}">
          <x14:formula1>
            <xm:f>'قائمة الأصناف'!$A$3:$A$1000</xm:f>
          </x14:formula1>
          <x14:formula2>
            <xm:f>0</xm:f>
          </x14:formula2>
          <xm:sqref>A5:A49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20</v>
      </c>
      <c r="C1" s="16" t="s">
        <v>993</v>
      </c>
      <c r="D1" s="37">
        <f>IF($B$1&lt;=الإعدادات!$B$6,DATE(الإعدادات!$B$3,الإعدادات!$B$4,$B$1),"")</f>
        <v>46193</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102</v>
      </c>
      <c r="B5" s="36" t="str">
        <f>IF(Y5="","",IFERROR(INDEX('قائمة الأصناف'!$B$3:$B$1000,MATCH(Y5,'قائمة الأصناف'!$C$3:$C$1000,0)),"⚠ كود غير معرف"))</f>
        <v>ليمون بن زهير</v>
      </c>
      <c r="C5" s="42">
        <v>8000</v>
      </c>
      <c r="D5" s="43">
        <v>2.7</v>
      </c>
      <c r="E5" s="29">
        <f t="shared" ref="E5:E49" si="0">IF(OR(C5="",D5=""),"",C5*D5)</f>
        <v>21600</v>
      </c>
      <c r="F5" s="29">
        <f>IF(E5="","",E5*الإعدادات!$B$8)</f>
        <v>3240</v>
      </c>
      <c r="G5" s="29">
        <f t="shared" ref="G5:G49" si="1">IF(E5="","",E5+F5)</f>
        <v>24840</v>
      </c>
      <c r="H5" s="41" t="s">
        <v>102</v>
      </c>
      <c r="I5" s="36" t="str">
        <f>IF(Z5="","",IF(COUNTIF($Y$5:$Y$49,Z5)=0,"⚠ الصنف غير موجود في المبيعات",IFERROR(INDEX('قائمة الأصناف'!$B$3:$B$1000,MATCH(Z5,'قائمة الأصناف'!$C$3:$C$1000,0)),"⚠ كود غير معرف")))</f>
        <v>ليمون بن زهير</v>
      </c>
      <c r="J5" s="27" t="str">
        <f t="shared" ref="J5:J49" si="2">IF(AND(Z5="",TRIM(K5)="",M5="",N5=""),"",IF(AND(Z5&lt;&gt;"",COUNTIF($Y$5:$Y$49,Z5)=0),"✗ حُذف من المبيعات — مستبعد من الحساب",IF(N5="","✗ لم تصل من المورد","✓ تم استلام الفاتورة")))</f>
        <v>✗ لم تصل من المورد</v>
      </c>
      <c r="K5" s="44" t="s">
        <v>1048</v>
      </c>
      <c r="L5" s="41"/>
      <c r="M5" s="42">
        <v>1320</v>
      </c>
      <c r="N5" s="43"/>
      <c r="O5" s="29" t="str">
        <f t="shared" ref="O5:O49" si="3">IF(OR(M5="",N5=""),"",IF(COUNTIF($Y$5:$Y$49,Z5)=0,"",M5*N5))</f>
        <v/>
      </c>
      <c r="P5" s="29" t="str">
        <f>IF(O5="","",O5*الإعدادات!$B$8)</f>
        <v/>
      </c>
      <c r="Q5" s="29" t="str">
        <f t="shared" ref="Q5:Q49" si="4">IF(O5="","",O5+P5)</f>
        <v/>
      </c>
      <c r="R5" s="45">
        <f t="shared" ref="R5:R49" si="5">IF(Y5="","",SUMIFS($M$5:$M$49,$Z$5:$Z$49,Y5))</f>
        <v>1320</v>
      </c>
      <c r="S5" s="45">
        <f t="shared" ref="S5:S49" si="6">IF(Y5="","",COUNTIFS($Z$5:$Z$49,Y5))</f>
        <v>1</v>
      </c>
      <c r="T5" s="29">
        <f t="shared" ref="T5:T49" si="7">IF(Y5="","",SUMIFS($O$5:$O$49,$Z$5:$Z$49,Y5))</f>
        <v>0</v>
      </c>
      <c r="U5" s="29">
        <f t="shared" ref="U5:U49" si="8">IF(Y5="","",IF(N(R5)=0,"",T5/R5))</f>
        <v>0</v>
      </c>
      <c r="V5" s="29">
        <f t="shared" ref="V5:V49" si="9">IF(Y5="","",N(E5)-T5)</f>
        <v>21600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48318</v>
      </c>
      <c r="Z5" t="str">
        <f t="shared" ref="Z5:Z49" si="13">IF(TRIM(H5)="","",IF(ISNUMBER(VALUE(TRIM(H5))),TEXT(VALUE(TRIM(H5)),"0"),TRIM(H5)))</f>
        <v>48318</v>
      </c>
    </row>
    <row r="6" spans="1:26" x14ac:dyDescent="0.25">
      <c r="A6" s="41" t="s">
        <v>108</v>
      </c>
      <c r="B6" s="36" t="str">
        <f>IF(Y6="","",IFERROR(INDEX('قائمة الأصناف'!$B$3:$B$1000,MATCH(Y6,'قائمة الأصناف'!$C$3:$C$1000,0)),"⚠ كود غير معرف"))</f>
        <v>عنب احمر سدلس</v>
      </c>
      <c r="C6" s="42">
        <v>792</v>
      </c>
      <c r="D6" s="43">
        <v>7.5</v>
      </c>
      <c r="E6" s="29">
        <f t="shared" si="0"/>
        <v>5940</v>
      </c>
      <c r="F6" s="29">
        <f>IF(E6="","",E6*الإعدادات!$B$8)</f>
        <v>891</v>
      </c>
      <c r="G6" s="29">
        <f t="shared" si="1"/>
        <v>6831</v>
      </c>
      <c r="H6" s="41" t="s">
        <v>108</v>
      </c>
      <c r="I6" s="36" t="str">
        <f>IF(Z6="","",IF(COUNTIF($Y$5:$Y$49,Z6)=0,"⚠ الصنف غير موجود في المبيعات",IFERROR(INDEX('قائمة الأصناف'!$B$3:$B$1000,MATCH(Z6,'قائمة الأصناف'!$C$3:$C$1000,0)),"⚠ كود غير معرف")))</f>
        <v>عنب احمر سدلس</v>
      </c>
      <c r="J6" s="27" t="str">
        <f t="shared" si="2"/>
        <v>✗ لم تصل من المورد</v>
      </c>
      <c r="K6" s="44" t="s">
        <v>1049</v>
      </c>
      <c r="L6" s="41"/>
      <c r="M6" s="42">
        <v>219</v>
      </c>
      <c r="N6" s="43"/>
      <c r="O6" s="29" t="str">
        <f t="shared" si="3"/>
        <v/>
      </c>
      <c r="P6" s="29" t="str">
        <f>IF(O6="","",O6*الإعدادات!$B$8)</f>
        <v/>
      </c>
      <c r="Q6" s="29" t="str">
        <f t="shared" si="4"/>
        <v/>
      </c>
      <c r="R6" s="45">
        <f t="shared" si="5"/>
        <v>219</v>
      </c>
      <c r="S6" s="45">
        <f t="shared" si="6"/>
        <v>1</v>
      </c>
      <c r="T6" s="29">
        <f t="shared" si="7"/>
        <v>0</v>
      </c>
      <c r="U6" s="29">
        <f t="shared" si="8"/>
        <v>0</v>
      </c>
      <c r="V6" s="29">
        <f t="shared" si="9"/>
        <v>5940</v>
      </c>
      <c r="W6" s="30">
        <f t="shared" si="10"/>
        <v>1</v>
      </c>
      <c r="X6" s="27" t="str">
        <f t="shared" si="11"/>
        <v>⚠ وصل 0 من 1 فواتير</v>
      </c>
      <c r="Y6" t="str">
        <f t="shared" si="12"/>
        <v>48643</v>
      </c>
      <c r="Z6" t="str">
        <f t="shared" si="13"/>
        <v>48643</v>
      </c>
    </row>
    <row r="7" spans="1:26" x14ac:dyDescent="0.25">
      <c r="A7" s="41" t="s">
        <v>113</v>
      </c>
      <c r="B7" s="36" t="str">
        <f>IF(Y7="","",IFERROR(INDEX('قائمة الأصناف'!$B$3:$B$1000,MATCH(Y7,'قائمة الأصناف'!$C$3:$C$1000,0)),"⚠ كود غير معرف"))</f>
        <v>CHERRYSMALLBOX</v>
      </c>
      <c r="C7" s="42">
        <v>3600</v>
      </c>
      <c r="D7" s="43">
        <v>5.8</v>
      </c>
      <c r="E7" s="29">
        <f t="shared" si="0"/>
        <v>20880</v>
      </c>
      <c r="F7" s="29">
        <f>IF(E7="","",E7*الإعدادات!$B$8)</f>
        <v>3132</v>
      </c>
      <c r="G7" s="29">
        <f t="shared" si="1"/>
        <v>24012</v>
      </c>
      <c r="H7" s="41" t="s">
        <v>113</v>
      </c>
      <c r="I7" s="36" t="str">
        <f>IF(Z7="","",IF(COUNTIF($Y$5:$Y$49,Z7)=0,"⚠ الصنف غير موجود في المبيعات",IFERROR(INDEX('قائمة الأصناف'!$B$3:$B$1000,MATCH(Z7,'قائمة الأصناف'!$C$3:$C$1000,0)),"⚠ كود غير معرف")))</f>
        <v>CHERRYSMALLBOX</v>
      </c>
      <c r="J7" s="27" t="str">
        <f t="shared" si="2"/>
        <v>✗ لم تصل من المورد</v>
      </c>
      <c r="K7" s="44" t="s">
        <v>1043</v>
      </c>
      <c r="L7" s="41"/>
      <c r="M7" s="42">
        <v>1800</v>
      </c>
      <c r="N7" s="43"/>
      <c r="O7" s="29" t="str">
        <f t="shared" si="3"/>
        <v/>
      </c>
      <c r="P7" s="29" t="str">
        <f>IF(O7="","",O7*الإعدادات!$B$8)</f>
        <v/>
      </c>
      <c r="Q7" s="29" t="str">
        <f t="shared" si="4"/>
        <v/>
      </c>
      <c r="R7" s="45">
        <f t="shared" si="5"/>
        <v>1800</v>
      </c>
      <c r="S7" s="45">
        <f t="shared" si="6"/>
        <v>1</v>
      </c>
      <c r="T7" s="29">
        <f t="shared" si="7"/>
        <v>0</v>
      </c>
      <c r="U7" s="29">
        <f t="shared" si="8"/>
        <v>0</v>
      </c>
      <c r="V7" s="29">
        <f t="shared" si="9"/>
        <v>20880</v>
      </c>
      <c r="W7" s="30">
        <f t="shared" si="10"/>
        <v>1</v>
      </c>
      <c r="X7" s="27" t="str">
        <f t="shared" si="11"/>
        <v>⚠ وصل 0 من 1 فواتير</v>
      </c>
      <c r="Y7" t="str">
        <f t="shared" si="12"/>
        <v>48586</v>
      </c>
      <c r="Z7" t="str">
        <f t="shared" si="13"/>
        <v>48586</v>
      </c>
    </row>
    <row r="8" spans="1:26" x14ac:dyDescent="0.25">
      <c r="A8" s="41" t="s">
        <v>110</v>
      </c>
      <c r="B8" s="36" t="str">
        <f>IF(Y8="","",IFERROR(INDEX('قائمة الأصناف'!$B$3:$B$1000,MATCH(Y8,'قائمة الأصناف'!$C$3:$C$1000,0)),"⚠ كود غير معرف"))</f>
        <v>GRAPEFRUIT</v>
      </c>
      <c r="C8" s="42">
        <v>950</v>
      </c>
      <c r="D8" s="43">
        <v>5</v>
      </c>
      <c r="E8" s="29">
        <f t="shared" si="0"/>
        <v>4750</v>
      </c>
      <c r="F8" s="29">
        <f>IF(E8="","",E8*الإعدادات!$B$8)</f>
        <v>712.5</v>
      </c>
      <c r="G8" s="29">
        <f t="shared" si="1"/>
        <v>5462.5</v>
      </c>
      <c r="H8" s="41" t="s">
        <v>110</v>
      </c>
      <c r="I8" s="36" t="str">
        <f>IF(Z8="","",IF(COUNTIF($Y$5:$Y$49,Z8)=0,"⚠ الصنف غير موجود في المبيعات",IFERROR(INDEX('قائمة الأصناف'!$B$3:$B$1000,MATCH(Z8,'قائمة الأصناف'!$C$3:$C$1000,0)),"⚠ كود غير معرف")))</f>
        <v>GRAPEFRUIT</v>
      </c>
      <c r="J8" s="27" t="str">
        <f t="shared" si="2"/>
        <v>✗ لم تصل من المورد</v>
      </c>
      <c r="K8" s="44" t="s">
        <v>1042</v>
      </c>
      <c r="L8" s="41"/>
      <c r="M8" s="42">
        <v>59</v>
      </c>
      <c r="N8" s="43"/>
      <c r="O8" s="29" t="str">
        <f t="shared" si="3"/>
        <v/>
      </c>
      <c r="P8" s="29" t="str">
        <f>IF(O8="","",O8*الإعدادات!$B$8)</f>
        <v/>
      </c>
      <c r="Q8" s="29" t="str">
        <f t="shared" si="4"/>
        <v/>
      </c>
      <c r="R8" s="45">
        <f t="shared" si="5"/>
        <v>59</v>
      </c>
      <c r="S8" s="45">
        <f t="shared" si="6"/>
        <v>1</v>
      </c>
      <c r="T8" s="29">
        <f t="shared" si="7"/>
        <v>0</v>
      </c>
      <c r="U8" s="29">
        <f t="shared" si="8"/>
        <v>0</v>
      </c>
      <c r="V8" s="29">
        <f t="shared" si="9"/>
        <v>4750</v>
      </c>
      <c r="W8" s="30">
        <f t="shared" si="10"/>
        <v>1</v>
      </c>
      <c r="X8" s="27" t="str">
        <f t="shared" si="11"/>
        <v>⚠ وصل 0 من 1 فواتير</v>
      </c>
      <c r="Y8" t="str">
        <f t="shared" si="12"/>
        <v>48402</v>
      </c>
      <c r="Z8" t="str">
        <f t="shared" si="13"/>
        <v>48402</v>
      </c>
    </row>
    <row r="9" spans="1:26" x14ac:dyDescent="0.25">
      <c r="A9" s="41" t="s">
        <v>72</v>
      </c>
      <c r="B9" s="36" t="str">
        <f>IF(Y9="","",IFERROR(INDEX('قائمة الأصناف'!$B$3:$B$1000,MATCH(Y9,'قائمة الأصناف'!$C$3:$C$1000,0)),"⚠ كود غير معرف"))</f>
        <v>كمثري</v>
      </c>
      <c r="C9" s="42">
        <v>3111</v>
      </c>
      <c r="D9" s="43">
        <v>8</v>
      </c>
      <c r="E9" s="29">
        <f t="shared" si="0"/>
        <v>24888</v>
      </c>
      <c r="F9" s="29">
        <f>IF(E9="","",E9*الإعدادات!$B$8)</f>
        <v>3733.2</v>
      </c>
      <c r="G9" s="29">
        <f t="shared" si="1"/>
        <v>28621.200000000001</v>
      </c>
      <c r="H9" s="41" t="s">
        <v>72</v>
      </c>
      <c r="I9" s="36" t="str">
        <f>IF(Z9="","",IF(COUNTIF($Y$5:$Y$49,Z9)=0,"⚠ الصنف غير موجود في المبيعات",IFERROR(INDEX('قائمة الأصناف'!$B$3:$B$1000,MATCH(Z9,'قائمة الأصناف'!$C$3:$C$1000,0)),"⚠ كود غير معرف")))</f>
        <v>كمثري</v>
      </c>
      <c r="J9" s="27" t="str">
        <f t="shared" si="2"/>
        <v>✗ لم تصل من المورد</v>
      </c>
      <c r="K9" s="44" t="s">
        <v>1050</v>
      </c>
      <c r="L9" s="41"/>
      <c r="M9" s="42">
        <v>252</v>
      </c>
      <c r="N9" s="43"/>
      <c r="O9" s="29" t="str">
        <f t="shared" si="3"/>
        <v/>
      </c>
      <c r="P9" s="29" t="str">
        <f>IF(O9="","",O9*الإعدادات!$B$8)</f>
        <v/>
      </c>
      <c r="Q9" s="29" t="str">
        <f t="shared" si="4"/>
        <v/>
      </c>
      <c r="R9" s="45">
        <f t="shared" si="5"/>
        <v>252</v>
      </c>
      <c r="S9" s="45">
        <f t="shared" si="6"/>
        <v>1</v>
      </c>
      <c r="T9" s="29">
        <f t="shared" si="7"/>
        <v>0</v>
      </c>
      <c r="U9" s="29">
        <f t="shared" si="8"/>
        <v>0</v>
      </c>
      <c r="V9" s="29">
        <f t="shared" si="9"/>
        <v>24888</v>
      </c>
      <c r="W9" s="30">
        <f t="shared" si="10"/>
        <v>1</v>
      </c>
      <c r="X9" s="27" t="str">
        <f t="shared" si="11"/>
        <v>⚠ وصل 0 من 1 فواتير</v>
      </c>
      <c r="Y9" t="str">
        <f t="shared" si="12"/>
        <v>47884</v>
      </c>
      <c r="Z9" t="str">
        <f t="shared" si="13"/>
        <v>47884</v>
      </c>
    </row>
    <row r="10" spans="1:26" x14ac:dyDescent="0.25">
      <c r="A10" s="41" t="s">
        <v>52</v>
      </c>
      <c r="B10" s="36" t="str">
        <f>IF(Y10="","",IFERROR(INDEX('قائمة الأصناف'!$B$3:$B$1000,MATCH(Y10,'قائمة الأصناف'!$C$3:$C$1000,0)),"⚠ كود غير معرف"))</f>
        <v>برتقال أبو صره</v>
      </c>
      <c r="C10" s="42">
        <v>4664</v>
      </c>
      <c r="D10" s="43">
        <v>6.5</v>
      </c>
      <c r="E10" s="29">
        <f t="shared" si="0"/>
        <v>30316</v>
      </c>
      <c r="F10" s="29">
        <f>IF(E10="","",E10*الإعدادات!$B$8)</f>
        <v>4547.3999999999996</v>
      </c>
      <c r="G10" s="29">
        <f t="shared" si="1"/>
        <v>34863.4</v>
      </c>
      <c r="H10" s="41" t="s">
        <v>52</v>
      </c>
      <c r="I10" s="36" t="str">
        <f>IF(Z10="","",IF(COUNTIF($Y$5:$Y$49,Z10)=0,"⚠ الصنف غير موجود في المبيعات",IFERROR(INDEX('قائمة الأصناف'!$B$3:$B$1000,MATCH(Z10,'قائمة الأصناف'!$C$3:$C$1000,0)),"⚠ كود غير معرف")))</f>
        <v>برتقال أبو صره</v>
      </c>
      <c r="J10" s="27" t="str">
        <f t="shared" si="2"/>
        <v>✗ لم تصل من المورد</v>
      </c>
      <c r="K10" s="44" t="s">
        <v>1036</v>
      </c>
      <c r="L10" s="41"/>
      <c r="M10" s="42">
        <v>208</v>
      </c>
      <c r="N10" s="43"/>
      <c r="O10" s="29" t="str">
        <f t="shared" si="3"/>
        <v/>
      </c>
      <c r="P10" s="29" t="str">
        <f>IF(O10="","",O10*الإعدادات!$B$8)</f>
        <v/>
      </c>
      <c r="Q10" s="29" t="str">
        <f t="shared" si="4"/>
        <v/>
      </c>
      <c r="R10" s="45">
        <f t="shared" si="5"/>
        <v>515</v>
      </c>
      <c r="S10" s="45">
        <f t="shared" si="6"/>
        <v>2</v>
      </c>
      <c r="T10" s="29">
        <f t="shared" si="7"/>
        <v>0</v>
      </c>
      <c r="U10" s="29">
        <f t="shared" si="8"/>
        <v>0</v>
      </c>
      <c r="V10" s="29">
        <f t="shared" si="9"/>
        <v>30316</v>
      </c>
      <c r="W10" s="30">
        <f t="shared" si="10"/>
        <v>1</v>
      </c>
      <c r="X10" s="27" t="str">
        <f t="shared" si="11"/>
        <v>⚠ وصل 0 من 2 فواتير</v>
      </c>
      <c r="Y10" t="str">
        <f t="shared" si="12"/>
        <v>47906</v>
      </c>
      <c r="Z10" t="str">
        <f t="shared" si="13"/>
        <v>47906</v>
      </c>
    </row>
    <row r="11" spans="1:26" x14ac:dyDescent="0.25">
      <c r="A11" s="41" t="s">
        <v>52</v>
      </c>
      <c r="B11" s="36" t="str">
        <f>IF(Y11="","",IFERROR(INDEX('قائمة الأصناف'!$B$3:$B$1000,MATCH(Y11,'قائمة الأصناف'!$C$3:$C$1000,0)),"⚠ كود غير معرف"))</f>
        <v>برتقال أبو صره</v>
      </c>
      <c r="C11" s="42"/>
      <c r="D11" s="43"/>
      <c r="E11" s="29" t="str">
        <f t="shared" si="0"/>
        <v/>
      </c>
      <c r="F11" s="29" t="str">
        <f>IF(E11="","",E11*الإعدادات!$B$8)</f>
        <v/>
      </c>
      <c r="G11" s="29" t="str">
        <f t="shared" si="1"/>
        <v/>
      </c>
      <c r="H11" s="41" t="s">
        <v>52</v>
      </c>
      <c r="I11" s="36" t="str">
        <f>IF(Z11="","",IF(COUNTIF($Y$5:$Y$49,Z11)=0,"⚠ الصنف غير موجود في المبيعات",IFERROR(INDEX('قائمة الأصناف'!$B$3:$B$1000,MATCH(Z11,'قائمة الأصناف'!$C$3:$C$1000,0)),"⚠ كود غير معرف")))</f>
        <v>برتقال أبو صره</v>
      </c>
      <c r="J11" s="27" t="str">
        <f t="shared" si="2"/>
        <v>✗ لم تصل من المورد</v>
      </c>
      <c r="K11" s="44" t="s">
        <v>1036</v>
      </c>
      <c r="L11" s="41"/>
      <c r="M11" s="42">
        <v>307</v>
      </c>
      <c r="N11" s="43"/>
      <c r="O11" s="29" t="str">
        <f t="shared" si="3"/>
        <v/>
      </c>
      <c r="P11" s="29" t="str">
        <f>IF(O11="","",O11*الإعدادات!$B$8)</f>
        <v/>
      </c>
      <c r="Q11" s="29" t="str">
        <f t="shared" si="4"/>
        <v/>
      </c>
      <c r="R11" s="45">
        <f t="shared" si="5"/>
        <v>515</v>
      </c>
      <c r="S11" s="45">
        <f t="shared" si="6"/>
        <v>2</v>
      </c>
      <c r="T11" s="29">
        <f t="shared" si="7"/>
        <v>0</v>
      </c>
      <c r="U11" s="29">
        <f t="shared" si="8"/>
        <v>0</v>
      </c>
      <c r="V11" s="29">
        <f t="shared" si="9"/>
        <v>0</v>
      </c>
      <c r="W11" s="30" t="str">
        <f t="shared" si="10"/>
        <v/>
      </c>
      <c r="X11" s="27" t="str">
        <f t="shared" si="11"/>
        <v>⚠ وصل 0 من 2 فواتير</v>
      </c>
      <c r="Y11" t="str">
        <f t="shared" si="12"/>
        <v>47906</v>
      </c>
      <c r="Z11" t="str">
        <f t="shared" si="13"/>
        <v>47906</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21117</v>
      </c>
      <c r="D50" s="31"/>
      <c r="E50" s="32">
        <f>SUM(E5:E49)</f>
        <v>108374</v>
      </c>
      <c r="F50" s="32">
        <f>SUM(F5:F49)</f>
        <v>16256.1</v>
      </c>
      <c r="G50" s="32">
        <f>SUM(G5:G49)</f>
        <v>124630.1</v>
      </c>
      <c r="H50" s="31"/>
      <c r="I50" s="31"/>
      <c r="J50" s="31"/>
      <c r="K50" s="31"/>
      <c r="L50" s="31"/>
      <c r="M50" s="46">
        <f>SUM(M5:M49)</f>
        <v>4165</v>
      </c>
      <c r="N50" s="31"/>
      <c r="O50" s="32">
        <f>SUM(O5:O49)</f>
        <v>0</v>
      </c>
      <c r="P50" s="32">
        <f>SUM(P5:P49)</f>
        <v>0</v>
      </c>
      <c r="Q50" s="32">
        <f>SUM(Q5:Q49)</f>
        <v>0</v>
      </c>
      <c r="R50" s="31"/>
      <c r="S50" s="31"/>
      <c r="T50" s="32">
        <f>SUM(T5:T49)</f>
        <v>0</v>
      </c>
      <c r="U50" s="31"/>
      <c r="V50" s="32">
        <f>SUM(V5:V49)</f>
        <v>108374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18" priority="9">
      <formula>ISNUMBER(SEARCH("غير معرف",B5))</formula>
    </cfRule>
  </conditionalFormatting>
  <conditionalFormatting sqref="H5:Q49">
    <cfRule type="expression" dxfId="117" priority="2">
      <formula>AND($Z5&lt;&gt;"",COUNTIF($Y$5:$Y$49,$Z5)=0)</formula>
    </cfRule>
  </conditionalFormatting>
  <conditionalFormatting sqref="I5:I49">
    <cfRule type="expression" dxfId="116" priority="10">
      <formula>ISNUMBER(SEARCH("غير معرف",I5))</formula>
    </cfRule>
  </conditionalFormatting>
  <conditionalFormatting sqref="J5:J49">
    <cfRule type="expression" dxfId="115" priority="3">
      <formula>ISNUMBER(SEARCH("تم استلام",J5))</formula>
    </cfRule>
    <cfRule type="expression" dxfId="114" priority="4">
      <formula>ISNUMBER(SEARCH("لم تصل",J5))</formula>
    </cfRule>
  </conditionalFormatting>
  <conditionalFormatting sqref="V5:V50">
    <cfRule type="cellIs" dxfId="113" priority="5" operator="lessThan">
      <formula>0</formula>
    </cfRule>
  </conditionalFormatting>
  <conditionalFormatting sqref="X5:X49">
    <cfRule type="expression" dxfId="112" priority="6">
      <formula>ISNUMBER(SEARCH("اكتملت",X5))</formula>
    </cfRule>
    <cfRule type="expression" dxfId="111" priority="7">
      <formula>ISNUMBER(SEARCH("وصل ",X5))</formula>
    </cfRule>
    <cfRule type="expression" dxfId="110" priority="8">
      <formula>ISNUMBER(SEARCH("لا توجد",X5))</formula>
    </cfRule>
  </conditionalFormatting>
  <dataValidations count="1">
    <dataValidation type="list" allowBlank="1" sqref="H5:H49" xr:uid="{00000000-0002-0000-16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6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600-000000000000}">
          <x14:formula1>
            <xm:f>'قائمة الأصناف'!$A$3:$A$1000</xm:f>
          </x14:formula1>
          <x14:formula2>
            <xm:f>0</xm:f>
          </x14:formula2>
          <xm:sqref>A5:A49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21</v>
      </c>
      <c r="C1" s="16" t="s">
        <v>993</v>
      </c>
      <c r="D1" s="37">
        <f>IF($B$1&lt;=الإعدادات!$B$6,DATE(الإعدادات!$B$3,الإعدادات!$B$4,$B$1),"")</f>
        <v>46194</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104</v>
      </c>
      <c r="B5" s="36" t="str">
        <f>IF(Y5="","",IFERROR(INDEX('قائمة الأصناف'!$B$3:$B$1000,MATCH(Y5,'قائمة الأصناف'!$C$3:$C$1000,0)),"⚠ كود غير معرف"))</f>
        <v>خس</v>
      </c>
      <c r="C5" s="42">
        <v>810</v>
      </c>
      <c r="D5" s="43">
        <v>6</v>
      </c>
      <c r="E5" s="29">
        <f t="shared" ref="E5:E49" si="0">IF(OR(C5="",D5=""),"",C5*D5)</f>
        <v>4860</v>
      </c>
      <c r="F5" s="29">
        <f>IF(E5="","",E5*الإعدادات!$B$8)</f>
        <v>729</v>
      </c>
      <c r="G5" s="29">
        <f t="shared" ref="G5:G49" si="1">IF(E5="","",E5+F5)</f>
        <v>5589</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4860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48394</v>
      </c>
      <c r="Z5" t="str">
        <f t="shared" ref="Z5:Z49" si="13">IF(TRIM(H5)="","",IF(ISNUMBER(VALUE(TRIM(H5))),TEXT(VALUE(TRIM(H5)),"0"),TRIM(H5)))</f>
        <v/>
      </c>
    </row>
    <row r="6" spans="1:26" x14ac:dyDescent="0.25">
      <c r="A6" s="41" t="s">
        <v>96</v>
      </c>
      <c r="B6" s="36" t="str">
        <f>IF(Y6="","",IFERROR(INDEX('قائمة الأصناف'!$B$3:$B$1000,MATCH(Y6,'قائمة الأصناف'!$C$3:$C$1000,0)),"⚠ كود غير معرف"))</f>
        <v>بطاطا حلوه</v>
      </c>
      <c r="C6" s="42">
        <v>1882</v>
      </c>
      <c r="D6" s="43">
        <v>5</v>
      </c>
      <c r="E6" s="29">
        <f t="shared" si="0"/>
        <v>9410</v>
      </c>
      <c r="F6" s="29">
        <f>IF(E6="","",E6*الإعدادات!$B$8)</f>
        <v>1411.5</v>
      </c>
      <c r="G6" s="29">
        <f t="shared" si="1"/>
        <v>10821.5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9410</v>
      </c>
      <c r="W6" s="30">
        <f t="shared" si="10"/>
        <v>1</v>
      </c>
      <c r="X6" s="27" t="str">
        <f t="shared" si="11"/>
        <v>⏳ لا توجد فواتير شراء</v>
      </c>
      <c r="Y6" t="str">
        <f t="shared" si="12"/>
        <v>48217</v>
      </c>
      <c r="Z6" t="str">
        <f t="shared" si="13"/>
        <v/>
      </c>
    </row>
    <row r="7" spans="1:26" x14ac:dyDescent="0.25">
      <c r="A7" s="41" t="s">
        <v>58</v>
      </c>
      <c r="B7" s="36" t="str">
        <f>IF(Y7="","",IFERROR(INDEX('قائمة الأصناف'!$B$3:$B$1000,MATCH(Y7,'قائمة الأصناف'!$C$3:$C$1000,0)),"⚠ كود غير معرف"))</f>
        <v>كلمنتينا</v>
      </c>
      <c r="C7" s="42">
        <v>2645</v>
      </c>
      <c r="D7" s="43">
        <v>5</v>
      </c>
      <c r="E7" s="29">
        <f t="shared" si="0"/>
        <v>13225</v>
      </c>
      <c r="F7" s="29">
        <f>IF(E7="","",E7*الإعدادات!$B$8)</f>
        <v>1983.75</v>
      </c>
      <c r="G7" s="29">
        <f t="shared" si="1"/>
        <v>15208.75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13225</v>
      </c>
      <c r="W7" s="30">
        <f t="shared" si="10"/>
        <v>1</v>
      </c>
      <c r="X7" s="27" t="str">
        <f t="shared" si="11"/>
        <v>⏳ لا توجد فواتير شراء</v>
      </c>
      <c r="Y7" t="str">
        <f t="shared" si="12"/>
        <v>48432</v>
      </c>
      <c r="Z7" t="str">
        <f t="shared" si="13"/>
        <v/>
      </c>
    </row>
    <row r="8" spans="1:26" x14ac:dyDescent="0.25">
      <c r="A8" s="41" t="s">
        <v>88</v>
      </c>
      <c r="B8" s="36" t="str">
        <f>IF(Y8="","",IFERROR(INDEX('قائمة الأصناف'!$B$3:$B$1000,MATCH(Y8,'قائمة الأصناف'!$C$3:$C$1000,0)),"⚠ كود غير معرف"))</f>
        <v>موز</v>
      </c>
      <c r="C8" s="42">
        <v>3565</v>
      </c>
      <c r="D8" s="43">
        <v>5</v>
      </c>
      <c r="E8" s="29">
        <f t="shared" si="0"/>
        <v>17825</v>
      </c>
      <c r="F8" s="29">
        <f>IF(E8="","",E8*الإعدادات!$B$8)</f>
        <v>2673.75</v>
      </c>
      <c r="G8" s="29">
        <f t="shared" si="1"/>
        <v>20498.75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17825</v>
      </c>
      <c r="W8" s="30">
        <f t="shared" si="10"/>
        <v>1</v>
      </c>
      <c r="X8" s="27" t="str">
        <f t="shared" si="11"/>
        <v>⏳ لا توجد فواتير شراء</v>
      </c>
      <c r="Y8" t="str">
        <f t="shared" si="12"/>
        <v>48595</v>
      </c>
      <c r="Z8" t="str">
        <f t="shared" si="13"/>
        <v/>
      </c>
    </row>
    <row r="9" spans="1:26" x14ac:dyDescent="0.25">
      <c r="A9" s="41" t="s">
        <v>70</v>
      </c>
      <c r="B9" s="36" t="str">
        <f>IF(Y9="","",IFERROR(INDEX('قائمة الأصناف'!$B$3:$B$1000,MATCH(Y9,'قائمة الأصناف'!$C$3:$C$1000,0)),"⚠ كود غير معرف"))</f>
        <v>عنب ابيض</v>
      </c>
      <c r="C9" s="42">
        <v>1554</v>
      </c>
      <c r="D9" s="43">
        <v>8.5</v>
      </c>
      <c r="E9" s="29">
        <f t="shared" si="0"/>
        <v>13209</v>
      </c>
      <c r="F9" s="29">
        <f>IF(E9="","",E9*الإعدادات!$B$8)</f>
        <v>1981.35</v>
      </c>
      <c r="G9" s="29">
        <f t="shared" si="1"/>
        <v>15190.35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13209</v>
      </c>
      <c r="W9" s="30">
        <f t="shared" si="10"/>
        <v>1</v>
      </c>
      <c r="X9" s="27" t="str">
        <f t="shared" si="11"/>
        <v>⏳ لا توجد فواتير شراء</v>
      </c>
      <c r="Y9" t="str">
        <f t="shared" si="12"/>
        <v>48575</v>
      </c>
      <c r="Z9" t="str">
        <f t="shared" si="13"/>
        <v/>
      </c>
    </row>
    <row r="10" spans="1:26" x14ac:dyDescent="0.25">
      <c r="A10" s="41" t="s">
        <v>78</v>
      </c>
      <c r="B10" s="36" t="str">
        <f>IF(Y10="","",IFERROR(INDEX('قائمة الأصناف'!$B$3:$B$1000,MATCH(Y10,'قائمة الأصناف'!$C$3:$C$1000,0)),"⚠ كود غير معرف"))</f>
        <v>كيوي</v>
      </c>
      <c r="C10" s="42">
        <v>1200</v>
      </c>
      <c r="D10" s="43">
        <v>13</v>
      </c>
      <c r="E10" s="29">
        <f t="shared" si="0"/>
        <v>15600</v>
      </c>
      <c r="F10" s="29">
        <f>IF(E10="","",E10*الإعدادات!$B$8)</f>
        <v>2340</v>
      </c>
      <c r="G10" s="29">
        <f t="shared" si="1"/>
        <v>17940</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15600</v>
      </c>
      <c r="W10" s="30">
        <f t="shared" si="10"/>
        <v>1</v>
      </c>
      <c r="X10" s="27" t="str">
        <f t="shared" si="11"/>
        <v>⏳ لا توجد فواتير شراء</v>
      </c>
      <c r="Y10" t="str">
        <f t="shared" si="12"/>
        <v>47786</v>
      </c>
      <c r="Z10" t="str">
        <f t="shared" si="13"/>
        <v/>
      </c>
    </row>
    <row r="11" spans="1:26" x14ac:dyDescent="0.25">
      <c r="A11" s="41" t="s">
        <v>52</v>
      </c>
      <c r="B11" s="36" t="str">
        <f>IF(Y11="","",IFERROR(INDEX('قائمة الأصناف'!$B$3:$B$1000,MATCH(Y11,'قائمة الأصناف'!$C$3:$C$1000,0)),"⚠ كود غير معرف"))</f>
        <v>برتقال أبو صره</v>
      </c>
      <c r="C11" s="42">
        <v>2853</v>
      </c>
      <c r="D11" s="43">
        <v>6.5</v>
      </c>
      <c r="E11" s="29">
        <f t="shared" si="0"/>
        <v>18544.5</v>
      </c>
      <c r="F11" s="29">
        <f>IF(E11="","",E11*الإعدادات!$B$8)</f>
        <v>2781.6749999999997</v>
      </c>
      <c r="G11" s="29">
        <f t="shared" si="1"/>
        <v>21326.174999999999</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18544.5</v>
      </c>
      <c r="W11" s="30">
        <f t="shared" si="10"/>
        <v>1</v>
      </c>
      <c r="X11" s="27" t="str">
        <f t="shared" si="11"/>
        <v>⏳ لا توجد فواتير شراء</v>
      </c>
      <c r="Y11" t="str">
        <f t="shared" si="12"/>
        <v>47906</v>
      </c>
      <c r="Z11" t="str">
        <f t="shared" si="13"/>
        <v/>
      </c>
    </row>
    <row r="12" spans="1:26" x14ac:dyDescent="0.25">
      <c r="A12" s="41" t="s">
        <v>113</v>
      </c>
      <c r="B12" s="36" t="str">
        <f>IF(Y12="","",IFERROR(INDEX('قائمة الأصناف'!$B$3:$B$1000,MATCH(Y12,'قائمة الأصناف'!$C$3:$C$1000,0)),"⚠ كود غير معرف"))</f>
        <v>CHERRYSMALLBOX</v>
      </c>
      <c r="C12" s="42">
        <v>2800</v>
      </c>
      <c r="D12" s="43">
        <v>5.8</v>
      </c>
      <c r="E12" s="29">
        <f t="shared" si="0"/>
        <v>16240</v>
      </c>
      <c r="F12" s="29">
        <f>IF(E12="","",E12*الإعدادات!$B$8)</f>
        <v>2436</v>
      </c>
      <c r="G12" s="29">
        <f t="shared" si="1"/>
        <v>18676</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16240</v>
      </c>
      <c r="W12" s="30">
        <f t="shared" si="10"/>
        <v>1</v>
      </c>
      <c r="X12" s="27" t="str">
        <f t="shared" si="11"/>
        <v>⏳ لا توجد فواتير شراء</v>
      </c>
      <c r="Y12" t="str">
        <f t="shared" si="12"/>
        <v>48586</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17309</v>
      </c>
      <c r="D50" s="31"/>
      <c r="E50" s="32">
        <f>SUM(E5:E49)</f>
        <v>108913.5</v>
      </c>
      <c r="F50" s="32">
        <f>SUM(F5:F49)</f>
        <v>16337.025</v>
      </c>
      <c r="G50" s="32">
        <f>SUM(G5:G49)</f>
        <v>125250.52500000001</v>
      </c>
      <c r="H50" s="31"/>
      <c r="I50" s="31"/>
      <c r="J50" s="31"/>
      <c r="K50" s="31"/>
      <c r="L50" s="31"/>
      <c r="M50" s="46">
        <f>SUM(M5:M49)</f>
        <v>0</v>
      </c>
      <c r="N50" s="31"/>
      <c r="O50" s="32">
        <f>SUM(O5:O49)</f>
        <v>0</v>
      </c>
      <c r="P50" s="32">
        <f>SUM(P5:P49)</f>
        <v>0</v>
      </c>
      <c r="Q50" s="32">
        <f>SUM(Q5:Q49)</f>
        <v>0</v>
      </c>
      <c r="R50" s="31"/>
      <c r="S50" s="31"/>
      <c r="T50" s="32">
        <f>SUM(T5:T49)</f>
        <v>0</v>
      </c>
      <c r="U50" s="31"/>
      <c r="V50" s="32">
        <f>SUM(V5:V49)</f>
        <v>108913.5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08" priority="9">
      <formula>ISNUMBER(SEARCH("غير معرف",B5))</formula>
    </cfRule>
  </conditionalFormatting>
  <conditionalFormatting sqref="H5:Q49">
    <cfRule type="expression" dxfId="107" priority="2">
      <formula>AND($Z5&lt;&gt;"",COUNTIF($Y$5:$Y$49,$Z5)=0)</formula>
    </cfRule>
  </conditionalFormatting>
  <conditionalFormatting sqref="I5:I49">
    <cfRule type="expression" dxfId="106" priority="10">
      <formula>ISNUMBER(SEARCH("غير معرف",I5))</formula>
    </cfRule>
  </conditionalFormatting>
  <conditionalFormatting sqref="J5:J49">
    <cfRule type="expression" dxfId="105" priority="3">
      <formula>ISNUMBER(SEARCH("تم استلام",J5))</formula>
    </cfRule>
    <cfRule type="expression" dxfId="104" priority="4">
      <formula>ISNUMBER(SEARCH("لم تصل",J5))</formula>
    </cfRule>
  </conditionalFormatting>
  <conditionalFormatting sqref="V5:V50">
    <cfRule type="cellIs" dxfId="103" priority="5" operator="lessThan">
      <formula>0</formula>
    </cfRule>
  </conditionalFormatting>
  <conditionalFormatting sqref="X5:X49">
    <cfRule type="expression" dxfId="102" priority="6">
      <formula>ISNUMBER(SEARCH("اكتملت",X5))</formula>
    </cfRule>
    <cfRule type="expression" dxfId="101" priority="7">
      <formula>ISNUMBER(SEARCH("وصل ",X5))</formula>
    </cfRule>
    <cfRule type="expression" dxfId="100" priority="8">
      <formula>ISNUMBER(SEARCH("لا توجد",X5))</formula>
    </cfRule>
  </conditionalFormatting>
  <dataValidations count="1">
    <dataValidation type="list" allowBlank="1" sqref="H5:H49" xr:uid="{00000000-0002-0000-17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7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700-000000000000}">
          <x14:formula1>
            <xm:f>'قائمة الأصناف'!$A$3:$A$1000</xm:f>
          </x14:formula1>
          <x14:formula2>
            <xm:f>0</xm:f>
          </x14:formula2>
          <xm:sqref>A5:A49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22</v>
      </c>
      <c r="C1" s="16" t="s">
        <v>993</v>
      </c>
      <c r="D1" s="37">
        <f>IF($B$1&lt;=الإعدادات!$B$6,DATE(الإعدادات!$B$3,الإعدادات!$B$4,$B$1),"")</f>
        <v>46195</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54</v>
      </c>
      <c r="B5" s="36" t="str">
        <f>IF(Y5="","",IFERROR(INDEX('قائمة الأصناف'!$B$3:$B$1000,MATCH(Y5,'قائمة الأصناف'!$C$3:$C$1000,0)),"⚠ كود غير معرف"))</f>
        <v>برتقال عصير</v>
      </c>
      <c r="C5" s="42">
        <v>32775</v>
      </c>
      <c r="D5" s="43">
        <v>3.1</v>
      </c>
      <c r="E5" s="29">
        <f t="shared" ref="E5:E49" si="0">IF(OR(C5="",D5=""),"",C5*D5)</f>
        <v>101602.5</v>
      </c>
      <c r="F5" s="29">
        <f>IF(E5="","",E5*الإعدادات!$B$8)</f>
        <v>15240.375</v>
      </c>
      <c r="G5" s="29">
        <f t="shared" ref="G5:G49" si="1">IF(E5="","",E5+F5)</f>
        <v>116842.875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101602.5</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t="s">
        <v>108</v>
      </c>
      <c r="B6" s="36" t="str">
        <f>IF(Y6="","",IFERROR(INDEX('قائمة الأصناف'!$B$3:$B$1000,MATCH(Y6,'قائمة الأصناف'!$C$3:$C$1000,0)),"⚠ كود غير معرف"))</f>
        <v>عنب احمر سدلس</v>
      </c>
      <c r="C6" s="42">
        <v>1508</v>
      </c>
      <c r="D6" s="43">
        <v>7.5</v>
      </c>
      <c r="E6" s="29">
        <f t="shared" si="0"/>
        <v>11310</v>
      </c>
      <c r="F6" s="29">
        <f>IF(E6="","",E6*الإعدادات!$B$8)</f>
        <v>1696.5</v>
      </c>
      <c r="G6" s="29">
        <f t="shared" si="1"/>
        <v>13006.5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11310</v>
      </c>
      <c r="W6" s="30">
        <f t="shared" si="10"/>
        <v>1</v>
      </c>
      <c r="X6" s="27" t="str">
        <f t="shared" si="11"/>
        <v>⏳ لا توجد فواتير شراء</v>
      </c>
      <c r="Y6" t="str">
        <f t="shared" si="12"/>
        <v>48643</v>
      </c>
      <c r="Z6" t="str">
        <f t="shared" si="13"/>
        <v/>
      </c>
    </row>
    <row r="7" spans="1:26" x14ac:dyDescent="0.25">
      <c r="A7" s="41" t="s">
        <v>100</v>
      </c>
      <c r="B7" s="36" t="str">
        <f>IF(Y7="","",IFERROR(INDEX('قائمة الأصناف'!$B$3:$B$1000,MATCH(Y7,'قائمة الأصناف'!$C$3:$C$1000,0)),"⚠ كود غير معرف"))</f>
        <v>عنب اسود</v>
      </c>
      <c r="C7" s="42">
        <v>1575</v>
      </c>
      <c r="D7" s="43">
        <v>5.8</v>
      </c>
      <c r="E7" s="29">
        <f t="shared" si="0"/>
        <v>9135</v>
      </c>
      <c r="F7" s="29">
        <f>IF(E7="","",E7*الإعدادات!$B$8)</f>
        <v>1370.25</v>
      </c>
      <c r="G7" s="29">
        <f t="shared" si="1"/>
        <v>10505.25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9135</v>
      </c>
      <c r="W7" s="30">
        <f t="shared" si="10"/>
        <v>1</v>
      </c>
      <c r="X7" s="27" t="str">
        <f t="shared" si="11"/>
        <v>⏳ لا توجد فواتير شراء</v>
      </c>
      <c r="Y7" t="str">
        <f t="shared" si="12"/>
        <v>48601</v>
      </c>
      <c r="Z7" t="str">
        <f t="shared" si="13"/>
        <v/>
      </c>
    </row>
    <row r="8" spans="1:26" x14ac:dyDescent="0.25">
      <c r="A8" s="41" t="s">
        <v>113</v>
      </c>
      <c r="B8" s="36" t="str">
        <f>IF(Y8="","",IFERROR(INDEX('قائمة الأصناف'!$B$3:$B$1000,MATCH(Y8,'قائمة الأصناف'!$C$3:$C$1000,0)),"⚠ كود غير معرف"))</f>
        <v>CHERRYSMALLBOX</v>
      </c>
      <c r="C8" s="42">
        <v>3600</v>
      </c>
      <c r="D8" s="43">
        <v>5.8</v>
      </c>
      <c r="E8" s="29">
        <f t="shared" si="0"/>
        <v>20880</v>
      </c>
      <c r="F8" s="29">
        <f>IF(E8="","",E8*الإعدادات!$B$8)</f>
        <v>3132</v>
      </c>
      <c r="G8" s="29">
        <f t="shared" si="1"/>
        <v>24012</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20880</v>
      </c>
      <c r="W8" s="30">
        <f t="shared" si="10"/>
        <v>1</v>
      </c>
      <c r="X8" s="27" t="str">
        <f t="shared" si="11"/>
        <v>⏳ لا توجد فواتير شراء</v>
      </c>
      <c r="Y8" t="str">
        <f t="shared" si="12"/>
        <v>48586</v>
      </c>
      <c r="Z8" t="str">
        <f t="shared" si="13"/>
        <v/>
      </c>
    </row>
    <row r="9" spans="1:26" x14ac:dyDescent="0.25">
      <c r="A9" s="41" t="s">
        <v>92</v>
      </c>
      <c r="B9" s="36" t="str">
        <f>IF(Y9="","",IFERROR(INDEX('قائمة الأصناف'!$B$3:$B$1000,MATCH(Y9,'قائمة الأصناف'!$C$3:$C$1000,0)),"⚠ كود غير معرف"))</f>
        <v>مانجو سمكه</v>
      </c>
      <c r="C9" s="42">
        <v>1656</v>
      </c>
      <c r="D9" s="43">
        <v>6</v>
      </c>
      <c r="E9" s="29">
        <f t="shared" si="0"/>
        <v>9936</v>
      </c>
      <c r="F9" s="29">
        <f>IF(E9="","",E9*الإعدادات!$B$8)</f>
        <v>1490.3999999999999</v>
      </c>
      <c r="G9" s="29">
        <f t="shared" si="1"/>
        <v>11426.4</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9936</v>
      </c>
      <c r="W9" s="30">
        <f t="shared" si="10"/>
        <v>1</v>
      </c>
      <c r="X9" s="27" t="str">
        <f t="shared" si="11"/>
        <v>⏳ لا توجد فواتير شراء</v>
      </c>
      <c r="Y9" t="str">
        <f t="shared" si="12"/>
        <v>47915</v>
      </c>
      <c r="Z9" t="str">
        <f t="shared" si="13"/>
        <v/>
      </c>
    </row>
    <row r="10" spans="1:26" x14ac:dyDescent="0.25">
      <c r="A10" s="41" t="s">
        <v>72</v>
      </c>
      <c r="B10" s="36" t="str">
        <f>IF(Y10="","",IFERROR(INDEX('قائمة الأصناف'!$B$3:$B$1000,MATCH(Y10,'قائمة الأصناف'!$C$3:$C$1000,0)),"⚠ كود غير معرف"))</f>
        <v>كمثري</v>
      </c>
      <c r="C10" s="42">
        <v>1125</v>
      </c>
      <c r="D10" s="43">
        <v>8</v>
      </c>
      <c r="E10" s="29">
        <f t="shared" si="0"/>
        <v>9000</v>
      </c>
      <c r="F10" s="29">
        <f>IF(E10="","",E10*الإعدادات!$B$8)</f>
        <v>1350</v>
      </c>
      <c r="G10" s="29">
        <f t="shared" si="1"/>
        <v>10350</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9000</v>
      </c>
      <c r="W10" s="30">
        <f t="shared" si="10"/>
        <v>1</v>
      </c>
      <c r="X10" s="27" t="str">
        <f t="shared" si="11"/>
        <v>⏳ لا توجد فواتير شراء</v>
      </c>
      <c r="Y10" t="str">
        <f t="shared" si="12"/>
        <v>47884</v>
      </c>
      <c r="Z10" t="str">
        <f t="shared" si="13"/>
        <v/>
      </c>
    </row>
    <row r="11" spans="1:26" x14ac:dyDescent="0.25">
      <c r="A11" s="41" t="s">
        <v>94</v>
      </c>
      <c r="B11" s="36" t="str">
        <f>IF(Y11="","",IFERROR(INDEX('قائمة الأصناف'!$B$3:$B$1000,MATCH(Y11,'قائمة الأصناف'!$C$3:$C$1000,0)),"⚠ كود غير معرف"))</f>
        <v>اناناس</v>
      </c>
      <c r="C11" s="42">
        <v>675</v>
      </c>
      <c r="D11" s="43">
        <v>12</v>
      </c>
      <c r="E11" s="29">
        <f t="shared" si="0"/>
        <v>8100</v>
      </c>
      <c r="F11" s="29">
        <f>IF(E11="","",E11*الإعدادات!$B$8)</f>
        <v>1215</v>
      </c>
      <c r="G11" s="29">
        <f t="shared" si="1"/>
        <v>9315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8100</v>
      </c>
      <c r="W11" s="30">
        <f t="shared" si="10"/>
        <v>1</v>
      </c>
      <c r="X11" s="27" t="str">
        <f t="shared" si="11"/>
        <v>⏳ لا توجد فواتير شراء</v>
      </c>
      <c r="Y11" t="str">
        <f t="shared" si="12"/>
        <v>47863</v>
      </c>
      <c r="Z11" t="str">
        <f t="shared" si="13"/>
        <v/>
      </c>
    </row>
    <row r="12" spans="1:26" x14ac:dyDescent="0.25">
      <c r="A12" s="41" t="s">
        <v>96</v>
      </c>
      <c r="B12" s="36" t="str">
        <f>IF(Y12="","",IFERROR(INDEX('قائمة الأصناف'!$B$3:$B$1000,MATCH(Y12,'قائمة الأصناف'!$C$3:$C$1000,0)),"⚠ كود غير معرف"))</f>
        <v>بطاطا حلوه</v>
      </c>
      <c r="C12" s="42">
        <v>1686</v>
      </c>
      <c r="D12" s="43">
        <v>5</v>
      </c>
      <c r="E12" s="29">
        <f t="shared" si="0"/>
        <v>8430</v>
      </c>
      <c r="F12" s="29">
        <f>IF(E12="","",E12*الإعدادات!$B$8)</f>
        <v>1264.5</v>
      </c>
      <c r="G12" s="29">
        <f t="shared" si="1"/>
        <v>9694.5</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8430</v>
      </c>
      <c r="W12" s="30">
        <f t="shared" si="10"/>
        <v>1</v>
      </c>
      <c r="X12" s="27" t="str">
        <f t="shared" si="11"/>
        <v>⏳ لا توجد فواتير شراء</v>
      </c>
      <c r="Y12" t="str">
        <f t="shared" si="12"/>
        <v>48217</v>
      </c>
      <c r="Z12" t="str">
        <f t="shared" si="13"/>
        <v/>
      </c>
    </row>
    <row r="13" spans="1:26" x14ac:dyDescent="0.25">
      <c r="A13" s="41" t="s">
        <v>80</v>
      </c>
      <c r="B13" s="36" t="str">
        <f>IF(Y13="","",IFERROR(INDEX('قائمة الأصناف'!$B$3:$B$1000,MATCH(Y13,'قائمة الأصناف'!$C$3:$C$1000,0)),"⚠ كود غير معرف"))</f>
        <v>بصل احمر</v>
      </c>
      <c r="C13" s="42">
        <v>23730</v>
      </c>
      <c r="D13" s="43">
        <v>2</v>
      </c>
      <c r="E13" s="29">
        <f t="shared" si="0"/>
        <v>47460</v>
      </c>
      <c r="F13" s="29">
        <f>IF(E13="","",E13*الإعدادات!$B$8)</f>
        <v>7119</v>
      </c>
      <c r="G13" s="29">
        <f t="shared" si="1"/>
        <v>54579</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0</v>
      </c>
      <c r="S13" s="45">
        <f t="shared" si="6"/>
        <v>0</v>
      </c>
      <c r="T13" s="29">
        <f t="shared" si="7"/>
        <v>0</v>
      </c>
      <c r="U13" s="29" t="str">
        <f t="shared" si="8"/>
        <v/>
      </c>
      <c r="V13" s="29">
        <f t="shared" si="9"/>
        <v>47460</v>
      </c>
      <c r="W13" s="30">
        <f t="shared" si="10"/>
        <v>1</v>
      </c>
      <c r="X13" s="27" t="str">
        <f t="shared" si="11"/>
        <v>⏳ لا توجد فواتير شراء</v>
      </c>
      <c r="Y13" t="str">
        <f t="shared" si="12"/>
        <v>49502</v>
      </c>
      <c r="Z13" t="str">
        <f t="shared" si="13"/>
        <v/>
      </c>
    </row>
    <row r="14" spans="1:26" x14ac:dyDescent="0.25">
      <c r="A14" s="41" t="s">
        <v>1051</v>
      </c>
      <c r="B14" s="36" t="str">
        <f>IF(Y14="","",IFERROR(INDEX('قائمة الأصناف'!$B$3:$B$1000,MATCH(Y14,'قائمة الأصناف'!$C$3:$C$1000,0)),"⚠ كود غير معرف"))</f>
        <v>⚠ كود غير معرف</v>
      </c>
      <c r="C14" s="42">
        <v>1155</v>
      </c>
      <c r="D14" s="43">
        <v>4</v>
      </c>
      <c r="E14" s="29">
        <f t="shared" si="0"/>
        <v>4620</v>
      </c>
      <c r="F14" s="29">
        <f>IF(E14="","",E14*الإعدادات!$B$8)</f>
        <v>693</v>
      </c>
      <c r="G14" s="29">
        <f t="shared" si="1"/>
        <v>5313</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f t="shared" si="5"/>
        <v>0</v>
      </c>
      <c r="S14" s="45">
        <f t="shared" si="6"/>
        <v>0</v>
      </c>
      <c r="T14" s="29">
        <f t="shared" si="7"/>
        <v>0</v>
      </c>
      <c r="U14" s="29" t="str">
        <f t="shared" si="8"/>
        <v/>
      </c>
      <c r="V14" s="29">
        <f t="shared" si="9"/>
        <v>4620</v>
      </c>
      <c r="W14" s="30">
        <f t="shared" si="10"/>
        <v>1</v>
      </c>
      <c r="X14" s="27" t="str">
        <f t="shared" si="11"/>
        <v>⏳ لا توجد فواتير شراء</v>
      </c>
      <c r="Y14" t="str">
        <f t="shared" si="12"/>
        <v>48663</v>
      </c>
      <c r="Z14" t="str">
        <f t="shared" si="13"/>
        <v/>
      </c>
    </row>
    <row r="15" spans="1:26" x14ac:dyDescent="0.25">
      <c r="A15" s="41" t="s">
        <v>112</v>
      </c>
      <c r="B15" s="36" t="str">
        <f>IF(Y15="","",IFERROR(INDEX('قائمة الأصناف'!$B$3:$B$1000,MATCH(Y15,'قائمة الأصناف'!$C$3:$C$1000,0)),"⚠ كود غير معرف"))</f>
        <v>بخاره حمراء</v>
      </c>
      <c r="C15" s="42">
        <v>2304</v>
      </c>
      <c r="D15" s="43">
        <v>6</v>
      </c>
      <c r="E15" s="29">
        <f t="shared" si="0"/>
        <v>13824</v>
      </c>
      <c r="F15" s="29">
        <f>IF(E15="","",E15*الإعدادات!$B$8)</f>
        <v>2073.6</v>
      </c>
      <c r="G15" s="29">
        <f t="shared" si="1"/>
        <v>15897.6</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f t="shared" si="5"/>
        <v>0</v>
      </c>
      <c r="S15" s="45">
        <f t="shared" si="6"/>
        <v>0</v>
      </c>
      <c r="T15" s="29">
        <f t="shared" si="7"/>
        <v>0</v>
      </c>
      <c r="U15" s="29" t="str">
        <f t="shared" si="8"/>
        <v/>
      </c>
      <c r="V15" s="29">
        <f t="shared" si="9"/>
        <v>13824</v>
      </c>
      <c r="W15" s="30">
        <f t="shared" si="10"/>
        <v>1</v>
      </c>
      <c r="X15" s="27" t="str">
        <f t="shared" si="11"/>
        <v>⏳ لا توجد فواتير شراء</v>
      </c>
      <c r="Y15" t="str">
        <f t="shared" si="12"/>
        <v>5</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71789</v>
      </c>
      <c r="D50" s="31"/>
      <c r="E50" s="32">
        <f>SUM(E5:E49)</f>
        <v>244297.5</v>
      </c>
      <c r="F50" s="32">
        <f>SUM(F5:F49)</f>
        <v>36644.625</v>
      </c>
      <c r="G50" s="32">
        <f>SUM(G5:G49)</f>
        <v>280942.125</v>
      </c>
      <c r="H50" s="31"/>
      <c r="I50" s="31"/>
      <c r="J50" s="31"/>
      <c r="K50" s="31"/>
      <c r="L50" s="31"/>
      <c r="M50" s="46">
        <f>SUM(M5:M49)</f>
        <v>0</v>
      </c>
      <c r="N50" s="31"/>
      <c r="O50" s="32">
        <f>SUM(O5:O49)</f>
        <v>0</v>
      </c>
      <c r="P50" s="32">
        <f>SUM(P5:P49)</f>
        <v>0</v>
      </c>
      <c r="Q50" s="32">
        <f>SUM(Q5:Q49)</f>
        <v>0</v>
      </c>
      <c r="R50" s="31"/>
      <c r="S50" s="31"/>
      <c r="T50" s="32">
        <f>SUM(T5:T49)</f>
        <v>0</v>
      </c>
      <c r="U50" s="31"/>
      <c r="V50" s="32">
        <f>SUM(V5:V49)</f>
        <v>244297.5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98" priority="9">
      <formula>ISNUMBER(SEARCH("غير معرف",B5))</formula>
    </cfRule>
  </conditionalFormatting>
  <conditionalFormatting sqref="H5:Q49">
    <cfRule type="expression" dxfId="97" priority="2">
      <formula>AND($Z5&lt;&gt;"",COUNTIF($Y$5:$Y$49,$Z5)=0)</formula>
    </cfRule>
  </conditionalFormatting>
  <conditionalFormatting sqref="I5:I49">
    <cfRule type="expression" dxfId="96" priority="10">
      <formula>ISNUMBER(SEARCH("غير معرف",I5))</formula>
    </cfRule>
  </conditionalFormatting>
  <conditionalFormatting sqref="J5:J49">
    <cfRule type="expression" dxfId="95" priority="3">
      <formula>ISNUMBER(SEARCH("تم استلام",J5))</formula>
    </cfRule>
    <cfRule type="expression" dxfId="94" priority="4">
      <formula>ISNUMBER(SEARCH("لم تصل",J5))</formula>
    </cfRule>
  </conditionalFormatting>
  <conditionalFormatting sqref="V5:V50">
    <cfRule type="cellIs" dxfId="93" priority="5" operator="lessThan">
      <formula>0</formula>
    </cfRule>
  </conditionalFormatting>
  <conditionalFormatting sqref="X5:X49">
    <cfRule type="expression" dxfId="92" priority="6">
      <formula>ISNUMBER(SEARCH("اكتملت",X5))</formula>
    </cfRule>
    <cfRule type="expression" dxfId="91" priority="7">
      <formula>ISNUMBER(SEARCH("وصل ",X5))</formula>
    </cfRule>
    <cfRule type="expression" dxfId="90" priority="8">
      <formula>ISNUMBER(SEARCH("لا توجد",X5))</formula>
    </cfRule>
  </conditionalFormatting>
  <dataValidations count="1">
    <dataValidation type="list" allowBlank="1" sqref="H5:H49" xr:uid="{00000000-0002-0000-18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8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800-000000000000}">
          <x14:formula1>
            <xm:f>'قائمة الأصناف'!$A$3:$A$1000</xm:f>
          </x14:formula1>
          <x14:formula2>
            <xm:f>0</xm:f>
          </x14:formula2>
          <xm:sqref>A5:A49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23</v>
      </c>
      <c r="C1" s="16" t="s">
        <v>993</v>
      </c>
      <c r="D1" s="37">
        <f>IF($B$1&lt;=الإعدادات!$B$6,DATE(الإعدادات!$B$3,الإعدادات!$B$4,$B$1),"")</f>
        <v>46196</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54</v>
      </c>
      <c r="B5" s="36" t="str">
        <f>IF(Y5="","",IFERROR(INDEX('قائمة الأصناف'!$B$3:$B$1000,MATCH(Y5,'قائمة الأصناف'!$C$3:$C$1000,0)),"⚠ كود غير معرف"))</f>
        <v>برتقال عصير</v>
      </c>
      <c r="C5" s="42">
        <v>7000</v>
      </c>
      <c r="D5" s="43">
        <v>3.1</v>
      </c>
      <c r="E5" s="29">
        <f t="shared" ref="E5:E49" si="0">IF(OR(C5="",D5=""),"",C5*D5)</f>
        <v>21700</v>
      </c>
      <c r="F5" s="29">
        <f>IF(E5="","",E5*الإعدادات!$B$8)</f>
        <v>3255</v>
      </c>
      <c r="G5" s="29">
        <f t="shared" ref="G5:G49" si="1">IF(E5="","",E5+F5)</f>
        <v>24955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21700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t="s">
        <v>52</v>
      </c>
      <c r="B6" s="36" t="str">
        <f>IF(Y6="","",IFERROR(INDEX('قائمة الأصناف'!$B$3:$B$1000,MATCH(Y6,'قائمة الأصناف'!$C$3:$C$1000,0)),"⚠ كود غير معرف"))</f>
        <v>برتقال أبو صره</v>
      </c>
      <c r="C6" s="42">
        <v>2947</v>
      </c>
      <c r="D6" s="43">
        <v>6.5</v>
      </c>
      <c r="E6" s="29">
        <f t="shared" si="0"/>
        <v>19155.5</v>
      </c>
      <c r="F6" s="29">
        <f>IF(E6="","",E6*الإعدادات!$B$8)</f>
        <v>2873.3249999999998</v>
      </c>
      <c r="G6" s="29">
        <f t="shared" si="1"/>
        <v>22028.825000000001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19155.5</v>
      </c>
      <c r="W6" s="30">
        <f t="shared" si="10"/>
        <v>1</v>
      </c>
      <c r="X6" s="27" t="str">
        <f t="shared" si="11"/>
        <v>⏳ لا توجد فواتير شراء</v>
      </c>
      <c r="Y6" t="str">
        <f t="shared" si="12"/>
        <v>47906</v>
      </c>
      <c r="Z6" t="str">
        <f t="shared" si="13"/>
        <v/>
      </c>
    </row>
    <row r="7" spans="1:26" x14ac:dyDescent="0.25">
      <c r="A7" s="41" t="s">
        <v>50</v>
      </c>
      <c r="B7" s="36" t="str">
        <f>IF(Y7="","",IFERROR(INDEX('قائمة الأصناف'!$B$3:$B$1000,MATCH(Y7,'قائمة الأصناف'!$C$3:$C$1000,0)),"⚠ كود غير معرف"))</f>
        <v>مانجو تومي</v>
      </c>
      <c r="C7" s="42">
        <v>626</v>
      </c>
      <c r="D7" s="43">
        <v>4</v>
      </c>
      <c r="E7" s="29">
        <f t="shared" si="0"/>
        <v>2504</v>
      </c>
      <c r="F7" s="29">
        <f>IF(E7="","",E7*الإعدادات!$B$8)</f>
        <v>375.59999999999997</v>
      </c>
      <c r="G7" s="29">
        <f t="shared" si="1"/>
        <v>2879.6</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2504</v>
      </c>
      <c r="W7" s="30">
        <f t="shared" si="10"/>
        <v>1</v>
      </c>
      <c r="X7" s="27" t="str">
        <f t="shared" si="11"/>
        <v>⏳ لا توجد فواتير شراء</v>
      </c>
      <c r="Y7" t="str">
        <f t="shared" si="12"/>
        <v>48593</v>
      </c>
      <c r="Z7" t="str">
        <f t="shared" si="13"/>
        <v/>
      </c>
    </row>
    <row r="8" spans="1:26" x14ac:dyDescent="0.25">
      <c r="A8" s="41" t="s">
        <v>70</v>
      </c>
      <c r="B8" s="36" t="str">
        <f>IF(Y8="","",IFERROR(INDEX('قائمة الأصناف'!$B$3:$B$1000,MATCH(Y8,'قائمة الأصناف'!$C$3:$C$1000,0)),"⚠ كود غير معرف"))</f>
        <v>عنب ابيض</v>
      </c>
      <c r="C8" s="42">
        <v>3216</v>
      </c>
      <c r="D8" s="43">
        <v>7.5</v>
      </c>
      <c r="E8" s="29">
        <f t="shared" si="0"/>
        <v>24120</v>
      </c>
      <c r="F8" s="29">
        <f>IF(E8="","",E8*الإعدادات!$B$8)</f>
        <v>3618</v>
      </c>
      <c r="G8" s="29">
        <f t="shared" si="1"/>
        <v>27738</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24120</v>
      </c>
      <c r="W8" s="30">
        <f t="shared" si="10"/>
        <v>1</v>
      </c>
      <c r="X8" s="27" t="str">
        <f t="shared" si="11"/>
        <v>⏳ لا توجد فواتير شراء</v>
      </c>
      <c r="Y8" t="str">
        <f t="shared" si="12"/>
        <v>48575</v>
      </c>
      <c r="Z8" t="str">
        <f t="shared" si="13"/>
        <v/>
      </c>
    </row>
    <row r="9" spans="1:26" x14ac:dyDescent="0.25">
      <c r="A9" s="41" t="s">
        <v>78</v>
      </c>
      <c r="B9" s="36" t="str">
        <f>IF(Y9="","",IFERROR(INDEX('قائمة الأصناف'!$B$3:$B$1000,MATCH(Y9,'قائمة الأصناف'!$C$3:$C$1000,0)),"⚠ كود غير معرف"))</f>
        <v>كيوي</v>
      </c>
      <c r="C9" s="42">
        <v>960</v>
      </c>
      <c r="D9" s="43">
        <v>13</v>
      </c>
      <c r="E9" s="29">
        <f t="shared" si="0"/>
        <v>12480</v>
      </c>
      <c r="F9" s="29">
        <f>IF(E9="","",E9*الإعدادات!$B$8)</f>
        <v>1872</v>
      </c>
      <c r="G9" s="29">
        <f t="shared" si="1"/>
        <v>14352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12480</v>
      </c>
      <c r="W9" s="30">
        <f t="shared" si="10"/>
        <v>1</v>
      </c>
      <c r="X9" s="27" t="str">
        <f t="shared" si="11"/>
        <v>⏳ لا توجد فواتير شراء</v>
      </c>
      <c r="Y9" t="str">
        <f t="shared" si="12"/>
        <v>47786</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14749</v>
      </c>
      <c r="D50" s="31"/>
      <c r="E50" s="32">
        <f>SUM(E5:E49)</f>
        <v>79959.5</v>
      </c>
      <c r="F50" s="32">
        <f>SUM(F5:F49)</f>
        <v>11993.924999999999</v>
      </c>
      <c r="G50" s="32">
        <f>SUM(G5:G49)</f>
        <v>91953.424999999988</v>
      </c>
      <c r="H50" s="31"/>
      <c r="I50" s="31"/>
      <c r="J50" s="31"/>
      <c r="K50" s="31"/>
      <c r="L50" s="31"/>
      <c r="M50" s="46">
        <f>SUM(M5:M49)</f>
        <v>0</v>
      </c>
      <c r="N50" s="31"/>
      <c r="O50" s="32">
        <f>SUM(O5:O49)</f>
        <v>0</v>
      </c>
      <c r="P50" s="32">
        <f>SUM(P5:P49)</f>
        <v>0</v>
      </c>
      <c r="Q50" s="32">
        <f>SUM(Q5:Q49)</f>
        <v>0</v>
      </c>
      <c r="R50" s="31"/>
      <c r="S50" s="31"/>
      <c r="T50" s="32">
        <f>SUM(T5:T49)</f>
        <v>0</v>
      </c>
      <c r="U50" s="31"/>
      <c r="V50" s="32">
        <f>SUM(V5:V49)</f>
        <v>79959.5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88" priority="9">
      <formula>ISNUMBER(SEARCH("غير معرف",B5))</formula>
    </cfRule>
  </conditionalFormatting>
  <conditionalFormatting sqref="H5:Q49">
    <cfRule type="expression" dxfId="87" priority="2">
      <formula>AND($Z5&lt;&gt;"",COUNTIF($Y$5:$Y$49,$Z5)=0)</formula>
    </cfRule>
  </conditionalFormatting>
  <conditionalFormatting sqref="I5:I49">
    <cfRule type="expression" dxfId="86" priority="10">
      <formula>ISNUMBER(SEARCH("غير معرف",I5))</formula>
    </cfRule>
  </conditionalFormatting>
  <conditionalFormatting sqref="J5:J49">
    <cfRule type="expression" dxfId="85" priority="3">
      <formula>ISNUMBER(SEARCH("تم استلام",J5))</formula>
    </cfRule>
    <cfRule type="expression" dxfId="84" priority="4">
      <formula>ISNUMBER(SEARCH("لم تصل",J5))</formula>
    </cfRule>
  </conditionalFormatting>
  <conditionalFormatting sqref="V5:V50">
    <cfRule type="cellIs" dxfId="83" priority="5" operator="lessThan">
      <formula>0</formula>
    </cfRule>
  </conditionalFormatting>
  <conditionalFormatting sqref="X5:X49">
    <cfRule type="expression" dxfId="82" priority="6">
      <formula>ISNUMBER(SEARCH("اكتملت",X5))</formula>
    </cfRule>
    <cfRule type="expression" dxfId="81" priority="7">
      <formula>ISNUMBER(SEARCH("وصل ",X5))</formula>
    </cfRule>
    <cfRule type="expression" dxfId="80" priority="8">
      <formula>ISNUMBER(SEARCH("لا توجد",X5))</formula>
    </cfRule>
  </conditionalFormatting>
  <dataValidations count="1">
    <dataValidation type="list" allowBlank="1" sqref="H5:H49" xr:uid="{00000000-0002-0000-19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9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900-000000000000}">
          <x14:formula1>
            <xm:f>'قائمة الأصناف'!$A$3:$A$1000</xm:f>
          </x14:formula1>
          <x14:formula2>
            <xm:f>0</xm:f>
          </x14:formula2>
          <xm:sqref>A5:A49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24</v>
      </c>
      <c r="C1" s="16" t="s">
        <v>993</v>
      </c>
      <c r="D1" s="37">
        <f>IF($B$1&lt;=الإعدادات!$B$6,DATE(الإعدادات!$B$3,الإعدادات!$B$4,$B$1),"")</f>
        <v>46197</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54</v>
      </c>
      <c r="B5" s="36" t="str">
        <f>IF(Y5="","",IFERROR(INDEX('قائمة الأصناف'!$B$3:$B$1000,MATCH(Y5,'قائمة الأصناف'!$C$3:$C$1000,0)),"⚠ كود غير معرف"))</f>
        <v>برتقال عصير</v>
      </c>
      <c r="C5" s="42">
        <v>7000</v>
      </c>
      <c r="D5" s="43">
        <v>3.1</v>
      </c>
      <c r="E5" s="29">
        <f t="shared" ref="E5:E49" si="0">IF(OR(C5="",D5=""),"",C5*D5)</f>
        <v>21700</v>
      </c>
      <c r="F5" s="29">
        <f>IF(E5="","",E5*الإعدادات!$B$8)</f>
        <v>3255</v>
      </c>
      <c r="G5" s="29">
        <f t="shared" ref="G5:G49" si="1">IF(E5="","",E5+F5)</f>
        <v>24955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21700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t="s">
        <v>52</v>
      </c>
      <c r="B6" s="36" t="str">
        <f>IF(Y6="","",IFERROR(INDEX('قائمة الأصناف'!$B$3:$B$1000,MATCH(Y6,'قائمة الأصناف'!$C$3:$C$1000,0)),"⚠ كود غير معرف"))</f>
        <v>برتقال أبو صره</v>
      </c>
      <c r="C6" s="42">
        <v>2947</v>
      </c>
      <c r="D6" s="43">
        <v>6.5</v>
      </c>
      <c r="E6" s="29">
        <f t="shared" si="0"/>
        <v>19155.5</v>
      </c>
      <c r="F6" s="29">
        <f>IF(E6="","",E6*الإعدادات!$B$8)</f>
        <v>2873.3249999999998</v>
      </c>
      <c r="G6" s="29">
        <f t="shared" si="1"/>
        <v>22028.825000000001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19155.5</v>
      </c>
      <c r="W6" s="30">
        <f t="shared" si="10"/>
        <v>1</v>
      </c>
      <c r="X6" s="27" t="str">
        <f t="shared" si="11"/>
        <v>⏳ لا توجد فواتير شراء</v>
      </c>
      <c r="Y6" t="str">
        <f t="shared" si="12"/>
        <v>47906</v>
      </c>
      <c r="Z6" t="str">
        <f t="shared" si="13"/>
        <v/>
      </c>
    </row>
    <row r="7" spans="1:26" x14ac:dyDescent="0.25">
      <c r="A7" s="41" t="s">
        <v>50</v>
      </c>
      <c r="B7" s="36" t="str">
        <f>IF(Y7="","",IFERROR(INDEX('قائمة الأصناف'!$B$3:$B$1000,MATCH(Y7,'قائمة الأصناف'!$C$3:$C$1000,0)),"⚠ كود غير معرف"))</f>
        <v>مانجو تومي</v>
      </c>
      <c r="C7" s="42">
        <v>626</v>
      </c>
      <c r="D7" s="43">
        <v>4</v>
      </c>
      <c r="E7" s="29">
        <f t="shared" si="0"/>
        <v>2504</v>
      </c>
      <c r="F7" s="29">
        <f>IF(E7="","",E7*الإعدادات!$B$8)</f>
        <v>375.59999999999997</v>
      </c>
      <c r="G7" s="29">
        <f t="shared" si="1"/>
        <v>2879.6</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2504</v>
      </c>
      <c r="W7" s="30">
        <f t="shared" si="10"/>
        <v>1</v>
      </c>
      <c r="X7" s="27" t="str">
        <f t="shared" si="11"/>
        <v>⏳ لا توجد فواتير شراء</v>
      </c>
      <c r="Y7" t="str">
        <f t="shared" si="12"/>
        <v>48593</v>
      </c>
      <c r="Z7" t="str">
        <f t="shared" si="13"/>
        <v/>
      </c>
    </row>
    <row r="8" spans="1:26" x14ac:dyDescent="0.25">
      <c r="A8" s="41" t="s">
        <v>70</v>
      </c>
      <c r="B8" s="36" t="str">
        <f>IF(Y8="","",IFERROR(INDEX('قائمة الأصناف'!$B$3:$B$1000,MATCH(Y8,'قائمة الأصناف'!$C$3:$C$1000,0)),"⚠ كود غير معرف"))</f>
        <v>عنب ابيض</v>
      </c>
      <c r="C8" s="42">
        <v>3216</v>
      </c>
      <c r="D8" s="43">
        <v>7.5</v>
      </c>
      <c r="E8" s="29">
        <f t="shared" si="0"/>
        <v>24120</v>
      </c>
      <c r="F8" s="29">
        <f>IF(E8="","",E8*الإعدادات!$B$8)</f>
        <v>3618</v>
      </c>
      <c r="G8" s="29">
        <f t="shared" si="1"/>
        <v>27738</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24120</v>
      </c>
      <c r="W8" s="30">
        <f t="shared" si="10"/>
        <v>1</v>
      </c>
      <c r="X8" s="27" t="str">
        <f t="shared" si="11"/>
        <v>⏳ لا توجد فواتير شراء</v>
      </c>
      <c r="Y8" t="str">
        <f t="shared" si="12"/>
        <v>48575</v>
      </c>
      <c r="Z8" t="str">
        <f t="shared" si="13"/>
        <v/>
      </c>
    </row>
    <row r="9" spans="1:26" x14ac:dyDescent="0.25">
      <c r="A9" s="41" t="s">
        <v>78</v>
      </c>
      <c r="B9" s="36" t="str">
        <f>IF(Y9="","",IFERROR(INDEX('قائمة الأصناف'!$B$3:$B$1000,MATCH(Y9,'قائمة الأصناف'!$C$3:$C$1000,0)),"⚠ كود غير معرف"))</f>
        <v>كيوي</v>
      </c>
      <c r="C9" s="42">
        <v>960</v>
      </c>
      <c r="D9" s="43">
        <v>13</v>
      </c>
      <c r="E9" s="29">
        <f t="shared" si="0"/>
        <v>12480</v>
      </c>
      <c r="F9" s="29">
        <f>IF(E9="","",E9*الإعدادات!$B$8)</f>
        <v>1872</v>
      </c>
      <c r="G9" s="29">
        <f t="shared" si="1"/>
        <v>14352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12480</v>
      </c>
      <c r="W9" s="30">
        <f t="shared" si="10"/>
        <v>1</v>
      </c>
      <c r="X9" s="27" t="str">
        <f t="shared" si="11"/>
        <v>⏳ لا توجد فواتير شراء</v>
      </c>
      <c r="Y9" t="str">
        <f t="shared" si="12"/>
        <v>47786</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14749</v>
      </c>
      <c r="D50" s="31"/>
      <c r="E50" s="32">
        <f>SUM(E5:E49)</f>
        <v>79959.5</v>
      </c>
      <c r="F50" s="32">
        <f>SUM(F5:F49)</f>
        <v>11993.924999999999</v>
      </c>
      <c r="G50" s="32">
        <f>SUM(G5:G49)</f>
        <v>91953.424999999988</v>
      </c>
      <c r="H50" s="31"/>
      <c r="I50" s="31"/>
      <c r="J50" s="31"/>
      <c r="K50" s="31"/>
      <c r="L50" s="31"/>
      <c r="M50" s="46">
        <f>SUM(M5:M49)</f>
        <v>0</v>
      </c>
      <c r="N50" s="31"/>
      <c r="O50" s="32">
        <f>SUM(O5:O49)</f>
        <v>0</v>
      </c>
      <c r="P50" s="32">
        <f>SUM(P5:P49)</f>
        <v>0</v>
      </c>
      <c r="Q50" s="32">
        <f>SUM(Q5:Q49)</f>
        <v>0</v>
      </c>
      <c r="R50" s="31"/>
      <c r="S50" s="31"/>
      <c r="T50" s="32">
        <f>SUM(T5:T49)</f>
        <v>0</v>
      </c>
      <c r="U50" s="31"/>
      <c r="V50" s="32">
        <f>SUM(V5:V49)</f>
        <v>79959.5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78" priority="9">
      <formula>ISNUMBER(SEARCH("غير معرف",B5))</formula>
    </cfRule>
  </conditionalFormatting>
  <conditionalFormatting sqref="H5:Q49">
    <cfRule type="expression" dxfId="77" priority="2">
      <formula>AND($Z5&lt;&gt;"",COUNTIF($Y$5:$Y$49,$Z5)=0)</formula>
    </cfRule>
  </conditionalFormatting>
  <conditionalFormatting sqref="I5:I49">
    <cfRule type="expression" dxfId="76" priority="10">
      <formula>ISNUMBER(SEARCH("غير معرف",I5))</formula>
    </cfRule>
  </conditionalFormatting>
  <conditionalFormatting sqref="J5:J49">
    <cfRule type="expression" dxfId="75" priority="3">
      <formula>ISNUMBER(SEARCH("تم استلام",J5))</formula>
    </cfRule>
    <cfRule type="expression" dxfId="74" priority="4">
      <formula>ISNUMBER(SEARCH("لم تصل",J5))</formula>
    </cfRule>
  </conditionalFormatting>
  <conditionalFormatting sqref="V5:V50">
    <cfRule type="cellIs" dxfId="73" priority="5" operator="lessThan">
      <formula>0</formula>
    </cfRule>
  </conditionalFormatting>
  <conditionalFormatting sqref="X5:X49">
    <cfRule type="expression" dxfId="72" priority="6">
      <formula>ISNUMBER(SEARCH("اكتملت",X5))</formula>
    </cfRule>
    <cfRule type="expression" dxfId="71" priority="7">
      <formula>ISNUMBER(SEARCH("وصل ",X5))</formula>
    </cfRule>
    <cfRule type="expression" dxfId="70" priority="8">
      <formula>ISNUMBER(SEARCH("لا توجد",X5))</formula>
    </cfRule>
  </conditionalFormatting>
  <dataValidations count="1">
    <dataValidation type="list" allowBlank="1" sqref="H5:H49" xr:uid="{00000000-0002-0000-1A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A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A00-000000000000}">
          <x14:formula1>
            <xm:f>'قائمة الأصناف'!$A$3:$A$1000</xm:f>
          </x14:formula1>
          <x14:formula2>
            <xm:f>0</xm:f>
          </x14:formula2>
          <xm:sqref>A5:A49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25</v>
      </c>
      <c r="C1" s="16" t="s">
        <v>993</v>
      </c>
      <c r="D1" s="37">
        <f>IF($B$1&lt;=الإعدادات!$B$6,DATE(الإعدادات!$B$3,الإعدادات!$B$4,$B$1),"")</f>
        <v>46198</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72</v>
      </c>
      <c r="B5" s="36" t="str">
        <f>IF(Y5="","",IFERROR(INDEX('قائمة الأصناف'!$B$3:$B$1000,MATCH(Y5,'قائمة الأصناف'!$C$3:$C$1000,0)),"⚠ كود غير معرف"))</f>
        <v>كمثري</v>
      </c>
      <c r="C5" s="42">
        <v>4680</v>
      </c>
      <c r="D5" s="43">
        <v>7</v>
      </c>
      <c r="E5" s="29">
        <f t="shared" ref="E5:E49" si="0">IF(OR(C5="",D5=""),"",C5*D5)</f>
        <v>32760</v>
      </c>
      <c r="F5" s="29">
        <f>IF(E5="","",E5*الإعدادات!$B$8)</f>
        <v>4914</v>
      </c>
      <c r="G5" s="29">
        <f t="shared" ref="G5:G49" si="1">IF(E5="","",E5+F5)</f>
        <v>37674</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32760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47884</v>
      </c>
      <c r="Z5" t="str">
        <f t="shared" ref="Z5:Z49" si="13">IF(TRIM(H5)="","",IF(ISNUMBER(VALUE(TRIM(H5))),TEXT(VALUE(TRIM(H5)),"0"),TRIM(H5)))</f>
        <v/>
      </c>
    </row>
    <row r="6" spans="1:26" x14ac:dyDescent="0.25">
      <c r="A6" s="41" t="s">
        <v>76</v>
      </c>
      <c r="B6" s="36" t="str">
        <f>IF(Y6="","",IFERROR(INDEX('قائمة الأصناف'!$B$3:$B$1000,MATCH(Y6,'قائمة الأصناف'!$C$3:$C$1000,0)),"⚠ كود غير معرف"))</f>
        <v>افوكادو</v>
      </c>
      <c r="C6" s="42">
        <v>1631</v>
      </c>
      <c r="D6" s="43">
        <v>7</v>
      </c>
      <c r="E6" s="29">
        <f t="shared" si="0"/>
        <v>11417</v>
      </c>
      <c r="F6" s="29">
        <f>IF(E6="","",E6*الإعدادات!$B$8)</f>
        <v>1712.55</v>
      </c>
      <c r="G6" s="29">
        <f t="shared" si="1"/>
        <v>13129.55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11417</v>
      </c>
      <c r="W6" s="30">
        <f t="shared" si="10"/>
        <v>1</v>
      </c>
      <c r="X6" s="27" t="str">
        <f t="shared" si="11"/>
        <v>⏳ لا توجد فواتير شراء</v>
      </c>
      <c r="Y6" t="str">
        <f t="shared" si="12"/>
        <v>48206</v>
      </c>
      <c r="Z6" t="str">
        <f t="shared" si="13"/>
        <v/>
      </c>
    </row>
    <row r="7" spans="1:26" x14ac:dyDescent="0.25">
      <c r="A7" s="41" t="s">
        <v>70</v>
      </c>
      <c r="B7" s="36" t="str">
        <f>IF(Y7="","",IFERROR(INDEX('قائمة الأصناف'!$B$3:$B$1000,MATCH(Y7,'قائمة الأصناف'!$C$3:$C$1000,0)),"⚠ كود غير معرف"))</f>
        <v>عنب ابيض</v>
      </c>
      <c r="C7" s="42">
        <v>2481</v>
      </c>
      <c r="D7" s="43">
        <v>6.2</v>
      </c>
      <c r="E7" s="29">
        <f t="shared" si="0"/>
        <v>15382.2</v>
      </c>
      <c r="F7" s="29">
        <f>IF(E7="","",E7*الإعدادات!$B$8)</f>
        <v>2307.33</v>
      </c>
      <c r="G7" s="29">
        <f t="shared" si="1"/>
        <v>17689.53</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15382.2</v>
      </c>
      <c r="W7" s="30">
        <f t="shared" si="10"/>
        <v>1</v>
      </c>
      <c r="X7" s="27" t="str">
        <f t="shared" si="11"/>
        <v>⏳ لا توجد فواتير شراء</v>
      </c>
      <c r="Y7" t="str">
        <f t="shared" si="12"/>
        <v>48575</v>
      </c>
      <c r="Z7" t="str">
        <f t="shared" si="13"/>
        <v/>
      </c>
    </row>
    <row r="8" spans="1:26" x14ac:dyDescent="0.25">
      <c r="A8" s="41" t="s">
        <v>112</v>
      </c>
      <c r="B8" s="36" t="str">
        <f>IF(Y8="","",IFERROR(INDEX('قائمة الأصناف'!$B$3:$B$1000,MATCH(Y8,'قائمة الأصناف'!$C$3:$C$1000,0)),"⚠ كود غير معرف"))</f>
        <v>بخاره حمراء</v>
      </c>
      <c r="C8" s="42">
        <v>2880</v>
      </c>
      <c r="D8" s="43">
        <v>5.5</v>
      </c>
      <c r="E8" s="29">
        <f t="shared" si="0"/>
        <v>15840</v>
      </c>
      <c r="F8" s="29">
        <f>IF(E8="","",E8*الإعدادات!$B$8)</f>
        <v>2376</v>
      </c>
      <c r="G8" s="29">
        <f t="shared" si="1"/>
        <v>18216</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15840</v>
      </c>
      <c r="W8" s="30">
        <f t="shared" si="10"/>
        <v>1</v>
      </c>
      <c r="X8" s="27" t="str">
        <f t="shared" si="11"/>
        <v>⏳ لا توجد فواتير شراء</v>
      </c>
      <c r="Y8" t="str">
        <f t="shared" si="12"/>
        <v>5</v>
      </c>
      <c r="Z8" t="str">
        <f t="shared" si="13"/>
        <v/>
      </c>
    </row>
    <row r="9" spans="1:26" x14ac:dyDescent="0.25">
      <c r="A9" s="41" t="s">
        <v>68</v>
      </c>
      <c r="B9" s="36" t="str">
        <f>IF(Y9="","",IFERROR(INDEX('قائمة الأصناف'!$B$3:$B$1000,MATCH(Y9,'قائمة الأصناف'!$C$3:$C$1000,0)),"⚠ كود غير معرف"))</f>
        <v>ليمون</v>
      </c>
      <c r="C9" s="42">
        <v>4818</v>
      </c>
      <c r="D9" s="43">
        <v>6.2</v>
      </c>
      <c r="E9" s="29">
        <f t="shared" si="0"/>
        <v>29871.600000000002</v>
      </c>
      <c r="F9" s="29">
        <f>IF(E9="","",E9*الإعدادات!$B$8)</f>
        <v>4480.74</v>
      </c>
      <c r="G9" s="29">
        <f t="shared" si="1"/>
        <v>34352.340000000004</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29871.600000000002</v>
      </c>
      <c r="W9" s="30">
        <f t="shared" si="10"/>
        <v>1</v>
      </c>
      <c r="X9" s="27" t="str">
        <f t="shared" si="11"/>
        <v>⏳ لا توجد فواتير شراء</v>
      </c>
      <c r="Y9" t="str">
        <f t="shared" si="12"/>
        <v>48024</v>
      </c>
      <c r="Z9" t="str">
        <f t="shared" si="13"/>
        <v/>
      </c>
    </row>
    <row r="10" spans="1:26" x14ac:dyDescent="0.25">
      <c r="A10" s="41" t="s">
        <v>113</v>
      </c>
      <c r="B10" s="36" t="str">
        <f>IF(Y10="","",IFERROR(INDEX('قائمة الأصناف'!$B$3:$B$1000,MATCH(Y10,'قائمة الأصناف'!$C$3:$C$1000,0)),"⚠ كود غير معرف"))</f>
        <v>CHERRYSMALLBOX</v>
      </c>
      <c r="C10" s="42">
        <v>3000</v>
      </c>
      <c r="D10" s="43">
        <v>6.75</v>
      </c>
      <c r="E10" s="29">
        <f t="shared" si="0"/>
        <v>20250</v>
      </c>
      <c r="F10" s="29">
        <f>IF(E10="","",E10*الإعدادات!$B$8)</f>
        <v>3037.5</v>
      </c>
      <c r="G10" s="29">
        <f t="shared" si="1"/>
        <v>23287.5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20250</v>
      </c>
      <c r="W10" s="30">
        <f t="shared" si="10"/>
        <v>1</v>
      </c>
      <c r="X10" s="27" t="str">
        <f t="shared" si="11"/>
        <v>⏳ لا توجد فواتير شراء</v>
      </c>
      <c r="Y10" t="str">
        <f t="shared" si="12"/>
        <v>48586</v>
      </c>
      <c r="Z10" t="str">
        <f t="shared" si="13"/>
        <v/>
      </c>
    </row>
    <row r="11" spans="1:26" x14ac:dyDescent="0.25">
      <c r="A11" s="41" t="s">
        <v>80</v>
      </c>
      <c r="B11" s="36" t="str">
        <f>IF(Y11="","",IFERROR(INDEX('قائمة الأصناف'!$B$3:$B$1000,MATCH(Y11,'قائمة الأصناف'!$C$3:$C$1000,0)),"⚠ كود غير معرف"))</f>
        <v>بصل احمر</v>
      </c>
      <c r="C11" s="42">
        <v>24878</v>
      </c>
      <c r="D11" s="43">
        <v>2</v>
      </c>
      <c r="E11" s="29">
        <f t="shared" si="0"/>
        <v>49756</v>
      </c>
      <c r="F11" s="29">
        <f>IF(E11="","",E11*الإعدادات!$B$8)</f>
        <v>7463.4</v>
      </c>
      <c r="G11" s="29">
        <f t="shared" si="1"/>
        <v>57219.4</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49756</v>
      </c>
      <c r="W11" s="30">
        <f t="shared" si="10"/>
        <v>1</v>
      </c>
      <c r="X11" s="27" t="str">
        <f t="shared" si="11"/>
        <v>⏳ لا توجد فواتير شراء</v>
      </c>
      <c r="Y11" t="str">
        <f t="shared" si="12"/>
        <v>49502</v>
      </c>
      <c r="Z11" t="str">
        <f t="shared" si="13"/>
        <v/>
      </c>
    </row>
    <row r="12" spans="1:26" x14ac:dyDescent="0.25">
      <c r="A12" s="41" t="s">
        <v>80</v>
      </c>
      <c r="B12" s="36" t="str">
        <f>IF(Y12="","",IFERROR(INDEX('قائمة الأصناف'!$B$3:$B$1000,MATCH(Y12,'قائمة الأصناف'!$C$3:$C$1000,0)),"⚠ كود غير معرف"))</f>
        <v>بصل احمر</v>
      </c>
      <c r="C12" s="42">
        <v>500</v>
      </c>
      <c r="D12" s="43">
        <v>2</v>
      </c>
      <c r="E12" s="29">
        <f t="shared" si="0"/>
        <v>1000</v>
      </c>
      <c r="F12" s="29">
        <f>IF(E12="","",E12*الإعدادات!$B$8)</f>
        <v>150</v>
      </c>
      <c r="G12" s="29">
        <f t="shared" si="1"/>
        <v>1150</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1000</v>
      </c>
      <c r="W12" s="30">
        <f t="shared" si="10"/>
        <v>1</v>
      </c>
      <c r="X12" s="27" t="str">
        <f t="shared" si="11"/>
        <v>⏳ لا توجد فواتير شراء</v>
      </c>
      <c r="Y12" t="str">
        <f t="shared" si="12"/>
        <v>49502</v>
      </c>
      <c r="Z12" t="str">
        <f t="shared" si="13"/>
        <v/>
      </c>
    </row>
    <row r="13" spans="1:26" x14ac:dyDescent="0.25">
      <c r="A13" s="41"/>
      <c r="B13" s="36" t="str">
        <f>IF(Y13="","",IFERROR(INDEX('قائمة الأصناف'!$B$3:$B$1000,MATCH(Y13,'قائمة الأصناف'!$C$3:$C$1000,0)),"⚠ كود غير معرف"))</f>
        <v/>
      </c>
      <c r="C13" s="42">
        <v>0</v>
      </c>
      <c r="D13" s="43">
        <v>0</v>
      </c>
      <c r="E13" s="29">
        <f t="shared" si="0"/>
        <v>0</v>
      </c>
      <c r="F13" s="29">
        <f>IF(E13="","",E13*الإعدادات!$B$8)</f>
        <v>0</v>
      </c>
      <c r="G13" s="29">
        <f t="shared" si="1"/>
        <v>0</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44868</v>
      </c>
      <c r="D50" s="31"/>
      <c r="E50" s="32">
        <f>SUM(E5:E49)</f>
        <v>176276.8</v>
      </c>
      <c r="F50" s="32">
        <f>SUM(F5:F49)</f>
        <v>26441.520000000004</v>
      </c>
      <c r="G50" s="32">
        <f>SUM(G5:G49)</f>
        <v>202718.32</v>
      </c>
      <c r="H50" s="31"/>
      <c r="I50" s="31"/>
      <c r="J50" s="31"/>
      <c r="K50" s="31"/>
      <c r="L50" s="31"/>
      <c r="M50" s="46">
        <f>SUM(M5:M49)</f>
        <v>0</v>
      </c>
      <c r="N50" s="31"/>
      <c r="O50" s="32">
        <f>SUM(O5:O49)</f>
        <v>0</v>
      </c>
      <c r="P50" s="32">
        <f>SUM(P5:P49)</f>
        <v>0</v>
      </c>
      <c r="Q50" s="32">
        <f>SUM(Q5:Q49)</f>
        <v>0</v>
      </c>
      <c r="R50" s="31"/>
      <c r="S50" s="31"/>
      <c r="T50" s="32">
        <f>SUM(T5:T49)</f>
        <v>0</v>
      </c>
      <c r="U50" s="31"/>
      <c r="V50" s="32">
        <f>SUM(V5:V49)</f>
        <v>176276.8</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68" priority="9">
      <formula>ISNUMBER(SEARCH("غير معرف",B5))</formula>
    </cfRule>
  </conditionalFormatting>
  <conditionalFormatting sqref="H5:Q49">
    <cfRule type="expression" dxfId="67" priority="2">
      <formula>AND($Z5&lt;&gt;"",COUNTIF($Y$5:$Y$49,$Z5)=0)</formula>
    </cfRule>
  </conditionalFormatting>
  <conditionalFormatting sqref="I5:I49">
    <cfRule type="expression" dxfId="66" priority="10">
      <formula>ISNUMBER(SEARCH("غير معرف",I5))</formula>
    </cfRule>
  </conditionalFormatting>
  <conditionalFormatting sqref="J5:J49">
    <cfRule type="expression" dxfId="65" priority="3">
      <formula>ISNUMBER(SEARCH("تم استلام",J5))</formula>
    </cfRule>
    <cfRule type="expression" dxfId="64" priority="4">
      <formula>ISNUMBER(SEARCH("لم تصل",J5))</formula>
    </cfRule>
  </conditionalFormatting>
  <conditionalFormatting sqref="V5:V50">
    <cfRule type="cellIs" dxfId="63" priority="5" operator="lessThan">
      <formula>0</formula>
    </cfRule>
  </conditionalFormatting>
  <conditionalFormatting sqref="X5:X49">
    <cfRule type="expression" dxfId="62" priority="6">
      <formula>ISNUMBER(SEARCH("اكتملت",X5))</formula>
    </cfRule>
    <cfRule type="expression" dxfId="61" priority="7">
      <formula>ISNUMBER(SEARCH("وصل ",X5))</formula>
    </cfRule>
    <cfRule type="expression" dxfId="60" priority="8">
      <formula>ISNUMBER(SEARCH("لا توجد",X5))</formula>
    </cfRule>
  </conditionalFormatting>
  <dataValidations count="1">
    <dataValidation type="list" allowBlank="1" sqref="H5:H49" xr:uid="{00000000-0002-0000-1B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B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B00-000000000000}">
          <x14:formula1>
            <xm:f>'قائمة الأصناف'!$A$3:$A$1000</xm:f>
          </x14:formula1>
          <x14:formula2>
            <xm:f>0</xm:f>
          </x14:formula2>
          <xm:sqref>A5:A49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26</v>
      </c>
      <c r="C1" s="16" t="s">
        <v>993</v>
      </c>
      <c r="D1" s="37">
        <f>IF($B$1&lt;=الإعدادات!$B$6,DATE(الإعدادات!$B$3,الإعدادات!$B$4,$B$1),"")</f>
        <v>46199</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1052</v>
      </c>
      <c r="B5" s="36" t="str">
        <f>IF(Y5="","",IFERROR(INDEX('قائمة الأصناف'!$B$3:$B$1000,MATCH(Y5,'قائمة الأصناف'!$C$3:$C$1000,0)),"⚠ كود غير معرف"))</f>
        <v>⚠ كود غير معرف</v>
      </c>
      <c r="C5" s="42">
        <v>23422</v>
      </c>
      <c r="D5" s="43">
        <v>5</v>
      </c>
      <c r="E5" s="29">
        <f t="shared" ref="E5:E49" si="0">IF(OR(C5="",D5=""),"",C5*D5)</f>
        <v>117110</v>
      </c>
      <c r="F5" s="29">
        <f>IF(E5="","",E5*الإعدادات!$B$8)</f>
        <v>17566.5</v>
      </c>
      <c r="G5" s="29">
        <f t="shared" ref="G5:G49" si="1">IF(E5="","",E5+F5)</f>
        <v>134676.5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117110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47912</v>
      </c>
      <c r="Z5" t="str">
        <f t="shared" ref="Z5:Z49" si="13">IF(TRIM(H5)="","",IF(ISNUMBER(VALUE(TRIM(H5))),TEXT(VALUE(TRIM(H5)),"0"),TRIM(H5)))</f>
        <v/>
      </c>
    </row>
    <row r="6" spans="1:26" x14ac:dyDescent="0.25">
      <c r="A6" s="41" t="s">
        <v>68</v>
      </c>
      <c r="B6" s="36" t="str">
        <f>IF(Y6="","",IFERROR(INDEX('قائمة الأصناف'!$B$3:$B$1000,MATCH(Y6,'قائمة الأصناف'!$C$3:$C$1000,0)),"⚠ كود غير معرف"))</f>
        <v>ليمون</v>
      </c>
      <c r="C6" s="42">
        <v>8500</v>
      </c>
      <c r="D6" s="43">
        <v>6.2</v>
      </c>
      <c r="E6" s="29">
        <f t="shared" si="0"/>
        <v>52700</v>
      </c>
      <c r="F6" s="29">
        <f>IF(E6="","",E6*الإعدادات!$B$8)</f>
        <v>7905</v>
      </c>
      <c r="G6" s="29">
        <f t="shared" si="1"/>
        <v>60605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52700</v>
      </c>
      <c r="W6" s="30">
        <f t="shared" si="10"/>
        <v>1</v>
      </c>
      <c r="X6" s="27" t="str">
        <f t="shared" si="11"/>
        <v>⏳ لا توجد فواتير شراء</v>
      </c>
      <c r="Y6" t="str">
        <f t="shared" si="12"/>
        <v>48024</v>
      </c>
      <c r="Z6" t="str">
        <f t="shared" si="13"/>
        <v/>
      </c>
    </row>
    <row r="7" spans="1:26" x14ac:dyDescent="0.25">
      <c r="A7" s="41" t="s">
        <v>100</v>
      </c>
      <c r="B7" s="36" t="str">
        <f>IF(Y7="","",IFERROR(INDEX('قائمة الأصناف'!$B$3:$B$1000,MATCH(Y7,'قائمة الأصناف'!$C$3:$C$1000,0)),"⚠ كود غير معرف"))</f>
        <v>عنب اسود</v>
      </c>
      <c r="C7" s="42">
        <v>1600</v>
      </c>
      <c r="D7" s="43">
        <v>7</v>
      </c>
      <c r="E7" s="29">
        <f t="shared" si="0"/>
        <v>11200</v>
      </c>
      <c r="F7" s="29">
        <f>IF(E7="","",E7*الإعدادات!$B$8)</f>
        <v>1680</v>
      </c>
      <c r="G7" s="29">
        <f t="shared" si="1"/>
        <v>12880</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11200</v>
      </c>
      <c r="W7" s="30">
        <f t="shared" si="10"/>
        <v>1</v>
      </c>
      <c r="X7" s="27" t="str">
        <f t="shared" si="11"/>
        <v>⏳ لا توجد فواتير شراء</v>
      </c>
      <c r="Y7" t="str">
        <f t="shared" si="12"/>
        <v>48601</v>
      </c>
      <c r="Z7" t="str">
        <f t="shared" si="13"/>
        <v/>
      </c>
    </row>
    <row r="8" spans="1:26" x14ac:dyDescent="0.25">
      <c r="A8" s="41" t="s">
        <v>108</v>
      </c>
      <c r="B8" s="36" t="str">
        <f>IF(Y8="","",IFERROR(INDEX('قائمة الأصناف'!$B$3:$B$1000,MATCH(Y8,'قائمة الأصناف'!$C$3:$C$1000,0)),"⚠ كود غير معرف"))</f>
        <v>عنب احمر سدلس</v>
      </c>
      <c r="C8" s="42">
        <v>713</v>
      </c>
      <c r="D8" s="43">
        <v>7.5</v>
      </c>
      <c r="E8" s="29">
        <f t="shared" si="0"/>
        <v>5347.5</v>
      </c>
      <c r="F8" s="29">
        <f>IF(E8="","",E8*الإعدادات!$B$8)</f>
        <v>802.125</v>
      </c>
      <c r="G8" s="29">
        <f t="shared" si="1"/>
        <v>6149.625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5347.5</v>
      </c>
      <c r="W8" s="30">
        <f t="shared" si="10"/>
        <v>1</v>
      </c>
      <c r="X8" s="27" t="str">
        <f t="shared" si="11"/>
        <v>⏳ لا توجد فواتير شراء</v>
      </c>
      <c r="Y8" t="str">
        <f t="shared" si="12"/>
        <v>48643</v>
      </c>
      <c r="Z8" t="str">
        <f t="shared" si="13"/>
        <v/>
      </c>
    </row>
    <row r="9" spans="1:26" x14ac:dyDescent="0.25">
      <c r="A9" s="41" t="s">
        <v>72</v>
      </c>
      <c r="B9" s="36" t="str">
        <f>IF(Y9="","",IFERROR(INDEX('قائمة الأصناف'!$B$3:$B$1000,MATCH(Y9,'قائمة الأصناف'!$C$3:$C$1000,0)),"⚠ كود غير معرف"))</f>
        <v>كمثري</v>
      </c>
      <c r="C9" s="42">
        <v>2273</v>
      </c>
      <c r="D9" s="43">
        <v>7</v>
      </c>
      <c r="E9" s="29">
        <f t="shared" si="0"/>
        <v>15911</v>
      </c>
      <c r="F9" s="29">
        <f>IF(E9="","",E9*الإعدادات!$B$8)</f>
        <v>2386.65</v>
      </c>
      <c r="G9" s="29">
        <f t="shared" si="1"/>
        <v>18297.650000000001</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15911</v>
      </c>
      <c r="W9" s="30">
        <f t="shared" si="10"/>
        <v>1</v>
      </c>
      <c r="X9" s="27" t="str">
        <f t="shared" si="11"/>
        <v>⏳ لا توجد فواتير شراء</v>
      </c>
      <c r="Y9" t="str">
        <f t="shared" si="12"/>
        <v>47884</v>
      </c>
      <c r="Z9" t="str">
        <f t="shared" si="13"/>
        <v/>
      </c>
    </row>
    <row r="10" spans="1:26" x14ac:dyDescent="0.25">
      <c r="A10" s="41" t="s">
        <v>58</v>
      </c>
      <c r="B10" s="36" t="str">
        <f>IF(Y10="","",IFERROR(INDEX('قائمة الأصناف'!$B$3:$B$1000,MATCH(Y10,'قائمة الأصناف'!$C$3:$C$1000,0)),"⚠ كود غير معرف"))</f>
        <v>كلمنتينا</v>
      </c>
      <c r="C10" s="42">
        <v>1827</v>
      </c>
      <c r="D10" s="43">
        <v>5.5</v>
      </c>
      <c r="E10" s="29">
        <f t="shared" si="0"/>
        <v>10048.5</v>
      </c>
      <c r="F10" s="29">
        <f>IF(E10="","",E10*الإعدادات!$B$8)</f>
        <v>1507.2749999999999</v>
      </c>
      <c r="G10" s="29">
        <f t="shared" si="1"/>
        <v>11555.775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10048.5</v>
      </c>
      <c r="W10" s="30">
        <f t="shared" si="10"/>
        <v>1</v>
      </c>
      <c r="X10" s="27" t="str">
        <f t="shared" si="11"/>
        <v>⏳ لا توجد فواتير شراء</v>
      </c>
      <c r="Y10" t="str">
        <f t="shared" si="12"/>
        <v>48432</v>
      </c>
      <c r="Z10" t="str">
        <f t="shared" si="13"/>
        <v/>
      </c>
    </row>
    <row r="11" spans="1:26" x14ac:dyDescent="0.25">
      <c r="A11" s="41" t="s">
        <v>92</v>
      </c>
      <c r="B11" s="36" t="str">
        <f>IF(Y11="","",IFERROR(INDEX('قائمة الأصناف'!$B$3:$B$1000,MATCH(Y11,'قائمة الأصناف'!$C$3:$C$1000,0)),"⚠ كود غير معرف"))</f>
        <v>مانجو سمكه</v>
      </c>
      <c r="C11" s="42">
        <v>1579</v>
      </c>
      <c r="D11" s="43">
        <v>6</v>
      </c>
      <c r="E11" s="29">
        <f t="shared" si="0"/>
        <v>9474</v>
      </c>
      <c r="F11" s="29">
        <f>IF(E11="","",E11*الإعدادات!$B$8)</f>
        <v>1421.1</v>
      </c>
      <c r="G11" s="29">
        <f t="shared" si="1"/>
        <v>10895.1</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9474</v>
      </c>
      <c r="W11" s="30">
        <f t="shared" si="10"/>
        <v>1</v>
      </c>
      <c r="X11" s="27" t="str">
        <f t="shared" si="11"/>
        <v>⏳ لا توجد فواتير شراء</v>
      </c>
      <c r="Y11" t="str">
        <f t="shared" si="12"/>
        <v>47915</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39914</v>
      </c>
      <c r="D50" s="31"/>
      <c r="E50" s="32">
        <f>SUM(E5:E49)</f>
        <v>221791</v>
      </c>
      <c r="F50" s="32">
        <f>SUM(F5:F49)</f>
        <v>33268.65</v>
      </c>
      <c r="G50" s="32">
        <f>SUM(G5:G49)</f>
        <v>255059.65</v>
      </c>
      <c r="H50" s="31"/>
      <c r="I50" s="31"/>
      <c r="J50" s="31"/>
      <c r="K50" s="31"/>
      <c r="L50" s="31"/>
      <c r="M50" s="46">
        <f>SUM(M5:M49)</f>
        <v>0</v>
      </c>
      <c r="N50" s="31"/>
      <c r="O50" s="32">
        <f>SUM(O5:O49)</f>
        <v>0</v>
      </c>
      <c r="P50" s="32">
        <f>SUM(P5:P49)</f>
        <v>0</v>
      </c>
      <c r="Q50" s="32">
        <f>SUM(Q5:Q49)</f>
        <v>0</v>
      </c>
      <c r="R50" s="31"/>
      <c r="S50" s="31"/>
      <c r="T50" s="32">
        <f>SUM(T5:T49)</f>
        <v>0</v>
      </c>
      <c r="U50" s="31"/>
      <c r="V50" s="32">
        <f>SUM(V5:V49)</f>
        <v>221791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58" priority="9">
      <formula>ISNUMBER(SEARCH("غير معرف",B5))</formula>
    </cfRule>
  </conditionalFormatting>
  <conditionalFormatting sqref="H5:Q49">
    <cfRule type="expression" dxfId="57" priority="2">
      <formula>AND($Z5&lt;&gt;"",COUNTIF($Y$5:$Y$49,$Z5)=0)</formula>
    </cfRule>
  </conditionalFormatting>
  <conditionalFormatting sqref="I5:I49">
    <cfRule type="expression" dxfId="56" priority="10">
      <formula>ISNUMBER(SEARCH("غير معرف",I5))</formula>
    </cfRule>
  </conditionalFormatting>
  <conditionalFormatting sqref="J5:J49">
    <cfRule type="expression" dxfId="55" priority="3">
      <formula>ISNUMBER(SEARCH("تم استلام",J5))</formula>
    </cfRule>
    <cfRule type="expression" dxfId="54" priority="4">
      <formula>ISNUMBER(SEARCH("لم تصل",J5))</formula>
    </cfRule>
  </conditionalFormatting>
  <conditionalFormatting sqref="V5:V50">
    <cfRule type="cellIs" dxfId="53" priority="5" operator="lessThan">
      <formula>0</formula>
    </cfRule>
  </conditionalFormatting>
  <conditionalFormatting sqref="X5:X49">
    <cfRule type="expression" dxfId="52" priority="6">
      <formula>ISNUMBER(SEARCH("اكتملت",X5))</formula>
    </cfRule>
    <cfRule type="expression" dxfId="51" priority="7">
      <formula>ISNUMBER(SEARCH("وصل ",X5))</formula>
    </cfRule>
    <cfRule type="expression" dxfId="50" priority="8">
      <formula>ISNUMBER(SEARCH("لا توجد",X5))</formula>
    </cfRule>
  </conditionalFormatting>
  <dataValidations count="1">
    <dataValidation type="list" allowBlank="1" sqref="H5:H49" xr:uid="{00000000-0002-0000-1C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C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C00-000000000000}">
          <x14:formula1>
            <xm:f>'قائمة الأصناف'!$A$3:$A$1000</xm:f>
          </x14:formula1>
          <x14:formula2>
            <xm:f>0</xm:f>
          </x14:formula2>
          <xm:sqref>A5:A49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27</v>
      </c>
      <c r="C1" s="16" t="s">
        <v>993</v>
      </c>
      <c r="D1" s="37">
        <f>IF($B$1&lt;=الإعدادات!$B$6,DATE(الإعدادات!$B$3,الإعدادات!$B$4,$B$1),"")</f>
        <v>46200</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108</v>
      </c>
      <c r="B5" s="36" t="str">
        <f>IF(Y5="","",IFERROR(INDEX('قائمة الأصناف'!$B$3:$B$1000,MATCH(Y5,'قائمة الأصناف'!$C$3:$C$1000,0)),"⚠ كود غير معرف"))</f>
        <v>عنب احمر سدلس</v>
      </c>
      <c r="C5" s="42">
        <v>1580</v>
      </c>
      <c r="D5" s="43">
        <v>7.5</v>
      </c>
      <c r="E5" s="29">
        <f t="shared" ref="E5:E49" si="0">IF(OR(C5="",D5=""),"",C5*D5)</f>
        <v>11850</v>
      </c>
      <c r="F5" s="29">
        <f>IF(E5="","",E5*الإعدادات!$B$8)</f>
        <v>1777.5</v>
      </c>
      <c r="G5" s="29">
        <f t="shared" ref="G5:G49" si="1">IF(E5="","",E5+F5)</f>
        <v>13627.5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11850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48643</v>
      </c>
      <c r="Z5" t="str">
        <f t="shared" ref="Z5:Z49" si="13">IF(TRIM(H5)="","",IF(ISNUMBER(VALUE(TRIM(H5))),TEXT(VALUE(TRIM(H5)),"0"),TRIM(H5)))</f>
        <v/>
      </c>
    </row>
    <row r="6" spans="1:26" x14ac:dyDescent="0.25">
      <c r="A6" s="41" t="s">
        <v>100</v>
      </c>
      <c r="B6" s="36" t="str">
        <f>IF(Y6="","",IFERROR(INDEX('قائمة الأصناف'!$B$3:$B$1000,MATCH(Y6,'قائمة الأصناف'!$C$3:$C$1000,0)),"⚠ كود غير معرف"))</f>
        <v>عنب اسود</v>
      </c>
      <c r="C6" s="42">
        <v>1587</v>
      </c>
      <c r="D6" s="43">
        <v>7</v>
      </c>
      <c r="E6" s="29">
        <f t="shared" si="0"/>
        <v>11109</v>
      </c>
      <c r="F6" s="29">
        <f>IF(E6="","",E6*الإعدادات!$B$8)</f>
        <v>1666.35</v>
      </c>
      <c r="G6" s="29">
        <f t="shared" si="1"/>
        <v>12775.35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11109</v>
      </c>
      <c r="W6" s="30">
        <f t="shared" si="10"/>
        <v>1</v>
      </c>
      <c r="X6" s="27" t="str">
        <f t="shared" si="11"/>
        <v>⏳ لا توجد فواتير شراء</v>
      </c>
      <c r="Y6" t="str">
        <f t="shared" si="12"/>
        <v>48601</v>
      </c>
      <c r="Z6" t="str">
        <f t="shared" si="13"/>
        <v/>
      </c>
    </row>
    <row r="7" spans="1:26" x14ac:dyDescent="0.25">
      <c r="A7" s="41" t="s">
        <v>70</v>
      </c>
      <c r="B7" s="36" t="str">
        <f>IF(Y7="","",IFERROR(INDEX('قائمة الأصناف'!$B$3:$B$1000,MATCH(Y7,'قائمة الأصناف'!$C$3:$C$1000,0)),"⚠ كود غير معرف"))</f>
        <v>عنب ابيض</v>
      </c>
      <c r="C7" s="42">
        <v>2513</v>
      </c>
      <c r="D7" s="43">
        <v>6.2</v>
      </c>
      <c r="E7" s="29">
        <f t="shared" si="0"/>
        <v>15580.6</v>
      </c>
      <c r="F7" s="29">
        <f>IF(E7="","",E7*الإعدادات!$B$8)</f>
        <v>2337.09</v>
      </c>
      <c r="G7" s="29">
        <f t="shared" si="1"/>
        <v>17917.690000000002</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15580.6</v>
      </c>
      <c r="W7" s="30">
        <f t="shared" si="10"/>
        <v>1</v>
      </c>
      <c r="X7" s="27" t="str">
        <f t="shared" si="11"/>
        <v>⏳ لا توجد فواتير شراء</v>
      </c>
      <c r="Y7" t="str">
        <f t="shared" si="12"/>
        <v>48575</v>
      </c>
      <c r="Z7" t="str">
        <f t="shared" si="13"/>
        <v/>
      </c>
    </row>
    <row r="8" spans="1:26" x14ac:dyDescent="0.25">
      <c r="A8" s="41" t="s">
        <v>112</v>
      </c>
      <c r="B8" s="36" t="str">
        <f>IF(Y8="","",IFERROR(INDEX('قائمة الأصناف'!$B$3:$B$1000,MATCH(Y8,'قائمة الأصناف'!$C$3:$C$1000,0)),"⚠ كود غير معرف"))</f>
        <v>بخاره حمراء</v>
      </c>
      <c r="C8" s="42">
        <v>2000</v>
      </c>
      <c r="D8" s="43">
        <v>5.5</v>
      </c>
      <c r="E8" s="29">
        <f t="shared" si="0"/>
        <v>11000</v>
      </c>
      <c r="F8" s="29">
        <f>IF(E8="","",E8*الإعدادات!$B$8)</f>
        <v>1650</v>
      </c>
      <c r="G8" s="29">
        <f t="shared" si="1"/>
        <v>12650</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11000</v>
      </c>
      <c r="W8" s="30">
        <f t="shared" si="10"/>
        <v>1</v>
      </c>
      <c r="X8" s="27" t="str">
        <f t="shared" si="11"/>
        <v>⏳ لا توجد فواتير شراء</v>
      </c>
      <c r="Y8" t="str">
        <f t="shared" si="12"/>
        <v>5</v>
      </c>
      <c r="Z8" t="str">
        <f t="shared" si="13"/>
        <v/>
      </c>
    </row>
    <row r="9" spans="1:26" x14ac:dyDescent="0.25">
      <c r="A9" s="41" t="s">
        <v>50</v>
      </c>
      <c r="B9" s="36" t="str">
        <f>IF(Y9="","",IFERROR(INDEX('قائمة الأصناف'!$B$3:$B$1000,MATCH(Y9,'قائمة الأصناف'!$C$3:$C$1000,0)),"⚠ كود غير معرف"))</f>
        <v>مانجو تومي</v>
      </c>
      <c r="C9" s="42">
        <v>1045</v>
      </c>
      <c r="D9" s="43">
        <v>4</v>
      </c>
      <c r="E9" s="29">
        <f t="shared" si="0"/>
        <v>4180</v>
      </c>
      <c r="F9" s="29">
        <f>IF(E9="","",E9*الإعدادات!$B$8)</f>
        <v>627</v>
      </c>
      <c r="G9" s="29">
        <f t="shared" si="1"/>
        <v>4807</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4180</v>
      </c>
      <c r="W9" s="30">
        <f t="shared" si="10"/>
        <v>1</v>
      </c>
      <c r="X9" s="27" t="str">
        <f t="shared" si="11"/>
        <v>⏳ لا توجد فواتير شراء</v>
      </c>
      <c r="Y9" t="str">
        <f t="shared" si="12"/>
        <v>48593</v>
      </c>
      <c r="Z9" t="str">
        <f t="shared" si="13"/>
        <v/>
      </c>
    </row>
    <row r="10" spans="1:26" x14ac:dyDescent="0.25">
      <c r="A10" s="41" t="s">
        <v>110</v>
      </c>
      <c r="B10" s="36" t="str">
        <f>IF(Y10="","",IFERROR(INDEX('قائمة الأصناف'!$B$3:$B$1000,MATCH(Y10,'قائمة الأصناف'!$C$3:$C$1000,0)),"⚠ كود غير معرف"))</f>
        <v>GRAPEFRUIT</v>
      </c>
      <c r="C10" s="42">
        <v>858</v>
      </c>
      <c r="D10" s="43">
        <v>5</v>
      </c>
      <c r="E10" s="29">
        <f t="shared" si="0"/>
        <v>4290</v>
      </c>
      <c r="F10" s="29">
        <f>IF(E10="","",E10*الإعدادات!$B$8)</f>
        <v>643.5</v>
      </c>
      <c r="G10" s="29">
        <f t="shared" si="1"/>
        <v>4933.5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4290</v>
      </c>
      <c r="W10" s="30">
        <f t="shared" si="10"/>
        <v>1</v>
      </c>
      <c r="X10" s="27" t="str">
        <f t="shared" si="11"/>
        <v>⏳ لا توجد فواتير شراء</v>
      </c>
      <c r="Y10" t="str">
        <f t="shared" si="12"/>
        <v>48402</v>
      </c>
      <c r="Z10" t="str">
        <f t="shared" si="13"/>
        <v/>
      </c>
    </row>
    <row r="11" spans="1:26" x14ac:dyDescent="0.25">
      <c r="A11" s="41" t="s">
        <v>78</v>
      </c>
      <c r="B11" s="36" t="str">
        <f>IF(Y11="","",IFERROR(INDEX('قائمة الأصناف'!$B$3:$B$1000,MATCH(Y11,'قائمة الأصناف'!$C$3:$C$1000,0)),"⚠ كود غير معرف"))</f>
        <v>كيوي</v>
      </c>
      <c r="C11" s="42">
        <v>800</v>
      </c>
      <c r="D11" s="43">
        <v>13</v>
      </c>
      <c r="E11" s="29">
        <f t="shared" si="0"/>
        <v>10400</v>
      </c>
      <c r="F11" s="29">
        <f>IF(E11="","",E11*الإعدادات!$B$8)</f>
        <v>1560</v>
      </c>
      <c r="G11" s="29">
        <f t="shared" si="1"/>
        <v>11960</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10400</v>
      </c>
      <c r="W11" s="30">
        <f t="shared" si="10"/>
        <v>1</v>
      </c>
      <c r="X11" s="27" t="str">
        <f t="shared" si="11"/>
        <v>⏳ لا توجد فواتير شراء</v>
      </c>
      <c r="Y11" t="str">
        <f t="shared" si="12"/>
        <v>47786</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10383</v>
      </c>
      <c r="D50" s="31"/>
      <c r="E50" s="32">
        <f>SUM(E5:E49)</f>
        <v>68409.600000000006</v>
      </c>
      <c r="F50" s="32">
        <f>SUM(F5:F49)</f>
        <v>10261.44</v>
      </c>
      <c r="G50" s="32">
        <f>SUM(G5:G49)</f>
        <v>78671.040000000008</v>
      </c>
      <c r="H50" s="31"/>
      <c r="I50" s="31"/>
      <c r="J50" s="31"/>
      <c r="K50" s="31"/>
      <c r="L50" s="31"/>
      <c r="M50" s="46">
        <f>SUM(M5:M49)</f>
        <v>0</v>
      </c>
      <c r="N50" s="31"/>
      <c r="O50" s="32">
        <f>SUM(O5:O49)</f>
        <v>0</v>
      </c>
      <c r="P50" s="32">
        <f>SUM(P5:P49)</f>
        <v>0</v>
      </c>
      <c r="Q50" s="32">
        <f>SUM(Q5:Q49)</f>
        <v>0</v>
      </c>
      <c r="R50" s="31"/>
      <c r="S50" s="31"/>
      <c r="T50" s="32">
        <f>SUM(T5:T49)</f>
        <v>0</v>
      </c>
      <c r="U50" s="31"/>
      <c r="V50" s="32">
        <f>SUM(V5:V49)</f>
        <v>68409.600000000006</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48" priority="9">
      <formula>ISNUMBER(SEARCH("غير معرف",B5))</formula>
    </cfRule>
  </conditionalFormatting>
  <conditionalFormatting sqref="H5:Q49">
    <cfRule type="expression" dxfId="47" priority="2">
      <formula>AND($Z5&lt;&gt;"",COUNTIF($Y$5:$Y$49,$Z5)=0)</formula>
    </cfRule>
  </conditionalFormatting>
  <conditionalFormatting sqref="I5:I49">
    <cfRule type="expression" dxfId="46" priority="10">
      <formula>ISNUMBER(SEARCH("غير معرف",I5))</formula>
    </cfRule>
  </conditionalFormatting>
  <conditionalFormatting sqref="J5:J49">
    <cfRule type="expression" dxfId="45" priority="3">
      <formula>ISNUMBER(SEARCH("تم استلام",J5))</formula>
    </cfRule>
    <cfRule type="expression" dxfId="44" priority="4">
      <formula>ISNUMBER(SEARCH("لم تصل",J5))</formula>
    </cfRule>
  </conditionalFormatting>
  <conditionalFormatting sqref="V5:V50">
    <cfRule type="cellIs" dxfId="43" priority="5" operator="lessThan">
      <formula>0</formula>
    </cfRule>
  </conditionalFormatting>
  <conditionalFormatting sqref="X5:X49">
    <cfRule type="expression" dxfId="42" priority="6">
      <formula>ISNUMBER(SEARCH("اكتملت",X5))</formula>
    </cfRule>
    <cfRule type="expression" dxfId="41" priority="7">
      <formula>ISNUMBER(SEARCH("وصل ",X5))</formula>
    </cfRule>
    <cfRule type="expression" dxfId="40" priority="8">
      <formula>ISNUMBER(SEARCH("لا توجد",X5))</formula>
    </cfRule>
  </conditionalFormatting>
  <dataValidations count="1">
    <dataValidation type="list" allowBlank="1" sqref="H5:H49" xr:uid="{00000000-0002-0000-1D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D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D00-000000000000}">
          <x14:formula1>
            <xm:f>'قائمة الأصناف'!$A$3:$A$1000</xm:f>
          </x14:formula1>
          <x14:formula2>
            <xm:f>0</xm:f>
          </x14:formula2>
          <xm:sqref>A5:A49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28</v>
      </c>
      <c r="C1" s="16" t="s">
        <v>993</v>
      </c>
      <c r="D1" s="37">
        <f>IF($B$1&lt;=الإعدادات!$B$6,DATE(الإعدادات!$B$3,الإعدادات!$B$4,$B$1),"")</f>
        <v>46201</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104</v>
      </c>
      <c r="B5" s="36" t="str">
        <f>IF(Y5="","",IFERROR(INDEX('قائمة الأصناف'!$B$3:$B$1000,MATCH(Y5,'قائمة الأصناف'!$C$3:$C$1000,0)),"⚠ كود غير معرف"))</f>
        <v>خس</v>
      </c>
      <c r="C5" s="42">
        <v>725</v>
      </c>
      <c r="D5" s="43">
        <v>6.5</v>
      </c>
      <c r="E5" s="29">
        <f t="shared" ref="E5:E49" si="0">IF(OR(C5="",D5=""),"",C5*D5)</f>
        <v>4712.5</v>
      </c>
      <c r="F5" s="29">
        <f>IF(E5="","",E5*الإعدادات!$B$8)</f>
        <v>706.875</v>
      </c>
      <c r="G5" s="29">
        <f t="shared" ref="G5:G49" si="1">IF(E5="","",E5+F5)</f>
        <v>5419.375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4712.5</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48394</v>
      </c>
      <c r="Z5" t="str">
        <f t="shared" ref="Z5:Z49" si="13">IF(TRIM(H5)="","",IF(ISNUMBER(VALUE(TRIM(H5))),TEXT(VALUE(TRIM(H5)),"0"),TRIM(H5)))</f>
        <v/>
      </c>
    </row>
    <row r="6" spans="1:26" x14ac:dyDescent="0.25">
      <c r="A6" s="41" t="s">
        <v>96</v>
      </c>
      <c r="B6" s="36" t="str">
        <f>IF(Y6="","",IFERROR(INDEX('قائمة الأصناف'!$B$3:$B$1000,MATCH(Y6,'قائمة الأصناف'!$C$3:$C$1000,0)),"⚠ كود غير معرف"))</f>
        <v>بطاطا حلوه</v>
      </c>
      <c r="C6" s="42">
        <v>907</v>
      </c>
      <c r="D6" s="43">
        <v>3.5</v>
      </c>
      <c r="E6" s="29">
        <f t="shared" si="0"/>
        <v>3174.5</v>
      </c>
      <c r="F6" s="29">
        <f>IF(E6="","",E6*الإعدادات!$B$8)</f>
        <v>476.17499999999995</v>
      </c>
      <c r="G6" s="29">
        <f t="shared" si="1"/>
        <v>3650.6750000000002</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3174.5</v>
      </c>
      <c r="W6" s="30">
        <f t="shared" si="10"/>
        <v>1</v>
      </c>
      <c r="X6" s="27" t="str">
        <f t="shared" si="11"/>
        <v>⏳ لا توجد فواتير شراء</v>
      </c>
      <c r="Y6" t="str">
        <f t="shared" si="12"/>
        <v>48217</v>
      </c>
      <c r="Z6" t="str">
        <f t="shared" si="13"/>
        <v/>
      </c>
    </row>
    <row r="7" spans="1:26" x14ac:dyDescent="0.25">
      <c r="A7" s="41" t="s">
        <v>54</v>
      </c>
      <c r="B7" s="36" t="str">
        <f>IF(Y7="","",IFERROR(INDEX('قائمة الأصناف'!$B$3:$B$1000,MATCH(Y7,'قائمة الأصناف'!$C$3:$C$1000,0)),"⚠ كود غير معرف"))</f>
        <v>برتقال عصير</v>
      </c>
      <c r="C7" s="42">
        <v>7406</v>
      </c>
      <c r="D7" s="43">
        <v>3.1</v>
      </c>
      <c r="E7" s="29">
        <f t="shared" si="0"/>
        <v>22958.600000000002</v>
      </c>
      <c r="F7" s="29">
        <f>IF(E7="","",E7*الإعدادات!$B$8)</f>
        <v>3443.7900000000004</v>
      </c>
      <c r="G7" s="29">
        <f t="shared" si="1"/>
        <v>26402.390000000003</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22958.600000000002</v>
      </c>
      <c r="W7" s="30">
        <f t="shared" si="10"/>
        <v>1</v>
      </c>
      <c r="X7" s="27" t="str">
        <f t="shared" si="11"/>
        <v>⏳ لا توجد فواتير شراء</v>
      </c>
      <c r="Y7" t="str">
        <f t="shared" si="12"/>
        <v>49494</v>
      </c>
      <c r="Z7" t="str">
        <f t="shared" si="13"/>
        <v/>
      </c>
    </row>
    <row r="8" spans="1:26" x14ac:dyDescent="0.25">
      <c r="A8" s="41" t="s">
        <v>52</v>
      </c>
      <c r="B8" s="36" t="str">
        <f>IF(Y8="","",IFERROR(INDEX('قائمة الأصناف'!$B$3:$B$1000,MATCH(Y8,'قائمة الأصناف'!$C$3:$C$1000,0)),"⚠ كود غير معرف"))</f>
        <v>برتقال أبو صره</v>
      </c>
      <c r="C8" s="42">
        <v>2945</v>
      </c>
      <c r="D8" s="43">
        <v>7</v>
      </c>
      <c r="E8" s="29">
        <f t="shared" si="0"/>
        <v>20615</v>
      </c>
      <c r="F8" s="29">
        <f>IF(E8="","",E8*الإعدادات!$B$8)</f>
        <v>3092.25</v>
      </c>
      <c r="G8" s="29">
        <f t="shared" si="1"/>
        <v>23707.25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20615</v>
      </c>
      <c r="W8" s="30">
        <f t="shared" si="10"/>
        <v>1</v>
      </c>
      <c r="X8" s="27" t="str">
        <f t="shared" si="11"/>
        <v>⏳ لا توجد فواتير شراء</v>
      </c>
      <c r="Y8" t="str">
        <f t="shared" si="12"/>
        <v>47906</v>
      </c>
      <c r="Z8" t="str">
        <f t="shared" si="13"/>
        <v/>
      </c>
    </row>
    <row r="9" spans="1:26" x14ac:dyDescent="0.25">
      <c r="A9" s="41" t="s">
        <v>92</v>
      </c>
      <c r="B9" s="36" t="str">
        <f>IF(Y9="","",IFERROR(INDEX('قائمة الأصناف'!$B$3:$B$1000,MATCH(Y9,'قائمة الأصناف'!$C$3:$C$1000,0)),"⚠ كود غير معرف"))</f>
        <v>مانجو سمكه</v>
      </c>
      <c r="C9" s="42">
        <v>1596</v>
      </c>
      <c r="D9" s="43">
        <v>6</v>
      </c>
      <c r="E9" s="29">
        <f t="shared" si="0"/>
        <v>9576</v>
      </c>
      <c r="F9" s="29">
        <f>IF(E9="","",E9*الإعدادات!$B$8)</f>
        <v>1436.3999999999999</v>
      </c>
      <c r="G9" s="29">
        <f t="shared" si="1"/>
        <v>11012.4</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9576</v>
      </c>
      <c r="W9" s="30">
        <f t="shared" si="10"/>
        <v>1</v>
      </c>
      <c r="X9" s="27" t="str">
        <f t="shared" si="11"/>
        <v>⏳ لا توجد فواتير شراء</v>
      </c>
      <c r="Y9" t="str">
        <f t="shared" si="12"/>
        <v>47915</v>
      </c>
      <c r="Z9" t="str">
        <f t="shared" si="13"/>
        <v/>
      </c>
    </row>
    <row r="10" spans="1:26" x14ac:dyDescent="0.25">
      <c r="A10" s="41" t="s">
        <v>1053</v>
      </c>
      <c r="B10" s="36" t="str">
        <f>IF(Y10="","",IFERROR(INDEX('قائمة الأصناف'!$B$3:$B$1000,MATCH(Y10,'قائمة الأصناف'!$C$3:$C$1000,0)),"⚠ كود غير معرف"))</f>
        <v>⚠ كود غير معرف</v>
      </c>
      <c r="C10" s="42">
        <v>805</v>
      </c>
      <c r="D10" s="43">
        <v>3</v>
      </c>
      <c r="E10" s="29">
        <f t="shared" si="0"/>
        <v>2415</v>
      </c>
      <c r="F10" s="29">
        <f>IF(E10="","",E10*الإعدادات!$B$8)</f>
        <v>362.25</v>
      </c>
      <c r="G10" s="29">
        <f t="shared" si="1"/>
        <v>2777.25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2415</v>
      </c>
      <c r="W10" s="30">
        <f t="shared" si="10"/>
        <v>1</v>
      </c>
      <c r="X10" s="27" t="str">
        <f t="shared" si="11"/>
        <v>⏳ لا توجد فواتير شراء</v>
      </c>
      <c r="Y10" t="str">
        <f t="shared" si="12"/>
        <v>48229</v>
      </c>
      <c r="Z10" t="str">
        <f t="shared" si="13"/>
        <v/>
      </c>
    </row>
    <row r="11" spans="1:26" x14ac:dyDescent="0.25">
      <c r="A11" s="41" t="s">
        <v>113</v>
      </c>
      <c r="B11" s="36" t="str">
        <f>IF(Y11="","",IFERROR(INDEX('قائمة الأصناف'!$B$3:$B$1000,MATCH(Y11,'قائمة الأصناف'!$C$3:$C$1000,0)),"⚠ كود غير معرف"))</f>
        <v>CHERRYSMALLBOX</v>
      </c>
      <c r="C11" s="42">
        <v>3000</v>
      </c>
      <c r="D11" s="43">
        <v>6.75</v>
      </c>
      <c r="E11" s="29">
        <f t="shared" si="0"/>
        <v>20250</v>
      </c>
      <c r="F11" s="29">
        <f>IF(E11="","",E11*الإعدادات!$B$8)</f>
        <v>3037.5</v>
      </c>
      <c r="G11" s="29">
        <f t="shared" si="1"/>
        <v>23287.5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20250</v>
      </c>
      <c r="W11" s="30">
        <f t="shared" si="10"/>
        <v>1</v>
      </c>
      <c r="X11" s="27" t="str">
        <f t="shared" si="11"/>
        <v>⏳ لا توجد فواتير شراء</v>
      </c>
      <c r="Y11" t="str">
        <f t="shared" si="12"/>
        <v>48586</v>
      </c>
      <c r="Z11" t="str">
        <f t="shared" si="13"/>
        <v/>
      </c>
    </row>
    <row r="12" spans="1:26" x14ac:dyDescent="0.25">
      <c r="A12" s="41" t="s">
        <v>80</v>
      </c>
      <c r="B12" s="36" t="str">
        <f>IF(Y12="","",IFERROR(INDEX('قائمة الأصناف'!$B$3:$B$1000,MATCH(Y12,'قائمة الأصناف'!$C$3:$C$1000,0)),"⚠ كود غير معرف"))</f>
        <v>بصل احمر</v>
      </c>
      <c r="C12" s="42">
        <v>19550</v>
      </c>
      <c r="D12" s="43">
        <v>2</v>
      </c>
      <c r="E12" s="29">
        <f t="shared" si="0"/>
        <v>39100</v>
      </c>
      <c r="F12" s="29">
        <f>IF(E12="","",E12*الإعدادات!$B$8)</f>
        <v>5865</v>
      </c>
      <c r="G12" s="29">
        <f t="shared" si="1"/>
        <v>44965</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39100</v>
      </c>
      <c r="W12" s="30">
        <f t="shared" si="10"/>
        <v>1</v>
      </c>
      <c r="X12" s="27" t="str">
        <f t="shared" si="11"/>
        <v>⏳ لا توجد فواتير شراء</v>
      </c>
      <c r="Y12" t="str">
        <f t="shared" si="12"/>
        <v>49502</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36934</v>
      </c>
      <c r="D50" s="31"/>
      <c r="E50" s="32">
        <f>SUM(E5:E49)</f>
        <v>122801.60000000001</v>
      </c>
      <c r="F50" s="32">
        <f>SUM(F5:F49)</f>
        <v>18420.239999999998</v>
      </c>
      <c r="G50" s="32">
        <f>SUM(G5:G49)</f>
        <v>141221.84</v>
      </c>
      <c r="H50" s="31"/>
      <c r="I50" s="31"/>
      <c r="J50" s="31"/>
      <c r="K50" s="31"/>
      <c r="L50" s="31"/>
      <c r="M50" s="46">
        <f>SUM(M5:M49)</f>
        <v>0</v>
      </c>
      <c r="N50" s="31"/>
      <c r="O50" s="32">
        <f>SUM(O5:O49)</f>
        <v>0</v>
      </c>
      <c r="P50" s="32">
        <f>SUM(P5:P49)</f>
        <v>0</v>
      </c>
      <c r="Q50" s="32">
        <f>SUM(Q5:Q49)</f>
        <v>0</v>
      </c>
      <c r="R50" s="31"/>
      <c r="S50" s="31"/>
      <c r="T50" s="32">
        <f>SUM(T5:T49)</f>
        <v>0</v>
      </c>
      <c r="U50" s="31"/>
      <c r="V50" s="32">
        <f>SUM(V5:V49)</f>
        <v>122801.60000000001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38" priority="9">
      <formula>ISNUMBER(SEARCH("غير معرف",B5))</formula>
    </cfRule>
  </conditionalFormatting>
  <conditionalFormatting sqref="H5:Q49">
    <cfRule type="expression" dxfId="37" priority="2">
      <formula>AND($Z5&lt;&gt;"",COUNTIF($Y$5:$Y$49,$Z5)=0)</formula>
    </cfRule>
  </conditionalFormatting>
  <conditionalFormatting sqref="I5:I49">
    <cfRule type="expression" dxfId="36" priority="10">
      <formula>ISNUMBER(SEARCH("غير معرف",I5))</formula>
    </cfRule>
  </conditionalFormatting>
  <conditionalFormatting sqref="J5:J49">
    <cfRule type="expression" dxfId="35" priority="3">
      <formula>ISNUMBER(SEARCH("تم استلام",J5))</formula>
    </cfRule>
    <cfRule type="expression" dxfId="34" priority="4">
      <formula>ISNUMBER(SEARCH("لم تصل",J5))</formula>
    </cfRule>
  </conditionalFormatting>
  <conditionalFormatting sqref="V5:V50">
    <cfRule type="cellIs" dxfId="33" priority="5" operator="lessThan">
      <formula>0</formula>
    </cfRule>
  </conditionalFormatting>
  <conditionalFormatting sqref="X5:X49">
    <cfRule type="expression" dxfId="32" priority="6">
      <formula>ISNUMBER(SEARCH("اكتملت",X5))</formula>
    </cfRule>
    <cfRule type="expression" dxfId="31" priority="7">
      <formula>ISNUMBER(SEARCH("وصل ",X5))</formula>
    </cfRule>
    <cfRule type="expression" dxfId="30" priority="8">
      <formula>ISNUMBER(SEARCH("لا توجد",X5))</formula>
    </cfRule>
  </conditionalFormatting>
  <dataValidations count="1">
    <dataValidation type="list" allowBlank="1" sqref="H5:H49" xr:uid="{00000000-0002-0000-1E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E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E00-000000000000}">
          <x14:formula1>
            <xm:f>'قائمة الأصناف'!$A$3:$A$1000</xm:f>
          </x14:formula1>
          <x14:formula2>
            <xm:f>0</xm:f>
          </x14:formula2>
          <xm:sqref>A5:A49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29</v>
      </c>
      <c r="C1" s="16" t="s">
        <v>993</v>
      </c>
      <c r="D1" s="37">
        <f>IF($B$1&lt;=الإعدادات!$B$6,DATE(الإعدادات!$B$3,الإعدادات!$B$4,$B$1),"")</f>
        <v>46202</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68</v>
      </c>
      <c r="B5" s="36" t="str">
        <f>IF(Y5="","",IFERROR(INDEX('قائمة الأصناف'!$B$3:$B$1000,MATCH(Y5,'قائمة الأصناف'!$C$3:$C$1000,0)),"⚠ كود غير معرف"))</f>
        <v>ليمون</v>
      </c>
      <c r="C5" s="42">
        <v>6000</v>
      </c>
      <c r="D5" s="43">
        <v>6.2</v>
      </c>
      <c r="E5" s="29">
        <f t="shared" ref="E5:E49" si="0">IF(OR(C5="",D5=""),"",C5*D5)</f>
        <v>37200</v>
      </c>
      <c r="F5" s="29">
        <f>IF(E5="","",E5*الإعدادات!$B$8)</f>
        <v>5580</v>
      </c>
      <c r="G5" s="29">
        <f t="shared" ref="G5:G49" si="1">IF(E5="","",E5+F5)</f>
        <v>42780</v>
      </c>
      <c r="H5" s="41" t="s">
        <v>68</v>
      </c>
      <c r="I5" s="36" t="str">
        <f>IF(Z5="","",IF(COUNTIF($Y$5:$Y$49,Z5)=0,"⚠ الصنف غير موجود في المبيعات",IFERROR(INDEX('قائمة الأصناف'!$B$3:$B$1000,MATCH(Z5,'قائمة الأصناف'!$C$3:$C$1000,0)),"⚠ كود غير معرف")))</f>
        <v>ليمون</v>
      </c>
      <c r="J5" s="27" t="str">
        <f t="shared" ref="J5:J49" si="2">IF(AND(Z5="",TRIM(K5)="",M5="",N5=""),"",IF(AND(Z5&lt;&gt;"",COUNTIF($Y$5:$Y$49,Z5)=0),"✗ حُذف من المبيعات — مستبعد من الحساب",IF(N5="","✗ لم تصل من المورد","✓ تم استلام الفاتورة")))</f>
        <v>✗ لم تصل من المورد</v>
      </c>
      <c r="K5" s="44" t="s">
        <v>1054</v>
      </c>
      <c r="L5" s="41"/>
      <c r="M5" s="42">
        <v>480</v>
      </c>
      <c r="N5" s="43"/>
      <c r="O5" s="29" t="str">
        <f t="shared" ref="O5:O49" si="3">IF(OR(M5="",N5=""),"",IF(COUNTIF($Y$5:$Y$49,Z5)=0,"",M5*N5))</f>
        <v/>
      </c>
      <c r="P5" s="29" t="str">
        <f>IF(O5="","",O5*الإعدادات!$B$8)</f>
        <v/>
      </c>
      <c r="Q5" s="29" t="str">
        <f t="shared" ref="Q5:Q49" si="4">IF(O5="","",O5+P5)</f>
        <v/>
      </c>
      <c r="R5" s="45">
        <f t="shared" ref="R5:R49" si="5">IF(Y5="","",SUMIFS($M$5:$M$49,$Z$5:$Z$49,Y5))</f>
        <v>480</v>
      </c>
      <c r="S5" s="45">
        <f t="shared" ref="S5:S49" si="6">IF(Y5="","",COUNTIFS($Z$5:$Z$49,Y5))</f>
        <v>1</v>
      </c>
      <c r="T5" s="29">
        <f t="shared" ref="T5:T49" si="7">IF(Y5="","",SUMIFS($O$5:$O$49,$Z$5:$Z$49,Y5))</f>
        <v>0</v>
      </c>
      <c r="U5" s="29">
        <f t="shared" ref="U5:U49" si="8">IF(Y5="","",IF(N(R5)=0,"",T5/R5))</f>
        <v>0</v>
      </c>
      <c r="V5" s="29">
        <f t="shared" ref="V5:V49" si="9">IF(Y5="","",N(E5)-T5)</f>
        <v>37200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48024</v>
      </c>
      <c r="Z5" t="str">
        <f t="shared" ref="Z5:Z49" si="13">IF(TRIM(H5)="","",IF(ISNUMBER(VALUE(TRIM(H5))),TEXT(VALUE(TRIM(H5)),"0"),TRIM(H5)))</f>
        <v>48024</v>
      </c>
    </row>
    <row r="6" spans="1:26" x14ac:dyDescent="0.25">
      <c r="A6" s="41" t="s">
        <v>58</v>
      </c>
      <c r="B6" s="36" t="str">
        <f>IF(Y6="","",IFERROR(INDEX('قائمة الأصناف'!$B$3:$B$1000,MATCH(Y6,'قائمة الأصناف'!$C$3:$C$1000,0)),"⚠ كود غير معرف"))</f>
        <v>كلمنتينا</v>
      </c>
      <c r="C6" s="42">
        <v>2528</v>
      </c>
      <c r="D6" s="43">
        <v>5.5</v>
      </c>
      <c r="E6" s="29">
        <f t="shared" si="0"/>
        <v>13904</v>
      </c>
      <c r="F6" s="29">
        <f>IF(E6="","",E6*الإعدادات!$B$8)</f>
        <v>2085.6</v>
      </c>
      <c r="G6" s="29">
        <f t="shared" si="1"/>
        <v>15989.6</v>
      </c>
      <c r="H6" s="41" t="s">
        <v>58</v>
      </c>
      <c r="I6" s="36" t="str">
        <f>IF(Z6="","",IF(COUNTIF($Y$5:$Y$49,Z6)=0,"⚠ الصنف غير موجود في المبيعات",IFERROR(INDEX('قائمة الأصناف'!$B$3:$B$1000,MATCH(Z6,'قائمة الأصناف'!$C$3:$C$1000,0)),"⚠ كود غير معرف")))</f>
        <v>كلمنتينا</v>
      </c>
      <c r="J6" s="27" t="str">
        <f t="shared" si="2"/>
        <v>✗ لم تصل من المورد</v>
      </c>
      <c r="K6" s="44" t="s">
        <v>1029</v>
      </c>
      <c r="L6" s="41"/>
      <c r="M6" s="42">
        <v>136</v>
      </c>
      <c r="N6" s="43"/>
      <c r="O6" s="29" t="str">
        <f t="shared" si="3"/>
        <v/>
      </c>
      <c r="P6" s="29" t="str">
        <f>IF(O6="","",O6*الإعدادات!$B$8)</f>
        <v/>
      </c>
      <c r="Q6" s="29" t="str">
        <f t="shared" si="4"/>
        <v/>
      </c>
      <c r="R6" s="45">
        <f t="shared" si="5"/>
        <v>136</v>
      </c>
      <c r="S6" s="45">
        <f t="shared" si="6"/>
        <v>1</v>
      </c>
      <c r="T6" s="29">
        <f t="shared" si="7"/>
        <v>0</v>
      </c>
      <c r="U6" s="29">
        <f t="shared" si="8"/>
        <v>0</v>
      </c>
      <c r="V6" s="29">
        <f t="shared" si="9"/>
        <v>13904</v>
      </c>
      <c r="W6" s="30">
        <f t="shared" si="10"/>
        <v>1</v>
      </c>
      <c r="X6" s="27" t="str">
        <f t="shared" si="11"/>
        <v>⚠ وصل 0 من 1 فواتير</v>
      </c>
      <c r="Y6" t="str">
        <f t="shared" si="12"/>
        <v>48432</v>
      </c>
      <c r="Z6" t="str">
        <f t="shared" si="13"/>
        <v>48432</v>
      </c>
    </row>
    <row r="7" spans="1:26" x14ac:dyDescent="0.25">
      <c r="A7" s="41" t="s">
        <v>76</v>
      </c>
      <c r="B7" s="36" t="str">
        <f>IF(Y7="","",IFERROR(INDEX('قائمة الأصناف'!$B$3:$B$1000,MATCH(Y7,'قائمة الأصناف'!$C$3:$C$1000,0)),"⚠ كود غير معرف"))</f>
        <v>افوكادو</v>
      </c>
      <c r="C7" s="42">
        <v>3000</v>
      </c>
      <c r="D7" s="43">
        <v>7</v>
      </c>
      <c r="E7" s="29">
        <f t="shared" si="0"/>
        <v>21000</v>
      </c>
      <c r="F7" s="29">
        <f>IF(E7="","",E7*الإعدادات!$B$8)</f>
        <v>3150</v>
      </c>
      <c r="G7" s="29">
        <f t="shared" si="1"/>
        <v>24150</v>
      </c>
      <c r="H7" s="41" t="s">
        <v>76</v>
      </c>
      <c r="I7" s="36" t="str">
        <f>IF(Z7="","",IF(COUNTIF($Y$5:$Y$49,Z7)=0,"⚠ الصنف غير موجود في المبيعات",IFERROR(INDEX('قائمة الأصناف'!$B$3:$B$1000,MATCH(Z7,'قائمة الأصناف'!$C$3:$C$1000,0)),"⚠ كود غير معرف")))</f>
        <v>افوكادو</v>
      </c>
      <c r="J7" s="27" t="str">
        <f t="shared" si="2"/>
        <v>✗ لم تصل من المورد</v>
      </c>
      <c r="K7" s="44" t="s">
        <v>1042</v>
      </c>
      <c r="L7" s="41"/>
      <c r="M7" s="42">
        <v>600</v>
      </c>
      <c r="N7" s="43"/>
      <c r="O7" s="29" t="str">
        <f t="shared" si="3"/>
        <v/>
      </c>
      <c r="P7" s="29" t="str">
        <f>IF(O7="","",O7*الإعدادات!$B$8)</f>
        <v/>
      </c>
      <c r="Q7" s="29" t="str">
        <f t="shared" si="4"/>
        <v/>
      </c>
      <c r="R7" s="45">
        <f t="shared" si="5"/>
        <v>600</v>
      </c>
      <c r="S7" s="45">
        <f t="shared" si="6"/>
        <v>1</v>
      </c>
      <c r="T7" s="29">
        <f t="shared" si="7"/>
        <v>0</v>
      </c>
      <c r="U7" s="29">
        <f t="shared" si="8"/>
        <v>0</v>
      </c>
      <c r="V7" s="29">
        <f t="shared" si="9"/>
        <v>21000</v>
      </c>
      <c r="W7" s="30">
        <f t="shared" si="10"/>
        <v>1</v>
      </c>
      <c r="X7" s="27" t="str">
        <f t="shared" si="11"/>
        <v>⚠ وصل 0 من 1 فواتير</v>
      </c>
      <c r="Y7" t="str">
        <f t="shared" si="12"/>
        <v>48206</v>
      </c>
      <c r="Z7" t="str">
        <f t="shared" si="13"/>
        <v>48206</v>
      </c>
    </row>
    <row r="8" spans="1:26" x14ac:dyDescent="0.25">
      <c r="A8" s="41" t="s">
        <v>48</v>
      </c>
      <c r="B8" s="36" t="str">
        <f>IF(Y8="","",IFERROR(INDEX('قائمة الأصناف'!$B$3:$B$1000,MATCH(Y8,'قائمة الأصناف'!$C$3:$C$1000,0)),"⚠ كود غير معرف"))</f>
        <v>مانجو يمنى</v>
      </c>
      <c r="C8" s="42">
        <v>1799</v>
      </c>
      <c r="D8" s="43">
        <v>5</v>
      </c>
      <c r="E8" s="29">
        <f t="shared" si="0"/>
        <v>8995</v>
      </c>
      <c r="F8" s="29">
        <f>IF(E8="","",E8*الإعدادات!$B$8)</f>
        <v>1349.25</v>
      </c>
      <c r="G8" s="29">
        <f t="shared" si="1"/>
        <v>10344.25</v>
      </c>
      <c r="H8" s="41" t="s">
        <v>48</v>
      </c>
      <c r="I8" s="36" t="str">
        <f>IF(Z8="","",IF(COUNTIF($Y$5:$Y$49,Z8)=0,"⚠ الصنف غير موجود في المبيعات",IFERROR(INDEX('قائمة الأصناف'!$B$3:$B$1000,MATCH(Z8,'قائمة الأصناف'!$C$3:$C$1000,0)),"⚠ كود غير معرف")))</f>
        <v>مانجو يمنى</v>
      </c>
      <c r="J8" s="27" t="str">
        <f t="shared" si="2"/>
        <v>✗ لم تصل من المورد</v>
      </c>
      <c r="K8" s="44" t="s">
        <v>1018</v>
      </c>
      <c r="L8" s="41"/>
      <c r="M8" s="42">
        <v>524</v>
      </c>
      <c r="N8" s="43"/>
      <c r="O8" s="29" t="str">
        <f t="shared" si="3"/>
        <v/>
      </c>
      <c r="P8" s="29" t="str">
        <f>IF(O8="","",O8*الإعدادات!$B$8)</f>
        <v/>
      </c>
      <c r="Q8" s="29" t="str">
        <f t="shared" si="4"/>
        <v/>
      </c>
      <c r="R8" s="45">
        <f t="shared" si="5"/>
        <v>524</v>
      </c>
      <c r="S8" s="45">
        <f t="shared" si="6"/>
        <v>1</v>
      </c>
      <c r="T8" s="29">
        <f t="shared" si="7"/>
        <v>0</v>
      </c>
      <c r="U8" s="29">
        <f t="shared" si="8"/>
        <v>0</v>
      </c>
      <c r="V8" s="29">
        <f t="shared" si="9"/>
        <v>8995</v>
      </c>
      <c r="W8" s="30">
        <f t="shared" si="10"/>
        <v>1</v>
      </c>
      <c r="X8" s="27" t="str">
        <f t="shared" si="11"/>
        <v>⚠ وصل 0 من 1 فواتير</v>
      </c>
      <c r="Y8" t="str">
        <f t="shared" si="12"/>
        <v>48568</v>
      </c>
      <c r="Z8" t="str">
        <f t="shared" si="13"/>
        <v>48568</v>
      </c>
    </row>
    <row r="9" spans="1:26" x14ac:dyDescent="0.25">
      <c r="A9" s="41" t="s">
        <v>108</v>
      </c>
      <c r="B9" s="36" t="str">
        <f>IF(Y9="","",IFERROR(INDEX('قائمة الأصناف'!$B$3:$B$1000,MATCH(Y9,'قائمة الأصناف'!$C$3:$C$1000,0)),"⚠ كود غير معرف"))</f>
        <v>عنب احمر سدلس</v>
      </c>
      <c r="C9" s="42">
        <v>2333</v>
      </c>
      <c r="D9" s="43">
        <v>7.5</v>
      </c>
      <c r="E9" s="29">
        <f t="shared" si="0"/>
        <v>17497.5</v>
      </c>
      <c r="F9" s="29">
        <f>IF(E9="","",E9*الإعدادات!$B$8)</f>
        <v>2624.625</v>
      </c>
      <c r="G9" s="29">
        <f t="shared" si="1"/>
        <v>20122.125</v>
      </c>
      <c r="H9" s="41" t="s">
        <v>108</v>
      </c>
      <c r="I9" s="36" t="str">
        <f>IF(Z9="","",IF(COUNTIF($Y$5:$Y$49,Z9)=0,"⚠ الصنف غير موجود في المبيعات",IFERROR(INDEX('قائمة الأصناف'!$B$3:$B$1000,MATCH(Z9,'قائمة الأصناف'!$C$3:$C$1000,0)),"⚠ كود غير معرف")))</f>
        <v>عنب احمر سدلس</v>
      </c>
      <c r="J9" s="27" t="str">
        <f t="shared" si="2"/>
        <v>✗ لم تصل من المورد</v>
      </c>
      <c r="K9" s="44" t="s">
        <v>1029</v>
      </c>
      <c r="L9" s="41"/>
      <c r="M9" s="42">
        <v>260</v>
      </c>
      <c r="N9" s="43"/>
      <c r="O9" s="29" t="str">
        <f t="shared" si="3"/>
        <v/>
      </c>
      <c r="P9" s="29" t="str">
        <f>IF(O9="","",O9*الإعدادات!$B$8)</f>
        <v/>
      </c>
      <c r="Q9" s="29" t="str">
        <f t="shared" si="4"/>
        <v/>
      </c>
      <c r="R9" s="45">
        <f t="shared" si="5"/>
        <v>260</v>
      </c>
      <c r="S9" s="45">
        <f t="shared" si="6"/>
        <v>1</v>
      </c>
      <c r="T9" s="29">
        <f t="shared" si="7"/>
        <v>0</v>
      </c>
      <c r="U9" s="29">
        <f t="shared" si="8"/>
        <v>0</v>
      </c>
      <c r="V9" s="29">
        <f t="shared" si="9"/>
        <v>17497.5</v>
      </c>
      <c r="W9" s="30">
        <f t="shared" si="10"/>
        <v>1</v>
      </c>
      <c r="X9" s="27" t="str">
        <f t="shared" si="11"/>
        <v>⚠ وصل 0 من 1 فواتير</v>
      </c>
      <c r="Y9" t="str">
        <f t="shared" si="12"/>
        <v>48643</v>
      </c>
      <c r="Z9" t="str">
        <f t="shared" si="13"/>
        <v>48643</v>
      </c>
    </row>
    <row r="10" spans="1:26" x14ac:dyDescent="0.25">
      <c r="A10" s="41" t="s">
        <v>1055</v>
      </c>
      <c r="B10" s="36" t="str">
        <f>IF(Y10="","",IFERROR(INDEX('قائمة الأصناف'!$B$3:$B$1000,MATCH(Y10,'قائمة الأصناف'!$C$3:$C$1000,0)),"⚠ كود غير معرف"))</f>
        <v>⚠ كود غير معرف</v>
      </c>
      <c r="C10" s="42">
        <v>2000</v>
      </c>
      <c r="D10" s="43">
        <v>6</v>
      </c>
      <c r="E10" s="29">
        <f t="shared" si="0"/>
        <v>12000</v>
      </c>
      <c r="F10" s="29">
        <f>IF(E10="","",E10*الإعدادات!$B$8)</f>
        <v>1800</v>
      </c>
      <c r="G10" s="29">
        <f t="shared" si="1"/>
        <v>13800</v>
      </c>
      <c r="H10" s="41" t="s">
        <v>1055</v>
      </c>
      <c r="I10" s="36" t="str">
        <f>IF(Z10="","",IF(COUNTIF($Y$5:$Y$49,Z10)=0,"⚠ الصنف غير موجود في المبيعات",IFERROR(INDEX('قائمة الأصناف'!$B$3:$B$1000,MATCH(Z10,'قائمة الأصناف'!$C$3:$C$1000,0)),"⚠ كود غير معرف")))</f>
        <v>⚠ كود غير معرف</v>
      </c>
      <c r="J10" s="27" t="str">
        <f t="shared" si="2"/>
        <v>✗ لم تصل من المورد</v>
      </c>
      <c r="K10" s="44" t="s">
        <v>1036</v>
      </c>
      <c r="L10" s="41"/>
      <c r="M10" s="42">
        <v>240</v>
      </c>
      <c r="N10" s="43"/>
      <c r="O10" s="29" t="str">
        <f t="shared" si="3"/>
        <v/>
      </c>
      <c r="P10" s="29" t="str">
        <f>IF(O10="","",O10*الإعدادات!$B$8)</f>
        <v/>
      </c>
      <c r="Q10" s="29" t="str">
        <f t="shared" si="4"/>
        <v/>
      </c>
      <c r="R10" s="45">
        <f t="shared" si="5"/>
        <v>240</v>
      </c>
      <c r="S10" s="45">
        <f t="shared" si="6"/>
        <v>1</v>
      </c>
      <c r="T10" s="29">
        <f t="shared" si="7"/>
        <v>0</v>
      </c>
      <c r="U10" s="29">
        <f t="shared" si="8"/>
        <v>0</v>
      </c>
      <c r="V10" s="29">
        <f t="shared" si="9"/>
        <v>12000</v>
      </c>
      <c r="W10" s="30">
        <f t="shared" si="10"/>
        <v>1</v>
      </c>
      <c r="X10" s="27" t="str">
        <f t="shared" si="11"/>
        <v>⚠ وصل 0 من 1 فواتير</v>
      </c>
      <c r="Y10" t="str">
        <f t="shared" si="12"/>
        <v>47909</v>
      </c>
      <c r="Z10" t="str">
        <f t="shared" si="13"/>
        <v>47909</v>
      </c>
    </row>
    <row r="11" spans="1:26" x14ac:dyDescent="0.25">
      <c r="A11" s="41" t="s">
        <v>50</v>
      </c>
      <c r="B11" s="36" t="str">
        <f>IF(Y11="","",IFERROR(INDEX('قائمة الأصناف'!$B$3:$B$1000,MATCH(Y11,'قائمة الأصناف'!$C$3:$C$1000,0)),"⚠ كود غير معرف"))</f>
        <v>مانجو تومي</v>
      </c>
      <c r="C11" s="42">
        <v>1878</v>
      </c>
      <c r="D11" s="43">
        <v>4</v>
      </c>
      <c r="E11" s="29">
        <f t="shared" si="0"/>
        <v>7512</v>
      </c>
      <c r="F11" s="29">
        <f>IF(E11="","",E11*الإعدادات!$B$8)</f>
        <v>1126.8</v>
      </c>
      <c r="G11" s="29">
        <f t="shared" si="1"/>
        <v>8638.7999999999993</v>
      </c>
      <c r="H11" s="41" t="s">
        <v>50</v>
      </c>
      <c r="I11" s="36" t="str">
        <f>IF(Z11="","",IF(COUNTIF($Y$5:$Y$49,Z11)=0,"⚠ الصنف غير موجود في المبيعات",IFERROR(INDEX('قائمة الأصناف'!$B$3:$B$1000,MATCH(Z11,'قائمة الأصناف'!$C$3:$C$1000,0)),"⚠ كود غير معرف")))</f>
        <v>مانجو تومي</v>
      </c>
      <c r="J11" s="27" t="str">
        <f t="shared" si="2"/>
        <v>✗ لم تصل من المورد</v>
      </c>
      <c r="K11" s="44" t="s">
        <v>1018</v>
      </c>
      <c r="L11" s="41"/>
      <c r="M11" s="42">
        <v>504</v>
      </c>
      <c r="N11" s="43"/>
      <c r="O11" s="29" t="str">
        <f t="shared" si="3"/>
        <v/>
      </c>
      <c r="P11" s="29" t="str">
        <f>IF(O11="","",O11*الإعدادات!$B$8)</f>
        <v/>
      </c>
      <c r="Q11" s="29" t="str">
        <f t="shared" si="4"/>
        <v/>
      </c>
      <c r="R11" s="45">
        <f t="shared" si="5"/>
        <v>504</v>
      </c>
      <c r="S11" s="45">
        <f t="shared" si="6"/>
        <v>1</v>
      </c>
      <c r="T11" s="29">
        <f t="shared" si="7"/>
        <v>0</v>
      </c>
      <c r="U11" s="29">
        <f t="shared" si="8"/>
        <v>0</v>
      </c>
      <c r="V11" s="29">
        <f t="shared" si="9"/>
        <v>7512</v>
      </c>
      <c r="W11" s="30">
        <f t="shared" si="10"/>
        <v>1</v>
      </c>
      <c r="X11" s="27" t="str">
        <f t="shared" si="11"/>
        <v>⚠ وصل 0 من 1 فواتير</v>
      </c>
      <c r="Y11" t="str">
        <f t="shared" si="12"/>
        <v>48593</v>
      </c>
      <c r="Z11" t="str">
        <f t="shared" si="13"/>
        <v>48593</v>
      </c>
    </row>
    <row r="12" spans="1:26" x14ac:dyDescent="0.25">
      <c r="A12" s="41" t="s">
        <v>113</v>
      </c>
      <c r="B12" s="36" t="str">
        <f>IF(Y12="","",IFERROR(INDEX('قائمة الأصناف'!$B$3:$B$1000,MATCH(Y12,'قائمة الأصناف'!$C$3:$C$1000,0)),"⚠ كود غير معرف"))</f>
        <v>CHERRYSMALLBOX</v>
      </c>
      <c r="C12" s="42">
        <v>4800</v>
      </c>
      <c r="D12" s="43">
        <v>6.75</v>
      </c>
      <c r="E12" s="29">
        <f t="shared" si="0"/>
        <v>32400</v>
      </c>
      <c r="F12" s="29">
        <f>IF(E12="","",E12*الإعدادات!$B$8)</f>
        <v>4860</v>
      </c>
      <c r="G12" s="29">
        <f t="shared" si="1"/>
        <v>37260</v>
      </c>
      <c r="H12" s="41" t="s">
        <v>113</v>
      </c>
      <c r="I12" s="36" t="str">
        <f>IF(Z12="","",IF(COUNTIF($Y$5:$Y$49,Z12)=0,"⚠ الصنف غير موجود في المبيعات",IFERROR(INDEX('قائمة الأصناف'!$B$3:$B$1000,MATCH(Z12,'قائمة الأصناف'!$C$3:$C$1000,0)),"⚠ كود غير معرف")))</f>
        <v>CHERRYSMALLBOX</v>
      </c>
      <c r="J12" s="27" t="str">
        <f t="shared" si="2"/>
        <v>✗ لم تصل من المورد</v>
      </c>
      <c r="K12" s="44" t="s">
        <v>1056</v>
      </c>
      <c r="L12" s="41"/>
      <c r="M12" s="42">
        <v>2000</v>
      </c>
      <c r="N12" s="43"/>
      <c r="O12" s="29" t="str">
        <f t="shared" si="3"/>
        <v/>
      </c>
      <c r="P12" s="29" t="str">
        <f>IF(O12="","",O12*الإعدادات!$B$8)</f>
        <v/>
      </c>
      <c r="Q12" s="29" t="str">
        <f t="shared" si="4"/>
        <v/>
      </c>
      <c r="R12" s="45">
        <f t="shared" si="5"/>
        <v>2000</v>
      </c>
      <c r="S12" s="45">
        <f t="shared" si="6"/>
        <v>1</v>
      </c>
      <c r="T12" s="29">
        <f t="shared" si="7"/>
        <v>0</v>
      </c>
      <c r="U12" s="29">
        <f t="shared" si="8"/>
        <v>0</v>
      </c>
      <c r="V12" s="29">
        <f t="shared" si="9"/>
        <v>32400</v>
      </c>
      <c r="W12" s="30">
        <f t="shared" si="10"/>
        <v>1</v>
      </c>
      <c r="X12" s="27" t="str">
        <f t="shared" si="11"/>
        <v>⚠ وصل 0 من 1 فواتير</v>
      </c>
      <c r="Y12" t="str">
        <f t="shared" si="12"/>
        <v>48586</v>
      </c>
      <c r="Z12" t="str">
        <f t="shared" si="13"/>
        <v>48586</v>
      </c>
    </row>
    <row r="13" spans="1:26" x14ac:dyDescent="0.25">
      <c r="A13" s="41" t="s">
        <v>121</v>
      </c>
      <c r="B13" s="36" t="str">
        <f>IF(Y13="","",IFERROR(INDEX('قائمة الأصناف'!$B$3:$B$1000,MATCH(Y13,'قائمة الأصناف'!$C$3:$C$1000,0)),"⚠ كود غير معرف"))</f>
        <v>WATERMELON</v>
      </c>
      <c r="C13" s="42">
        <v>5111</v>
      </c>
      <c r="D13" s="43">
        <v>1.5</v>
      </c>
      <c r="E13" s="29">
        <f t="shared" si="0"/>
        <v>7666.5</v>
      </c>
      <c r="F13" s="29">
        <f>IF(E13="","",E13*الإعدادات!$B$8)</f>
        <v>1149.9749999999999</v>
      </c>
      <c r="G13" s="29">
        <f t="shared" si="1"/>
        <v>8816.4750000000004</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0</v>
      </c>
      <c r="S13" s="45">
        <f t="shared" si="6"/>
        <v>0</v>
      </c>
      <c r="T13" s="29">
        <f t="shared" si="7"/>
        <v>0</v>
      </c>
      <c r="U13" s="29" t="str">
        <f t="shared" si="8"/>
        <v/>
      </c>
      <c r="V13" s="29">
        <f t="shared" si="9"/>
        <v>7666.5</v>
      </c>
      <c r="W13" s="30">
        <f t="shared" si="10"/>
        <v>1</v>
      </c>
      <c r="X13" s="27" t="str">
        <f t="shared" si="11"/>
        <v>⏳ لا توجد فواتير شراء</v>
      </c>
      <c r="Y13" t="str">
        <f t="shared" si="12"/>
        <v>47809</v>
      </c>
      <c r="Z13" t="str">
        <f t="shared" si="13"/>
        <v/>
      </c>
    </row>
    <row r="14" spans="1:26" x14ac:dyDescent="0.25">
      <c r="A14" s="41" t="s">
        <v>68</v>
      </c>
      <c r="B14" s="36" t="str">
        <f>IF(Y14="","",IFERROR(INDEX('قائمة الأصناف'!$B$3:$B$1000,MATCH(Y14,'قائمة الأصناف'!$C$3:$C$1000,0)),"⚠ كود غير معرف"))</f>
        <v>ليمون</v>
      </c>
      <c r="C14" s="42">
        <v>1468</v>
      </c>
      <c r="D14" s="43">
        <v>6.2</v>
      </c>
      <c r="E14" s="29">
        <f t="shared" si="0"/>
        <v>9101.6</v>
      </c>
      <c r="F14" s="29">
        <f>IF(E14="","",E14*الإعدادات!$B$8)</f>
        <v>1365.24</v>
      </c>
      <c r="G14" s="29">
        <f t="shared" si="1"/>
        <v>10466.84</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f t="shared" si="5"/>
        <v>480</v>
      </c>
      <c r="S14" s="45">
        <f t="shared" si="6"/>
        <v>1</v>
      </c>
      <c r="T14" s="29">
        <f t="shared" si="7"/>
        <v>0</v>
      </c>
      <c r="U14" s="29">
        <f t="shared" si="8"/>
        <v>0</v>
      </c>
      <c r="V14" s="29">
        <f t="shared" si="9"/>
        <v>9101.6</v>
      </c>
      <c r="W14" s="30">
        <f t="shared" si="10"/>
        <v>1</v>
      </c>
      <c r="X14" s="27" t="str">
        <f t="shared" si="11"/>
        <v>⚠ وصل 0 من 1 فواتير</v>
      </c>
      <c r="Y14" t="str">
        <f t="shared" si="12"/>
        <v>48024</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30917</v>
      </c>
      <c r="D50" s="31"/>
      <c r="E50" s="32">
        <f>SUM(E5:E49)</f>
        <v>167276.6</v>
      </c>
      <c r="F50" s="32">
        <f>SUM(F5:F49)</f>
        <v>25091.489999999998</v>
      </c>
      <c r="G50" s="32">
        <f>SUM(G5:G49)</f>
        <v>192368.09</v>
      </c>
      <c r="H50" s="31"/>
      <c r="I50" s="31"/>
      <c r="J50" s="31"/>
      <c r="K50" s="31"/>
      <c r="L50" s="31"/>
      <c r="M50" s="46">
        <f>SUM(M5:M49)</f>
        <v>4744</v>
      </c>
      <c r="N50" s="31"/>
      <c r="O50" s="32">
        <f>SUM(O5:O49)</f>
        <v>0</v>
      </c>
      <c r="P50" s="32">
        <f>SUM(P5:P49)</f>
        <v>0</v>
      </c>
      <c r="Q50" s="32">
        <f>SUM(Q5:Q49)</f>
        <v>0</v>
      </c>
      <c r="R50" s="31"/>
      <c r="S50" s="31"/>
      <c r="T50" s="32">
        <f>SUM(T5:T49)</f>
        <v>0</v>
      </c>
      <c r="U50" s="31"/>
      <c r="V50" s="32">
        <f>SUM(V5:V49)</f>
        <v>167276.6</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8" priority="9">
      <formula>ISNUMBER(SEARCH("غير معرف",B5))</formula>
    </cfRule>
  </conditionalFormatting>
  <conditionalFormatting sqref="H5:Q49">
    <cfRule type="expression" dxfId="27" priority="2">
      <formula>AND($Z5&lt;&gt;"",COUNTIF($Y$5:$Y$49,$Z5)=0)</formula>
    </cfRule>
  </conditionalFormatting>
  <conditionalFormatting sqref="I5:I49">
    <cfRule type="expression" dxfId="26" priority="10">
      <formula>ISNUMBER(SEARCH("غير معرف",I5))</formula>
    </cfRule>
  </conditionalFormatting>
  <conditionalFormatting sqref="J5:J49">
    <cfRule type="expression" dxfId="25" priority="3">
      <formula>ISNUMBER(SEARCH("تم استلام",J5))</formula>
    </cfRule>
    <cfRule type="expression" dxfId="24" priority="4">
      <formula>ISNUMBER(SEARCH("لم تصل",J5))</formula>
    </cfRule>
  </conditionalFormatting>
  <conditionalFormatting sqref="V5:V50">
    <cfRule type="cellIs" dxfId="23" priority="5" operator="lessThan">
      <formula>0</formula>
    </cfRule>
  </conditionalFormatting>
  <conditionalFormatting sqref="X5:X49">
    <cfRule type="expression" dxfId="22" priority="6">
      <formula>ISNUMBER(SEARCH("اكتملت",X5))</formula>
    </cfRule>
    <cfRule type="expression" dxfId="21" priority="7">
      <formula>ISNUMBER(SEARCH("وصل ",X5))</formula>
    </cfRule>
    <cfRule type="expression" dxfId="20" priority="8">
      <formula>ISNUMBER(SEARCH("لا توجد",X5))</formula>
    </cfRule>
  </conditionalFormatting>
  <dataValidations count="1">
    <dataValidation type="list" allowBlank="1" sqref="H5:H49" xr:uid="{00000000-0002-0000-1F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F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F00-000000000000}">
          <x14:formula1>
            <xm:f>'قائمة الأصناف'!$A$3:$A$1000</xm:f>
          </x14:formula1>
          <x14:formula2>
            <xm:f>0</xm:f>
          </x14:formula2>
          <xm:sqref>A5:A49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30</v>
      </c>
      <c r="C1" s="16" t="s">
        <v>993</v>
      </c>
      <c r="D1" s="37">
        <f>IF($B$1&lt;=الإعدادات!$B$6,DATE(الإعدادات!$B$3,الإعدادات!$B$4,$B$1),"")</f>
        <v>46203</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t="s">
        <v>86</v>
      </c>
      <c r="B5" s="36" t="str">
        <f>IF(Y5="","",IFERROR(INDEX('قائمة الأصناف'!$B$3:$B$1000,MATCH(Y5,'قائمة الأصناف'!$C$3:$C$1000,0)),"⚠ كود غير معرف"))</f>
        <v>بخاره حمراء</v>
      </c>
      <c r="C5" s="42">
        <v>955</v>
      </c>
      <c r="D5" s="43">
        <v>8</v>
      </c>
      <c r="E5" s="29">
        <f t="shared" ref="E5:E49" si="0">IF(OR(C5="",D5=""),"",C5*D5)</f>
        <v>7640</v>
      </c>
      <c r="F5" s="29">
        <f>IF(E5="","",E5*الإعدادات!$B$8)</f>
        <v>1146</v>
      </c>
      <c r="G5" s="29">
        <f t="shared" ref="G5:G49" si="1">IF(E5="","",E5+F5)</f>
        <v>8786</v>
      </c>
      <c r="H5" s="41" t="s">
        <v>86</v>
      </c>
      <c r="I5" s="36" t="str">
        <f>IF(Z5="","",IF(COUNTIF($Y$5:$Y$49,Z5)=0,"⚠ الصنف غير موجود في المبيعات",IFERROR(INDEX('قائمة الأصناف'!$B$3:$B$1000,MATCH(Z5,'قائمة الأصناف'!$C$3:$C$1000,0)),"⚠ كود غير معرف")))</f>
        <v>بخاره حمراء</v>
      </c>
      <c r="J5" s="27" t="str">
        <f t="shared" ref="J5:J49" si="2">IF(AND(Z5="",TRIM(K5)="",M5="",N5=""),"",IF(AND(Z5&lt;&gt;"",COUNTIF($Y$5:$Y$49,Z5)=0),"✗ حُذف من المبيعات — مستبعد من الحساب",IF(N5="","✗ لم تصل من المورد","✓ تم استلام الفاتورة")))</f>
        <v>✗ لم تصل من المورد</v>
      </c>
      <c r="K5" s="44" t="s">
        <v>1057</v>
      </c>
      <c r="L5" s="41"/>
      <c r="M5" s="42">
        <v>276</v>
      </c>
      <c r="N5" s="43"/>
      <c r="O5" s="29" t="str">
        <f t="shared" ref="O5:O49" si="3">IF(OR(M5="",N5=""),"",IF(COUNTIF($Y$5:$Y$49,Z5)=0,"",M5*N5))</f>
        <v/>
      </c>
      <c r="P5" s="29" t="str">
        <f>IF(O5="","",O5*الإعدادات!$B$8)</f>
        <v/>
      </c>
      <c r="Q5" s="29" t="str">
        <f t="shared" ref="Q5:Q49" si="4">IF(O5="","",O5+P5)</f>
        <v/>
      </c>
      <c r="R5" s="45">
        <f t="shared" ref="R5:R49" si="5">IF(Y5="","",SUMIFS($M$5:$M$49,$Z$5:$Z$49,Y5))</f>
        <v>276</v>
      </c>
      <c r="S5" s="45">
        <f t="shared" ref="S5:S49" si="6">IF(Y5="","",COUNTIFS($Z$5:$Z$49,Y5))</f>
        <v>1</v>
      </c>
      <c r="T5" s="29">
        <f t="shared" ref="T5:T49" si="7">IF(Y5="","",SUMIFS($O$5:$O$49,$Z$5:$Z$49,Y5))</f>
        <v>0</v>
      </c>
      <c r="U5" s="29">
        <f t="shared" ref="U5:U49" si="8">IF(Y5="","",IF(N(R5)=0,"",T5/R5))</f>
        <v>0</v>
      </c>
      <c r="V5" s="29">
        <f t="shared" ref="V5:V49" si="9">IF(Y5="","",N(E5)-T5)</f>
        <v>7640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47810</v>
      </c>
      <c r="Z5" t="str">
        <f t="shared" ref="Z5:Z49" si="13">IF(TRIM(H5)="","",IF(ISNUMBER(VALUE(TRIM(H5))),TEXT(VALUE(TRIM(H5)),"0"),TRIM(H5)))</f>
        <v>47810</v>
      </c>
    </row>
    <row r="6" spans="1:26" x14ac:dyDescent="0.25">
      <c r="A6" s="41" t="s">
        <v>121</v>
      </c>
      <c r="B6" s="36" t="str">
        <f>IF(Y6="","",IFERROR(INDEX('قائمة الأصناف'!$B$3:$B$1000,MATCH(Y6,'قائمة الأصناف'!$C$3:$C$1000,0)),"⚠ كود غير معرف"))</f>
        <v>WATERMELON</v>
      </c>
      <c r="C6" s="42">
        <v>4875</v>
      </c>
      <c r="D6" s="43">
        <v>1.6</v>
      </c>
      <c r="E6" s="29">
        <f t="shared" si="0"/>
        <v>7800</v>
      </c>
      <c r="F6" s="29">
        <f>IF(E6="","",E6*الإعدادات!$B$8)</f>
        <v>1170</v>
      </c>
      <c r="G6" s="29">
        <f t="shared" si="1"/>
        <v>8970</v>
      </c>
      <c r="H6" s="41" t="s">
        <v>121</v>
      </c>
      <c r="I6" s="36" t="str">
        <f>IF(Z6="","",IF(COUNTIF($Y$5:$Y$49,Z6)=0,"⚠ الصنف غير موجود في المبيعات",IFERROR(INDEX('قائمة الأصناف'!$B$3:$B$1000,MATCH(Z6,'قائمة الأصناف'!$C$3:$C$1000,0)),"⚠ كود غير معرف")))</f>
        <v>WATERMELON</v>
      </c>
      <c r="J6" s="27" t="str">
        <f t="shared" si="2"/>
        <v>✗ لم تصل من المورد</v>
      </c>
      <c r="K6" s="44" t="s">
        <v>1058</v>
      </c>
      <c r="L6" s="41"/>
      <c r="M6" s="42">
        <v>400</v>
      </c>
      <c r="N6" s="43"/>
      <c r="O6" s="29" t="str">
        <f t="shared" si="3"/>
        <v/>
      </c>
      <c r="P6" s="29" t="str">
        <f>IF(O6="","",O6*الإعدادات!$B$8)</f>
        <v/>
      </c>
      <c r="Q6" s="29" t="str">
        <f t="shared" si="4"/>
        <v/>
      </c>
      <c r="R6" s="45">
        <f t="shared" si="5"/>
        <v>400</v>
      </c>
      <c r="S6" s="45">
        <f t="shared" si="6"/>
        <v>1</v>
      </c>
      <c r="T6" s="29">
        <f t="shared" si="7"/>
        <v>0</v>
      </c>
      <c r="U6" s="29">
        <f t="shared" si="8"/>
        <v>0</v>
      </c>
      <c r="V6" s="29">
        <f t="shared" si="9"/>
        <v>7800</v>
      </c>
      <c r="W6" s="30">
        <f t="shared" si="10"/>
        <v>1</v>
      </c>
      <c r="X6" s="27" t="str">
        <f t="shared" si="11"/>
        <v>⚠ وصل 0 من 1 فواتير</v>
      </c>
      <c r="Y6" t="str">
        <f t="shared" si="12"/>
        <v>47809</v>
      </c>
      <c r="Z6" t="str">
        <f t="shared" si="13"/>
        <v>47809</v>
      </c>
    </row>
    <row r="7" spans="1:26" x14ac:dyDescent="0.25">
      <c r="A7" s="41" t="s">
        <v>58</v>
      </c>
      <c r="B7" s="36" t="str">
        <f>IF(Y7="","",IFERROR(INDEX('قائمة الأصناف'!$B$3:$B$1000,MATCH(Y7,'قائمة الأصناف'!$C$3:$C$1000,0)),"⚠ كود غير معرف"))</f>
        <v>كلمنتينا</v>
      </c>
      <c r="C7" s="42">
        <v>1785</v>
      </c>
      <c r="D7" s="43">
        <v>5.5</v>
      </c>
      <c r="E7" s="29">
        <f t="shared" si="0"/>
        <v>9817.5</v>
      </c>
      <c r="F7" s="29">
        <f>IF(E7="","",E7*الإعدادات!$B$8)</f>
        <v>1472.625</v>
      </c>
      <c r="G7" s="29">
        <f t="shared" si="1"/>
        <v>11290.125</v>
      </c>
      <c r="H7" s="41" t="s">
        <v>58</v>
      </c>
      <c r="I7" s="36" t="str">
        <f>IF(Z7="","",IF(COUNTIF($Y$5:$Y$49,Z7)=0,"⚠ الصنف غير موجود في المبيعات",IFERROR(INDEX('قائمة الأصناف'!$B$3:$B$1000,MATCH(Z7,'قائمة الأصناف'!$C$3:$C$1000,0)),"⚠ كود غير معرف")))</f>
        <v>كلمنتينا</v>
      </c>
      <c r="J7" s="27" t="str">
        <f t="shared" si="2"/>
        <v>✗ لم تصل من المورد</v>
      </c>
      <c r="K7" s="44" t="s">
        <v>1029</v>
      </c>
      <c r="L7" s="41"/>
      <c r="M7" s="42">
        <v>257</v>
      </c>
      <c r="N7" s="43"/>
      <c r="O7" s="29" t="str">
        <f t="shared" si="3"/>
        <v/>
      </c>
      <c r="P7" s="29" t="str">
        <f>IF(O7="","",O7*الإعدادات!$B$8)</f>
        <v/>
      </c>
      <c r="Q7" s="29" t="str">
        <f t="shared" si="4"/>
        <v/>
      </c>
      <c r="R7" s="45">
        <f t="shared" si="5"/>
        <v>257</v>
      </c>
      <c r="S7" s="45">
        <f t="shared" si="6"/>
        <v>1</v>
      </c>
      <c r="T7" s="29">
        <f t="shared" si="7"/>
        <v>0</v>
      </c>
      <c r="U7" s="29">
        <f t="shared" si="8"/>
        <v>0</v>
      </c>
      <c r="V7" s="29">
        <f t="shared" si="9"/>
        <v>9817.5</v>
      </c>
      <c r="W7" s="30">
        <f t="shared" si="10"/>
        <v>1</v>
      </c>
      <c r="X7" s="27" t="str">
        <f t="shared" si="11"/>
        <v>⚠ وصل 0 من 1 فواتير</v>
      </c>
      <c r="Y7" t="str">
        <f t="shared" si="12"/>
        <v>48432</v>
      </c>
      <c r="Z7" t="str">
        <f t="shared" si="13"/>
        <v>48432</v>
      </c>
    </row>
    <row r="8" spans="1:26" x14ac:dyDescent="0.25">
      <c r="A8" s="41" t="s">
        <v>1052</v>
      </c>
      <c r="B8" s="36" t="str">
        <f>IF(Y8="","",IFERROR(INDEX('قائمة الأصناف'!$B$3:$B$1000,MATCH(Y8,'قائمة الأصناف'!$C$3:$C$1000,0)),"⚠ كود غير معرف"))</f>
        <v>⚠ كود غير معرف</v>
      </c>
      <c r="C8" s="42">
        <v>2009</v>
      </c>
      <c r="D8" s="43">
        <v>5</v>
      </c>
      <c r="E8" s="29">
        <f t="shared" si="0"/>
        <v>10045</v>
      </c>
      <c r="F8" s="29">
        <f>IF(E8="","",E8*الإعدادات!$B$8)</f>
        <v>1506.75</v>
      </c>
      <c r="G8" s="29">
        <f t="shared" si="1"/>
        <v>11551.75</v>
      </c>
      <c r="H8" s="41" t="s">
        <v>1052</v>
      </c>
      <c r="I8" s="36" t="str">
        <f>IF(Z8="","",IF(COUNTIF($Y$5:$Y$49,Z8)=0,"⚠ الصنف غير موجود في المبيعات",IFERROR(INDEX('قائمة الأصناف'!$B$3:$B$1000,MATCH(Z8,'قائمة الأصناف'!$C$3:$C$1000,0)),"⚠ كود غير معرف")))</f>
        <v>⚠ كود غير معرف</v>
      </c>
      <c r="J8" s="27" t="str">
        <f t="shared" si="2"/>
        <v>✗ لم تصل من المورد</v>
      </c>
      <c r="K8" s="44" t="s">
        <v>1059</v>
      </c>
      <c r="L8" s="41"/>
      <c r="M8" s="42">
        <v>744</v>
      </c>
      <c r="N8" s="43"/>
      <c r="O8" s="29" t="str">
        <f t="shared" si="3"/>
        <v/>
      </c>
      <c r="P8" s="29" t="str">
        <f>IF(O8="","",O8*الإعدادات!$B$8)</f>
        <v/>
      </c>
      <c r="Q8" s="29" t="str">
        <f t="shared" si="4"/>
        <v/>
      </c>
      <c r="R8" s="45">
        <f t="shared" si="5"/>
        <v>744</v>
      </c>
      <c r="S8" s="45">
        <f t="shared" si="6"/>
        <v>1</v>
      </c>
      <c r="T8" s="29">
        <f t="shared" si="7"/>
        <v>0</v>
      </c>
      <c r="U8" s="29">
        <f t="shared" si="8"/>
        <v>0</v>
      </c>
      <c r="V8" s="29">
        <f t="shared" si="9"/>
        <v>10045</v>
      </c>
      <c r="W8" s="30">
        <f t="shared" si="10"/>
        <v>1</v>
      </c>
      <c r="X8" s="27" t="str">
        <f t="shared" si="11"/>
        <v>⚠ وصل 0 من 1 فواتير</v>
      </c>
      <c r="Y8" t="str">
        <f t="shared" si="12"/>
        <v>47912</v>
      </c>
      <c r="Z8" t="str">
        <f t="shared" si="13"/>
        <v>47912</v>
      </c>
    </row>
    <row r="9" spans="1:26" x14ac:dyDescent="0.25">
      <c r="A9" s="41" t="s">
        <v>70</v>
      </c>
      <c r="B9" s="36" t="str">
        <f>IF(Y9="","",IFERROR(INDEX('قائمة الأصناف'!$B$3:$B$1000,MATCH(Y9,'قائمة الأصناف'!$C$3:$C$1000,0)),"⚠ كود غير معرف"))</f>
        <v>عنب ابيض</v>
      </c>
      <c r="C9" s="42">
        <v>1600</v>
      </c>
      <c r="D9" s="43">
        <v>6.2</v>
      </c>
      <c r="E9" s="29">
        <f t="shared" si="0"/>
        <v>9920</v>
      </c>
      <c r="F9" s="29">
        <f>IF(E9="","",E9*الإعدادات!$B$8)</f>
        <v>1488</v>
      </c>
      <c r="G9" s="29">
        <f t="shared" si="1"/>
        <v>11408</v>
      </c>
      <c r="H9" s="41" t="s">
        <v>70</v>
      </c>
      <c r="I9" s="36" t="str">
        <f>IF(Z9="","",IF(COUNTIF($Y$5:$Y$49,Z9)=0,"⚠ الصنف غير موجود في المبيعات",IFERROR(INDEX('قائمة الأصناف'!$B$3:$B$1000,MATCH(Z9,'قائمة الأصناف'!$C$3:$C$1000,0)),"⚠ كود غير معرف")))</f>
        <v>عنب ابيض</v>
      </c>
      <c r="J9" s="27" t="str">
        <f t="shared" si="2"/>
        <v>✗ لم تصل من المورد</v>
      </c>
      <c r="K9" s="44" t="s">
        <v>1060</v>
      </c>
      <c r="L9" s="41"/>
      <c r="M9" s="42">
        <v>360</v>
      </c>
      <c r="N9" s="43"/>
      <c r="O9" s="29" t="str">
        <f t="shared" si="3"/>
        <v/>
      </c>
      <c r="P9" s="29" t="str">
        <f>IF(O9="","",O9*الإعدادات!$B$8)</f>
        <v/>
      </c>
      <c r="Q9" s="29" t="str">
        <f t="shared" si="4"/>
        <v/>
      </c>
      <c r="R9" s="45">
        <f t="shared" si="5"/>
        <v>360</v>
      </c>
      <c r="S9" s="45">
        <f t="shared" si="6"/>
        <v>1</v>
      </c>
      <c r="T9" s="29">
        <f t="shared" si="7"/>
        <v>0</v>
      </c>
      <c r="U9" s="29">
        <f t="shared" si="8"/>
        <v>0</v>
      </c>
      <c r="V9" s="29">
        <f t="shared" si="9"/>
        <v>9920</v>
      </c>
      <c r="W9" s="30">
        <f t="shared" si="10"/>
        <v>1</v>
      </c>
      <c r="X9" s="27" t="str">
        <f t="shared" si="11"/>
        <v>⚠ وصل 0 من 1 فواتير</v>
      </c>
      <c r="Y9" t="str">
        <f t="shared" si="12"/>
        <v>48575</v>
      </c>
      <c r="Z9" t="str">
        <f t="shared" si="13"/>
        <v>48575</v>
      </c>
    </row>
    <row r="10" spans="1:26" x14ac:dyDescent="0.25">
      <c r="A10" s="41" t="s">
        <v>78</v>
      </c>
      <c r="B10" s="36" t="str">
        <f>IF(Y10="","",IFERROR(INDEX('قائمة الأصناف'!$B$3:$B$1000,MATCH(Y10,'قائمة الأصناف'!$C$3:$C$1000,0)),"⚠ كود غير معرف"))</f>
        <v>كيوي</v>
      </c>
      <c r="C10" s="42">
        <v>1781</v>
      </c>
      <c r="D10" s="43">
        <v>13</v>
      </c>
      <c r="E10" s="29">
        <f t="shared" si="0"/>
        <v>23153</v>
      </c>
      <c r="F10" s="29">
        <f>IF(E10="","",E10*الإعدادات!$B$8)</f>
        <v>3472.95</v>
      </c>
      <c r="G10" s="29">
        <f t="shared" si="1"/>
        <v>26625.95</v>
      </c>
      <c r="H10" s="41" t="s">
        <v>78</v>
      </c>
      <c r="I10" s="36" t="str">
        <f>IF(Z10="","",IF(COUNTIF($Y$5:$Y$49,Z10)=0,"⚠ الصنف غير موجود في المبيعات",IFERROR(INDEX('قائمة الأصناف'!$B$3:$B$1000,MATCH(Z10,'قائمة الأصناف'!$C$3:$C$1000,0)),"⚠ كود غير معرف")))</f>
        <v>كيوي</v>
      </c>
      <c r="J10" s="27" t="str">
        <f t="shared" si="2"/>
        <v>✗ لم تصل من المورد</v>
      </c>
      <c r="K10" s="44" t="s">
        <v>1036</v>
      </c>
      <c r="L10" s="41"/>
      <c r="M10" s="42">
        <v>184</v>
      </c>
      <c r="N10" s="43"/>
      <c r="O10" s="29" t="str">
        <f t="shared" si="3"/>
        <v/>
      </c>
      <c r="P10" s="29" t="str">
        <f>IF(O10="","",O10*الإعدادات!$B$8)</f>
        <v/>
      </c>
      <c r="Q10" s="29" t="str">
        <f t="shared" si="4"/>
        <v/>
      </c>
      <c r="R10" s="45">
        <f t="shared" si="5"/>
        <v>184</v>
      </c>
      <c r="S10" s="45">
        <f t="shared" si="6"/>
        <v>1</v>
      </c>
      <c r="T10" s="29">
        <f t="shared" si="7"/>
        <v>0</v>
      </c>
      <c r="U10" s="29">
        <f t="shared" si="8"/>
        <v>0</v>
      </c>
      <c r="V10" s="29">
        <f t="shared" si="9"/>
        <v>23153</v>
      </c>
      <c r="W10" s="30">
        <f t="shared" si="10"/>
        <v>1</v>
      </c>
      <c r="X10" s="27" t="str">
        <f t="shared" si="11"/>
        <v>⚠ وصل 0 من 1 فواتير</v>
      </c>
      <c r="Y10" t="str">
        <f t="shared" si="12"/>
        <v>47786</v>
      </c>
      <c r="Z10" t="str">
        <f t="shared" si="13"/>
        <v>47786</v>
      </c>
    </row>
    <row r="11" spans="1:26" x14ac:dyDescent="0.25">
      <c r="A11" s="41" t="s">
        <v>76</v>
      </c>
      <c r="B11" s="36" t="str">
        <f>IF(Y11="","",IFERROR(INDEX('قائمة الأصناف'!$B$3:$B$1000,MATCH(Y11,'قائمة الأصناف'!$C$3:$C$1000,0)),"⚠ كود غير معرف"))</f>
        <v>افوكادو</v>
      </c>
      <c r="C11" s="42">
        <v>73</v>
      </c>
      <c r="D11" s="43">
        <v>7</v>
      </c>
      <c r="E11" s="29">
        <f t="shared" si="0"/>
        <v>511</v>
      </c>
      <c r="F11" s="29">
        <f>IF(E11="","",E11*الإعدادات!$B$8)</f>
        <v>76.649999999999991</v>
      </c>
      <c r="G11" s="29">
        <f t="shared" si="1"/>
        <v>587.65</v>
      </c>
      <c r="H11" s="41" t="s">
        <v>1061</v>
      </c>
      <c r="I11" s="36" t="str">
        <f>IF(Z11="","",IF(COUNTIF($Y$5:$Y$49,Z11)=0,"⚠ الصنف غير موجود في المبيعات",IFERROR(INDEX('قائمة الأصناف'!$B$3:$B$1000,MATCH(Z11,'قائمة الأصناف'!$C$3:$C$1000,0)),"⚠ كود غير معرف")))</f>
        <v>⚠ كود غير معرف</v>
      </c>
      <c r="J11" s="27" t="str">
        <f t="shared" si="2"/>
        <v>✗ لم تصل من المورد</v>
      </c>
      <c r="K11" s="44" t="s">
        <v>1016</v>
      </c>
      <c r="L11" s="41"/>
      <c r="M11" s="42">
        <v>500</v>
      </c>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511</v>
      </c>
      <c r="W11" s="30">
        <f t="shared" si="10"/>
        <v>1</v>
      </c>
      <c r="X11" s="27" t="str">
        <f t="shared" si="11"/>
        <v>⏳ لا توجد فواتير شراء</v>
      </c>
      <c r="Y11" t="str">
        <f t="shared" si="12"/>
        <v>48206</v>
      </c>
      <c r="Z11" t="str">
        <f t="shared" si="13"/>
        <v>26</v>
      </c>
    </row>
    <row r="12" spans="1:26" x14ac:dyDescent="0.25">
      <c r="A12" s="41" t="s">
        <v>1061</v>
      </c>
      <c r="B12" s="36" t="str">
        <f>IF(Y12="","",IFERROR(INDEX('قائمة الأصناف'!$B$3:$B$1000,MATCH(Y12,'قائمة الأصناف'!$C$3:$C$1000,0)),"⚠ كود غير معرف"))</f>
        <v>⚠ كود غير معرف</v>
      </c>
      <c r="C12" s="42">
        <v>3600</v>
      </c>
      <c r="D12" s="43">
        <v>2.5</v>
      </c>
      <c r="E12" s="29">
        <f t="shared" si="0"/>
        <v>9000</v>
      </c>
      <c r="F12" s="29">
        <f>IF(E12="","",E12*الإعدادات!$B$8)</f>
        <v>1350</v>
      </c>
      <c r="G12" s="29">
        <f t="shared" si="1"/>
        <v>10350</v>
      </c>
      <c r="H12" s="41" t="s">
        <v>88</v>
      </c>
      <c r="I12" s="36" t="str">
        <f>IF(Z12="","",IF(COUNTIF($Y$5:$Y$49,Z12)=0,"⚠ الصنف غير موجود في المبيعات",IFERROR(INDEX('قائمة الأصناف'!$B$3:$B$1000,MATCH(Z12,'قائمة الأصناف'!$C$3:$C$1000,0)),"⚠ كود غير معرف")))</f>
        <v>موز</v>
      </c>
      <c r="J12" s="27" t="str">
        <f t="shared" si="2"/>
        <v>✗ لم تصل من المورد</v>
      </c>
      <c r="K12" s="44" t="s">
        <v>1062</v>
      </c>
      <c r="L12" s="41"/>
      <c r="M12" s="42">
        <v>180</v>
      </c>
      <c r="N12" s="43"/>
      <c r="O12" s="29" t="str">
        <f t="shared" si="3"/>
        <v/>
      </c>
      <c r="P12" s="29" t="str">
        <f>IF(O12="","",O12*الإعدادات!$B$8)</f>
        <v/>
      </c>
      <c r="Q12" s="29" t="str">
        <f t="shared" si="4"/>
        <v/>
      </c>
      <c r="R12" s="45">
        <f t="shared" si="5"/>
        <v>500</v>
      </c>
      <c r="S12" s="45">
        <f t="shared" si="6"/>
        <v>1</v>
      </c>
      <c r="T12" s="29">
        <f t="shared" si="7"/>
        <v>0</v>
      </c>
      <c r="U12" s="29">
        <f t="shared" si="8"/>
        <v>0</v>
      </c>
      <c r="V12" s="29">
        <f t="shared" si="9"/>
        <v>9000</v>
      </c>
      <c r="W12" s="30">
        <f t="shared" si="10"/>
        <v>1</v>
      </c>
      <c r="X12" s="27" t="str">
        <f t="shared" si="11"/>
        <v>⚠ وصل 0 من 1 فواتير</v>
      </c>
      <c r="Y12" t="str">
        <f t="shared" si="12"/>
        <v>26</v>
      </c>
      <c r="Z12" t="str">
        <f t="shared" si="13"/>
        <v>48595</v>
      </c>
    </row>
    <row r="13" spans="1:26" x14ac:dyDescent="0.25">
      <c r="A13" s="41" t="s">
        <v>88</v>
      </c>
      <c r="B13" s="36" t="str">
        <f>IF(Y13="","",IFERROR(INDEX('قائمة الأصناف'!$B$3:$B$1000,MATCH(Y13,'قائمة الأصناف'!$C$3:$C$1000,0)),"⚠ كود غير معرف"))</f>
        <v>موز</v>
      </c>
      <c r="C13" s="42">
        <v>2550</v>
      </c>
      <c r="D13" s="43">
        <v>4.4000000000000004</v>
      </c>
      <c r="E13" s="29">
        <f t="shared" si="0"/>
        <v>11220</v>
      </c>
      <c r="F13" s="29">
        <f>IF(E13="","",E13*الإعدادات!$B$8)</f>
        <v>1683</v>
      </c>
      <c r="G13" s="29">
        <f t="shared" si="1"/>
        <v>12903</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180</v>
      </c>
      <c r="S13" s="45">
        <f t="shared" si="6"/>
        <v>1</v>
      </c>
      <c r="T13" s="29">
        <f t="shared" si="7"/>
        <v>0</v>
      </c>
      <c r="U13" s="29">
        <f t="shared" si="8"/>
        <v>0</v>
      </c>
      <c r="V13" s="29">
        <f t="shared" si="9"/>
        <v>11220</v>
      </c>
      <c r="W13" s="30">
        <f t="shared" si="10"/>
        <v>1</v>
      </c>
      <c r="X13" s="27" t="str">
        <f t="shared" si="11"/>
        <v>⚠ وصل 0 من 1 فواتير</v>
      </c>
      <c r="Y13" t="str">
        <f t="shared" si="12"/>
        <v>48595</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19228</v>
      </c>
      <c r="D50" s="31"/>
      <c r="E50" s="32">
        <f>SUM(E5:E49)</f>
        <v>89106.5</v>
      </c>
      <c r="F50" s="32">
        <f>SUM(F5:F49)</f>
        <v>13365.975</v>
      </c>
      <c r="G50" s="32">
        <f>SUM(G5:G49)</f>
        <v>102472.47499999999</v>
      </c>
      <c r="H50" s="31"/>
      <c r="I50" s="31"/>
      <c r="J50" s="31"/>
      <c r="K50" s="31"/>
      <c r="L50" s="31"/>
      <c r="M50" s="46">
        <f>SUM(M5:M49)</f>
        <v>2901</v>
      </c>
      <c r="N50" s="31"/>
      <c r="O50" s="32">
        <f>SUM(O5:O49)</f>
        <v>0</v>
      </c>
      <c r="P50" s="32">
        <f>SUM(P5:P49)</f>
        <v>0</v>
      </c>
      <c r="Q50" s="32">
        <f>SUM(Q5:Q49)</f>
        <v>0</v>
      </c>
      <c r="R50" s="31"/>
      <c r="S50" s="31"/>
      <c r="T50" s="32">
        <f>SUM(T5:T49)</f>
        <v>0</v>
      </c>
      <c r="U50" s="31"/>
      <c r="V50" s="32">
        <f>SUM(V5:V49)</f>
        <v>89106.5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8" priority="9">
      <formula>ISNUMBER(SEARCH("غير معرف",B5))</formula>
    </cfRule>
  </conditionalFormatting>
  <conditionalFormatting sqref="H5:Q49">
    <cfRule type="expression" dxfId="17" priority="2">
      <formula>AND($Z5&lt;&gt;"",COUNTIF($Y$5:$Y$49,$Z5)=0)</formula>
    </cfRule>
  </conditionalFormatting>
  <conditionalFormatting sqref="I5:I49">
    <cfRule type="expression" dxfId="16" priority="10">
      <formula>ISNUMBER(SEARCH("غير معرف",I5))</formula>
    </cfRule>
  </conditionalFormatting>
  <conditionalFormatting sqref="J5:J49">
    <cfRule type="expression" dxfId="15" priority="3">
      <formula>ISNUMBER(SEARCH("تم استلام",J5))</formula>
    </cfRule>
    <cfRule type="expression" dxfId="14" priority="4">
      <formula>ISNUMBER(SEARCH("لم تصل",J5))</formula>
    </cfRule>
  </conditionalFormatting>
  <conditionalFormatting sqref="V5:V50">
    <cfRule type="cellIs" dxfId="13" priority="5" operator="lessThan">
      <formula>0</formula>
    </cfRule>
  </conditionalFormatting>
  <conditionalFormatting sqref="X5:X49">
    <cfRule type="expression" dxfId="12" priority="6">
      <formula>ISNUMBER(SEARCH("اكتملت",X5))</formula>
    </cfRule>
    <cfRule type="expression" dxfId="11" priority="7">
      <formula>ISNUMBER(SEARCH("وصل ",X5))</formula>
    </cfRule>
    <cfRule type="expression" dxfId="10" priority="8">
      <formula>ISNUMBER(SEARCH("لا توجد",X5))</formula>
    </cfRule>
  </conditionalFormatting>
  <dataValidations count="1">
    <dataValidation type="list" allowBlank="1" sqref="H5:H49" xr:uid="{00000000-0002-0000-20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20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2000-000000000000}">
          <x14:formula1>
            <xm:f>'قائمة الأصناف'!$A$3:$A$1000</xm:f>
          </x14:formula1>
          <x14:formula2>
            <xm:f>0</xm:f>
          </x14:formula2>
          <xm:sqref>A5:A49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50"/>
  <sheetViews>
    <sheetView rightToLeft="1" tabSelected="1" zoomScaleNormal="100" workbookViewId="0">
      <pane xSplit="2" ySplit="4" topLeftCell="C5" activePane="bottomRight" state="frozen"/>
      <selection pane="topRight" activeCell="C1" sqref="C1"/>
      <selection pane="bottomLeft" activeCell="A5" sqref="A5"/>
      <selection pane="bottomRight" activeCell="F10" sqref="F10"/>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31</v>
      </c>
      <c r="C1" s="16" t="s">
        <v>993</v>
      </c>
      <c r="D1" s="37" t="str">
        <f>IF($B$1&lt;=الإعدادات!$B$6,DATE(الإعدادات!$B$3,الإعدادات!$B$4,$B$1),"")</f>
        <v/>
      </c>
      <c r="E1" s="16" t="s">
        <v>994</v>
      </c>
      <c r="F1" s="25" t="str">
        <f>IF($D$1="","",CHOOSE(WEEKDAY($D$1),"الأحد","الاثنين","الثلاثاء","الأربعاء","الخميس","الجمعة","السبت"))</f>
        <v/>
      </c>
      <c r="H1" s="4" t="str">
        <f>IF($B$1&lt;=الإعدادات!$B$6,"✓ يوم فعّال ضمن شهر "&amp;الإعدادات!$B$5,"✗ خارج نطاق الشهر المحدد — لا تُدخل بيانات هنا")</f>
        <v>✗ خارج نطاق الشهر المحدد — لا تُدخل بيانات هنا</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
      </c>
      <c r="C5" s="42"/>
      <c r="D5" s="43"/>
      <c r="E5" s="29" t="str">
        <f t="shared" ref="E5:E49" si="0">IF(OR(C5="",D5=""),"",C5*D5)</f>
        <v/>
      </c>
      <c r="F5" s="29" t="str">
        <f>IF(E5="","",E5*الإعدادات!$B$8)</f>
        <v/>
      </c>
      <c r="G5" s="29" t="str">
        <f t="shared" ref="G5:G49" si="1">IF(E5="","",E5+F5)</f>
        <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t="str">
        <f t="shared" ref="R5:R49" si="5">IF(Y5="","",SUMIFS($M$5:$M$49,$Z$5:$Z$49,Y5))</f>
        <v/>
      </c>
      <c r="S5" s="45" t="str">
        <f t="shared" ref="S5:S49" si="6">IF(Y5="","",COUNTIFS($Z$5:$Z$49,Y5))</f>
        <v/>
      </c>
      <c r="T5" s="29" t="str">
        <f t="shared" ref="T5:T49" si="7">IF(Y5="","",SUMIFS($O$5:$O$49,$Z$5:$Z$49,Y5))</f>
        <v/>
      </c>
      <c r="U5" s="29" t="str">
        <f t="shared" ref="U5:U49" si="8">IF(Y5="","",IF(N(R5)=0,"",T5/R5))</f>
        <v/>
      </c>
      <c r="V5" s="29" t="str">
        <f t="shared" ref="V5:V49" si="9">IF(Y5="","",N(E5)-T5)</f>
        <v/>
      </c>
      <c r="W5" s="30" t="str">
        <f t="shared" ref="W5:W49" si="10">IF(Y5="","",IF(N(E5)=0,"",V5/E5))</f>
        <v/>
      </c>
      <c r="X5" s="27" t="str">
        <f t="shared" ref="X5:X49" si="11">IF(Y5="","",IF(S5=0,"⏳ لا توجد فواتير شراء",IF(COUNTIFS($Z$5:$Z$49,Y5,$N$5:$N$49,"&gt;0")=S5,"✓ اكتملت جميع الفواتير ("&amp;S5&amp;")","⚠ وصل "&amp;COUNTIFS($Z$5:$Z$49,Y5,$N$5:$N$49,"&gt;0")&amp;" من "&amp;S5&amp;" فواتير")))</f>
        <v/>
      </c>
      <c r="Y5" t="str">
        <f t="shared" ref="Y5:Y49" si="12">IF(TRIM(A5)="","",IF(ISNUMBER(VALUE(TRIM(A5))),TEXT(VALUE(TRIM(A5)),"0"),TRIM(A5)))</f>
        <v/>
      </c>
      <c r="Z5" t="str">
        <f t="shared" ref="Z5:Z49" si="13">IF(TRIM(H5)="","",IF(ISNUMBER(VALUE(TRIM(H5))),TEXT(VALUE(TRIM(H5)),"0"),TRIM(H5)))</f>
        <v/>
      </c>
    </row>
    <row r="6" spans="1:26" x14ac:dyDescent="0.25">
      <c r="A6" s="41"/>
      <c r="B6" s="36" t="str">
        <f>IF(Y6="","",IFERROR(INDEX('قائمة الأصناف'!$B$3:$B$1000,MATCH(Y6,'قائمة الأصناف'!$C$3:$C$1000,0)),"⚠ كود غير معرف"))</f>
        <v/>
      </c>
      <c r="C6" s="42"/>
      <c r="D6" s="43"/>
      <c r="E6" s="29" t="str">
        <f t="shared" si="0"/>
        <v/>
      </c>
      <c r="F6" s="29" t="str">
        <f>IF(E6="","",E6*الإعدادات!$B$8)</f>
        <v/>
      </c>
      <c r="G6" s="29" t="str">
        <f t="shared" si="1"/>
        <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t="str">
        <f t="shared" si="5"/>
        <v/>
      </c>
      <c r="S6" s="45" t="str">
        <f t="shared" si="6"/>
        <v/>
      </c>
      <c r="T6" s="29" t="str">
        <f t="shared" si="7"/>
        <v/>
      </c>
      <c r="U6" s="29" t="str">
        <f t="shared" si="8"/>
        <v/>
      </c>
      <c r="V6" s="29" t="str">
        <f t="shared" si="9"/>
        <v/>
      </c>
      <c r="W6" s="30" t="str">
        <f t="shared" si="10"/>
        <v/>
      </c>
      <c r="X6" s="27" t="str">
        <f t="shared" si="11"/>
        <v/>
      </c>
      <c r="Y6" t="str">
        <f t="shared" si="12"/>
        <v/>
      </c>
      <c r="Z6" t="str">
        <f t="shared" si="13"/>
        <v/>
      </c>
    </row>
    <row r="7" spans="1:26" x14ac:dyDescent="0.25">
      <c r="A7" s="41"/>
      <c r="B7" s="36" t="str">
        <f>IF(Y7="","",IFERROR(INDEX('قائمة الأصناف'!$B$3:$B$1000,MATCH(Y7,'قائمة الأصناف'!$C$3:$C$1000,0)),"⚠ كود غير معرف"))</f>
        <v/>
      </c>
      <c r="C7" s="42"/>
      <c r="D7" s="43"/>
      <c r="E7" s="29" t="str">
        <f t="shared" si="0"/>
        <v/>
      </c>
      <c r="F7" s="29" t="str">
        <f>IF(E7="","",E7*الإعدادات!$B$8)</f>
        <v/>
      </c>
      <c r="G7" s="29" t="str">
        <f t="shared" si="1"/>
        <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t="str">
        <f t="shared" si="5"/>
        <v/>
      </c>
      <c r="S7" s="45" t="str">
        <f t="shared" si="6"/>
        <v/>
      </c>
      <c r="T7" s="29" t="str">
        <f t="shared" si="7"/>
        <v/>
      </c>
      <c r="U7" s="29" t="str">
        <f t="shared" si="8"/>
        <v/>
      </c>
      <c r="V7" s="29" t="str">
        <f t="shared" si="9"/>
        <v/>
      </c>
      <c r="W7" s="30" t="str">
        <f t="shared" si="10"/>
        <v/>
      </c>
      <c r="X7" s="27" t="str">
        <f t="shared" si="11"/>
        <v/>
      </c>
      <c r="Y7" t="str">
        <f t="shared" si="12"/>
        <v/>
      </c>
      <c r="Z7" t="str">
        <f t="shared" si="13"/>
        <v/>
      </c>
    </row>
    <row r="8" spans="1:26" x14ac:dyDescent="0.25">
      <c r="A8" s="41"/>
      <c r="B8" s="36" t="str">
        <f>IF(Y8="","",IFERROR(INDEX('قائمة الأصناف'!$B$3:$B$1000,MATCH(Y8,'قائمة الأصناف'!$C$3:$C$1000,0)),"⚠ كود غير معرف"))</f>
        <v/>
      </c>
      <c r="C8" s="42"/>
      <c r="D8" s="43"/>
      <c r="E8" s="29" t="str">
        <f t="shared" si="0"/>
        <v/>
      </c>
      <c r="F8" s="29" t="str">
        <f>IF(E8="","",E8*الإعدادات!$B$8)</f>
        <v/>
      </c>
      <c r="G8" s="29" t="str">
        <f t="shared" si="1"/>
        <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t="str">
        <f t="shared" si="5"/>
        <v/>
      </c>
      <c r="S8" s="45" t="str">
        <f t="shared" si="6"/>
        <v/>
      </c>
      <c r="T8" s="29" t="str">
        <f t="shared" si="7"/>
        <v/>
      </c>
      <c r="U8" s="29" t="str">
        <f t="shared" si="8"/>
        <v/>
      </c>
      <c r="V8" s="29" t="str">
        <f t="shared" si="9"/>
        <v/>
      </c>
      <c r="W8" s="30" t="str">
        <f t="shared" si="10"/>
        <v/>
      </c>
      <c r="X8" s="27" t="str">
        <f t="shared" si="11"/>
        <v/>
      </c>
      <c r="Y8" t="str">
        <f t="shared" si="12"/>
        <v/>
      </c>
      <c r="Z8" t="str">
        <f t="shared" si="13"/>
        <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0</v>
      </c>
      <c r="D50" s="31"/>
      <c r="E50" s="32">
        <f>SUM(E5:E49)</f>
        <v>0</v>
      </c>
      <c r="F50" s="32">
        <f>SUM(F5:F49)</f>
        <v>0</v>
      </c>
      <c r="G50" s="32">
        <f>SUM(G5:G49)</f>
        <v>0</v>
      </c>
      <c r="H50" s="31"/>
      <c r="I50" s="31"/>
      <c r="J50" s="31"/>
      <c r="K50" s="31"/>
      <c r="L50" s="31"/>
      <c r="M50" s="46">
        <f>SUM(M5:M49)</f>
        <v>0</v>
      </c>
      <c r="N50" s="31"/>
      <c r="O50" s="32">
        <f>SUM(O5:O49)</f>
        <v>0</v>
      </c>
      <c r="P50" s="32">
        <f>SUM(P5:P49)</f>
        <v>0</v>
      </c>
      <c r="Q50" s="32">
        <f>SUM(Q5:Q49)</f>
        <v>0</v>
      </c>
      <c r="R50" s="31"/>
      <c r="S50" s="31"/>
      <c r="T50" s="32">
        <f>SUM(T5:T49)</f>
        <v>0</v>
      </c>
      <c r="U50" s="31"/>
      <c r="V50" s="32">
        <f>SUM(V5:V49)</f>
        <v>0</v>
      </c>
      <c r="W50" s="33" t="str">
        <f>IF(N(E50)=0,"",V50/E50)</f>
        <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8" priority="9">
      <formula>ISNUMBER(SEARCH("غير معرف",B5))</formula>
    </cfRule>
  </conditionalFormatting>
  <conditionalFormatting sqref="H5:Q49">
    <cfRule type="expression" dxfId="7" priority="2">
      <formula>AND($Z5&lt;&gt;"",COUNTIF($Y$5:$Y$49,$Z5)=0)</formula>
    </cfRule>
  </conditionalFormatting>
  <conditionalFormatting sqref="I5:I49">
    <cfRule type="expression" dxfId="6" priority="10">
      <formula>ISNUMBER(SEARCH("غير معرف",I5))</formula>
    </cfRule>
  </conditionalFormatting>
  <conditionalFormatting sqref="J5:J49">
    <cfRule type="expression" dxfId="5" priority="3">
      <formula>ISNUMBER(SEARCH("تم استلام",J5))</formula>
    </cfRule>
    <cfRule type="expression" dxfId="4" priority="4">
      <formula>ISNUMBER(SEARCH("لم تصل",J5))</formula>
    </cfRule>
  </conditionalFormatting>
  <conditionalFormatting sqref="V5:V50">
    <cfRule type="cellIs" dxfId="3" priority="5" operator="lessThan">
      <formula>0</formula>
    </cfRule>
  </conditionalFormatting>
  <conditionalFormatting sqref="X5:X49">
    <cfRule type="expression" dxfId="2" priority="6">
      <formula>ISNUMBER(SEARCH("اكتملت",X5))</formula>
    </cfRule>
    <cfRule type="expression" dxfId="1" priority="7">
      <formula>ISNUMBER(SEARCH("وصل ",X5))</formula>
    </cfRule>
    <cfRule type="expression" dxfId="0" priority="8">
      <formula>ISNUMBER(SEARCH("لا توجد",X5))</formula>
    </cfRule>
  </conditionalFormatting>
  <dataValidations count="1">
    <dataValidation type="list" allowBlank="1" sqref="H5:H49" xr:uid="{00000000-0002-0000-21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21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2100-000000000000}">
          <x14:formula1>
            <xm:f>'قائمة الأصناف'!$A$3:$A$1000</xm:f>
          </x14:formula1>
          <x14:formula2>
            <xm:f>0</xm:f>
          </x14:formula2>
          <xm:sqref>A5:A49</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الإعدادات</vt:lpstr>
      <vt:lpstr>ملخص الشهر</vt:lpstr>
      <vt:lpstr>قائمة الأصناف</vt:lpstr>
      <vt:lpstr>يوم 1</vt:lpstr>
      <vt:lpstr>يوم 2</vt:lpstr>
      <vt:lpstr>يوم 3</vt:lpstr>
      <vt:lpstr>يوم 4</vt:lpstr>
      <vt:lpstr>يوم 5</vt:lpstr>
      <vt:lpstr>يوم 6</vt:lpstr>
      <vt:lpstr>يوم 7</vt:lpstr>
      <vt:lpstr>يوم 8</vt:lpstr>
      <vt:lpstr>يوم 9</vt:lpstr>
      <vt:lpstr>يوم 10</vt:lpstr>
      <vt:lpstr>يوم 11</vt:lpstr>
      <vt:lpstr>يوم 12</vt:lpstr>
      <vt:lpstr>يوم 13</vt:lpstr>
      <vt:lpstr>يوم 14</vt:lpstr>
      <vt:lpstr>يوم 15</vt:lpstr>
      <vt:lpstr>يوم 16</vt:lpstr>
      <vt:lpstr>يوم 17</vt:lpstr>
      <vt:lpstr>يوم 18</vt:lpstr>
      <vt:lpstr>يوم 19</vt:lpstr>
      <vt:lpstr>يوم 20</vt:lpstr>
      <vt:lpstr>يوم 21</vt:lpstr>
      <vt:lpstr>يوم 22</vt:lpstr>
      <vt:lpstr>يوم 23</vt:lpstr>
      <vt:lpstr>يوم 24</vt:lpstr>
      <vt:lpstr>يوم 25</vt:lpstr>
      <vt:lpstr>يوم 26</vt:lpstr>
      <vt:lpstr>يوم 27</vt:lpstr>
      <vt:lpstr>يوم 28</vt:lpstr>
      <vt:lpstr>يوم 29</vt:lpstr>
      <vt:lpstr>يوم 30</vt:lpstr>
      <vt:lpstr>يوم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KSA</cp:lastModifiedBy>
  <cp:revision>0</cp:revision>
  <dcterms:created xsi:type="dcterms:W3CDTF">2026-07-18T07:43:15Z</dcterms:created>
  <dcterms:modified xsi:type="dcterms:W3CDTF">2026-07-26T14:22:37Z</dcterms:modified>
  <dc:language>en-US</dc:language>
</cp:coreProperties>
</file>