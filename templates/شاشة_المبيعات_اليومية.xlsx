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تعليمات" sheetId="1" state="visible" r:id="rId3"/>
    <sheet name="المبيعات اليومية" sheetId="2" state="visible" r:id="rId4"/>
    <sheet name="ملخص العملاء" sheetId="3" state="visible" r:id="rId5"/>
    <sheet name="ملخص الأصناف" sheetId="4" state="visible" r:id="rId6"/>
    <sheet name="دليل العملاء" sheetId="5" state="visible" r:id="rId7"/>
    <sheet name="دليل الأصناف" sheetId="6" state="visible" r:id="rId8"/>
    <sheet name="الإعدادات" sheetId="7" state="visible" r:id="rId9"/>
  </sheets>
  <definedNames>
    <definedName function="false" hidden="false" localSheetId="1" name="_xlnm.Print_Area" vbProcedure="false">'المبيعات اليومية'!$A$1:$L$309</definedName>
    <definedName function="false" hidden="false" localSheetId="1" name="_xlnm.Print_Titles" vbProcedure="false">'المبيعات اليومية'!$8:$8</definedName>
    <definedName function="false" hidden="true" localSheetId="1" name="_xlnm._FilterDatabase" vbProcedure="false">'المبيعات اليومية'!$A$8:$L$308</definedName>
    <definedName function="false" hidden="false" localSheetId="3" name="_xlnm.Print_Titles" vbProcedure="false">'ملخص الأصناف'!$7:$7</definedName>
    <definedName function="false" hidden="false" localSheetId="2" name="_xlnm.Print_Titles" vbProcedure="false">'ملخص العملاء'!$7:$7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<sst xmlns="http://schemas.openxmlformats.org/spreadsheetml/2006/main" count="190" uniqueCount="142">
  <si>
    <t xml:space="preserve">دليل الاستخدام</t>
  </si>
  <si>
    <t xml:space="preserve">طريقة الإدخال</t>
  </si>
  <si>
    <t xml:space="preserve">1</t>
  </si>
  <si>
    <t xml:space="preserve">سجّل العملاء في "دليل العملاء" والأصناف في "دليل الأصناف" (أول صف فارغ).</t>
  </si>
  <si>
    <t xml:space="preserve">2</t>
  </si>
  <si>
    <t xml:space="preserve">في "المبيعات اليومية" أدخل: التاريخ، العميل، الصنف، الكمية، سعر الوحدة، ونوع السعر.</t>
  </si>
  <si>
    <t xml:space="preserve">3</t>
  </si>
  <si>
    <t xml:space="preserve">كود الصنف والإجماليات والضريبة وحالة السطر تُحسب تلقائياً — لا تكتب فيها.</t>
  </si>
  <si>
    <t xml:space="preserve">4</t>
  </si>
  <si>
    <t xml:space="preserve">عمود "حالة السطر" ينبّهك بأي نقص أو خطأ في السطر، وبطاقة "سطور تحتاج مراجعة" تعرض عددها.</t>
  </si>
  <si>
    <t xml:space="preserve">5</t>
  </si>
  <si>
    <t xml:space="preserve">في أوراق الملخص اختر "من تاريخ / إلى تاريخ" لعرض فترة محددة، أو اتركهما فارغين لكل الفترات.</t>
  </si>
  <si>
    <t xml:space="preserve">6</t>
  </si>
  <si>
    <t xml:space="preserve">نسبة الضريبة واسم المنشأة تُعدَّل من ورقة "الإعدادات" فقط.</t>
  </si>
  <si>
    <t xml:space="preserve">دليل الألوان</t>
  </si>
  <si>
    <t xml:space="preserve">خلفية صفراء + خط أزرق</t>
  </si>
  <si>
    <t xml:space="preserve">خلايا إدخال.</t>
  </si>
  <si>
    <t xml:space="preserve">خط أسود</t>
  </si>
  <si>
    <t xml:space="preserve">معادلات تلقائية — لا تعدّلها.</t>
  </si>
  <si>
    <t xml:space="preserve">أحمر</t>
  </si>
  <si>
    <t xml:space="preserve">خطأ أو تكرار يحتاج مراجعة.</t>
  </si>
  <si>
    <t xml:space="preserve">العمل على Google Sheets و Google Drive</t>
  </si>
  <si>
    <t xml:space="preserve">ارفع الملف إلى Google Drive، ثم انقر عليه بالزر الأيمن ← فتح باستخدام ← جداول بيانات Google.</t>
  </si>
  <si>
    <t xml:space="preserve">للتحويل الكامل: ملف ← حفظ كجداول بيانات Google (يمكن بعدها مشاركته والعمل عليه من أكثر من جهاز).</t>
  </si>
  <si>
    <t xml:space="preserve">كل المعادلات والقوائم المنسدلة والتنسيق الشرطي متوافقة مع Google Sheets و Excel معاً.</t>
  </si>
  <si>
    <t xml:space="preserve">لتنزيله مرة أخرى كملف Excel: ملف ← تنزيل ← Microsoft Excel (.xlsx).</t>
  </si>
  <si>
    <t xml:space="preserve">للتشغيل على الجوال استخدم تطبيق Google Sheets — القوائم المنسدلة تعمل باللمس.</t>
  </si>
  <si>
    <t xml:space="preserve">ملاحظات</t>
  </si>
  <si>
    <t xml:space="preserve">•</t>
  </si>
  <si>
    <t xml:space="preserve">الشاشة تتسع لـ 300 عملية، و100 عميل، و200 صنف. عند امتلاء الصفوف: انسخ آخر صف وألصقه أسفله.</t>
  </si>
  <si>
    <t xml:space="preserve">الحساب لكل سطر يُقرَّب إلى هللتين؛ في السعر الشامل يُستخرج الصافي = الإجمالي ÷ (1 + نسبة الضريبة).</t>
  </si>
  <si>
    <t xml:space="preserve">بيانات العمليات الأصلية أُعطيت تاريخ 2026/10/24 (لم يكن في الملف الأصلي عمود تاريخ) — عدّله حسب الحاجة.</t>
  </si>
  <si>
    <t xml:space="preserve">شاشة المبيعات اليومية وتتبع العملاء</t>
  </si>
  <si>
    <t xml:space="preserve">إجمالي المبيعات (شامل الضريبة)</t>
  </si>
  <si>
    <t xml:space="preserve">إجمالي المبيعات قبل الضريبة</t>
  </si>
  <si>
    <t xml:space="preserve">إجمالي الضريبة</t>
  </si>
  <si>
    <t xml:space="preserve">مبيعات اليوم (شامل الضريبة)</t>
  </si>
  <si>
    <t xml:space="preserve">عدد العمليات المسجلة</t>
  </si>
  <si>
    <t xml:space="preserve">سطور تحتاج مراجعة</t>
  </si>
  <si>
    <t xml:space="preserve">الخلايا الصفراء بخط أزرق للإدخال — باقي الأعمدة تُحسب تلقائياً. اترك "نوع السعر" فارغاً ليُعامل كـ "غير شامل الضريبة".</t>
  </si>
  <si>
    <t xml:space="preserve">التاريخ</t>
  </si>
  <si>
    <t xml:space="preserve">اسم العميل
(اختر من القائمة)</t>
  </si>
  <si>
    <t xml:space="preserve">اسم الصنف
(اختر من القائمة)</t>
  </si>
  <si>
    <t xml:space="preserve">كود الصنف
(تلقائي)</t>
  </si>
  <si>
    <t xml:space="preserve">الكمية</t>
  </si>
  <si>
    <t xml:space="preserve">سعر الوحدة</t>
  </si>
  <si>
    <t xml:space="preserve">نوع السعر</t>
  </si>
  <si>
    <t xml:space="preserve">الإجمالي
قبل الضريبة</t>
  </si>
  <si>
    <t xml:space="preserve">مبلغ
الضريبة</t>
  </si>
  <si>
    <t xml:space="preserve">الإجمالي
شامل الضريبة</t>
  </si>
  <si>
    <t xml:space="preserve">حالة السطر
(تلقائي)</t>
  </si>
  <si>
    <t xml:space="preserve">شركة التخصص الذهبي -الربوه</t>
  </si>
  <si>
    <t xml:space="preserve">بصل كبير</t>
  </si>
  <si>
    <t xml:space="preserve">غير شامل الضريبة</t>
  </si>
  <si>
    <t xml:space="preserve">توريد صباحي</t>
  </si>
  <si>
    <t xml:space="preserve">شركة التخصص الذهبي -حراء</t>
  </si>
  <si>
    <t xml:space="preserve">بطاطس كبير</t>
  </si>
  <si>
    <t xml:space="preserve">شامل الضريبة</t>
  </si>
  <si>
    <t xml:space="preserve">فرع حراء</t>
  </si>
  <si>
    <t xml:space="preserve">شركة التخصص الذهبي -الصفا</t>
  </si>
  <si>
    <t xml:space="preserve">بصل ابيض</t>
  </si>
  <si>
    <t xml:space="preserve">طلب خاص</t>
  </si>
  <si>
    <t xml:space="preserve">عبر الإقليم</t>
  </si>
  <si>
    <t xml:space="preserve">رمان</t>
  </si>
  <si>
    <t xml:space="preserve">آجل 30 يوم</t>
  </si>
  <si>
    <t xml:space="preserve">حقيبة الفواكه</t>
  </si>
  <si>
    <t xml:space="preserve">تفاح احمر</t>
  </si>
  <si>
    <t xml:space="preserve">طلب مميز</t>
  </si>
  <si>
    <t xml:space="preserve">فيض الكرم</t>
  </si>
  <si>
    <t xml:space="preserve">عنب ابيض</t>
  </si>
  <si>
    <t xml:space="preserve">كاش</t>
  </si>
  <si>
    <t xml:space="preserve">غصون الفاكهه</t>
  </si>
  <si>
    <t xml:space="preserve">برتقال عصير</t>
  </si>
  <si>
    <t xml:space="preserve">تسليم موقع</t>
  </si>
  <si>
    <t xml:space="preserve">نقاوه بس</t>
  </si>
  <si>
    <t xml:space="preserve">فراوله</t>
  </si>
  <si>
    <t xml:space="preserve">عميل جديد</t>
  </si>
  <si>
    <t xml:space="preserve">الإجمالي العام</t>
  </si>
  <si>
    <t xml:space="preserve">ملخص فواتير وحسابات العملاء</t>
  </si>
  <si>
    <t xml:space="preserve">يُحدَّث تلقائياً من ورقة "المبيعات اليومية" — اترك التاريخين فارغين لعرض كل الفترات</t>
  </si>
  <si>
    <t xml:space="preserve">من تاريخ</t>
  </si>
  <si>
    <t xml:space="preserve">إلى تاريخ</t>
  </si>
  <si>
    <t xml:space="preserve">م</t>
  </si>
  <si>
    <t xml:space="preserve">كود العميل</t>
  </si>
  <si>
    <t xml:space="preserve">اسم العميل</t>
  </si>
  <si>
    <t xml:space="preserve">عدد العمليات</t>
  </si>
  <si>
    <t xml:space="preserve">إجمالي الكمية</t>
  </si>
  <si>
    <t xml:space="preserve">إجمالي
الضريبة</t>
  </si>
  <si>
    <t xml:space="preserve">النسبة من
المبيعات</t>
  </si>
  <si>
    <t xml:space="preserve">حالة الحساب</t>
  </si>
  <si>
    <t xml:space="preserve">الإجمالي</t>
  </si>
  <si>
    <t xml:space="preserve">فرق التدقيق: مبيعات بأسماء غير مسجلة في دليل العملاء (يجب أن يكون صفراً)</t>
  </si>
  <si>
    <t xml:space="preserve">ملخص مبيعات الأصناف</t>
  </si>
  <si>
    <t xml:space="preserve">كود الصنف</t>
  </si>
  <si>
    <t xml:space="preserve">اسم الصنف</t>
  </si>
  <si>
    <t xml:space="preserve">متوسط سعر البيع
(قبل الضريبة)</t>
  </si>
  <si>
    <t xml:space="preserve">فرق التدقيق: مبيعات بأسماء غير مسجلة في دليل الأصناف (يجب أن يكون صفراً)</t>
  </si>
  <si>
    <t xml:space="preserve">دليل العملاء والكلمات المفتاحية للبحث</t>
  </si>
  <si>
    <t xml:space="preserve">أضف السجلات الجديدة في أول صف فارغ — تظهر تلقائياً في القوائم المنسدلة والملخصات</t>
  </si>
  <si>
    <t xml:space="preserve">اسم العميل المسجل</t>
  </si>
  <si>
    <t xml:space="preserve">ملاحظات / كلمات مفتاحية</t>
  </si>
  <si>
    <t xml:space="preserve">تنبيه</t>
  </si>
  <si>
    <t xml:space="preserve">شركة التخصص الذهبي -النسيم</t>
  </si>
  <si>
    <t xml:space="preserve">النسيم</t>
  </si>
  <si>
    <t xml:space="preserve">حراء</t>
  </si>
  <si>
    <t xml:space="preserve">شركة التخصص الذهبي -المنار</t>
  </si>
  <si>
    <t xml:space="preserve">المنار</t>
  </si>
  <si>
    <t xml:space="preserve">الصفا</t>
  </si>
  <si>
    <t xml:space="preserve">الربوة</t>
  </si>
  <si>
    <t xml:space="preserve">شركة التخصص الذهبي -الرحاب</t>
  </si>
  <si>
    <t xml:space="preserve">الرحاب</t>
  </si>
  <si>
    <t xml:space="preserve">عبر الاقليم / آجل</t>
  </si>
  <si>
    <t xml:space="preserve">حقيبة / مميز</t>
  </si>
  <si>
    <t xml:space="preserve">فيض / جملة</t>
  </si>
  <si>
    <t xml:space="preserve">غصون / تجزئة</t>
  </si>
  <si>
    <t xml:space="preserve">نقاوة / جديد</t>
  </si>
  <si>
    <t xml:space="preserve">دليل الأصناف والمنتجات</t>
  </si>
  <si>
    <t xml:space="preserve">سعر البيع الافتراضي</t>
  </si>
  <si>
    <t xml:space="preserve">بصل صغير</t>
  </si>
  <si>
    <t xml:space="preserve">بطاطس 2 K</t>
  </si>
  <si>
    <t xml:space="preserve">طماطم محمية</t>
  </si>
  <si>
    <t xml:space="preserve">خيار بلدي</t>
  </si>
  <si>
    <t xml:space="preserve">كوسة طازجة</t>
  </si>
  <si>
    <t xml:space="preserve">جزر استرالي</t>
  </si>
  <si>
    <t xml:space="preserve">كيوي</t>
  </si>
  <si>
    <t xml:space="preserve">ليمون</t>
  </si>
  <si>
    <t xml:space="preserve">برتقال أبو صرة</t>
  </si>
  <si>
    <t xml:space="preserve">كاكا</t>
  </si>
  <si>
    <t xml:space="preserve">تفاح ابيض</t>
  </si>
  <si>
    <t xml:space="preserve">افندي</t>
  </si>
  <si>
    <t xml:space="preserve">الإعدادات العامة</t>
  </si>
  <si>
    <t xml:space="preserve">البند</t>
  </si>
  <si>
    <t xml:space="preserve">القيمة</t>
  </si>
  <si>
    <t xml:space="preserve">شرح</t>
  </si>
  <si>
    <t xml:space="preserve">اسم المنشأة</t>
  </si>
  <si>
    <t xml:space="preserve">مؤسسة توريد الخضار والفواكه</t>
  </si>
  <si>
    <t xml:space="preserve">يظهر في رأس شاشة المبيعات — عدّله باسم منشأتك</t>
  </si>
  <si>
    <t xml:space="preserve">نسبة ضريبة القيمة المضافة</t>
  </si>
  <si>
    <t xml:space="preserve">النسبة النظامية في السعودية 15% — تُستخدم في كل الحسابات</t>
  </si>
  <si>
    <t xml:space="preserve">العملة</t>
  </si>
  <si>
    <t xml:space="preserve">ر.س</t>
  </si>
  <si>
    <t xml:space="preserve">للعرض فقط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</si>
</sst>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[RED]\-#,##0.00;\-"/>
    <numFmt numFmtId="166" formatCode="#,##0"/>
    <numFmt numFmtId="167" formatCode="yyyy/mm/dd"/>
    <numFmt numFmtId="168" formatCode="General"/>
    <numFmt numFmtId="169" formatCode="#,##0.##;[RED]\-#,##0.##;\-"/>
    <numFmt numFmtId="170" formatCode="#,##0.00#"/>
    <numFmt numFmtId="171" formatCode="#,##0;\-#,##0;\-"/>
    <numFmt numFmtId="172" formatCode="0.0%;\-0.0%;\-"/>
    <numFmt numFmtId="173" formatCode="0.0%"/>
    <numFmt numFmtId="174" formatCode="#,##0.00"/>
    <numFmt numFmtId="17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9E6"/>
        <bgColor rgb="FFFFFFFF"/>
      </patternFill>
    </fill>
    <fill>
      <patternFill patternType="solid">
        <fgColor rgb="FFF2F5F9"/>
        <bgColor rgb="FFE6F4EA"/>
      </patternFill>
    </fill>
    <fill>
      <patternFill patternType="solid">
        <fgColor rgb="FFD9E1F2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ont>
        <b val="1"/>
        <color rgb="FFC00000"/>
      </font>
      <fill>
        <patternFill>
          <bgColor rgb="FFFDE9E7"/>
        </patternFill>
      </fill>
    </dxf>
    <dxf>
      <font>
        <color rgb="FF1E7B34"/>
      </font>
      <fill>
        <patternFill>
          <bgColor rgb="FFE6F4EA"/>
        </patternFill>
      </fill>
    </dxf>
    <dxf>
      <font>
        <b val="1"/>
        <color rgb="FFC00000"/>
      </font>
    </dxf>
    <dxf>
      <fill>
        <patternFill>
          <bgColor rgb="FFF2F5F9"/>
        </patternFill>
      </fill>
    </dxf>
    <dxf>
      <font>
        <b val="1"/>
        <color rgb="FF1E7B34"/>
      </font>
    </dxf>
    <dxf>
      <font>
        <color rgb="FF7F7F7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C9D9"/>
      <rgbColor rgb="FF7F7F7F"/>
      <rgbColor rgb="FF9999FF"/>
      <rgbColor rgb="FF7030A0"/>
      <rgbColor rgb="FFFFF9E6"/>
      <rgbColor rgb="FFE6F4EA"/>
      <rgbColor rgb="FF660066"/>
      <rgbColor rgb="FFFF8080"/>
      <rgbColor rgb="FF2F5597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55A11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B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6" hidden="false" customHeight="true" outlineLevel="0" collapsed="false">
      <c r="A1" s="1" t="s">
        <v>0</v>
      </c>
      <c r="B1" s="1"/>
    </row>
    <row r="3" customFormat="false" ht="24" hidden="false" customHeight="tru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24" hidden="false" customHeight="true" outlineLevel="0" collapsed="false">
      <c r="A10" s="2" t="s">
        <v>14</v>
      </c>
      <c r="B10" s="2"/>
    </row>
    <row r="11" customFormat="false" ht="15" hidden="false" customHeight="false" outlineLevel="0" collapsed="false">
      <c r="A11" s="6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24" hidden="false" customHeight="true" outlineLevel="0" collapsed="false">
      <c r="A14" s="2" t="s">
        <v>21</v>
      </c>
      <c r="B14" s="2"/>
    </row>
    <row r="15" customFormat="false" ht="15" hidden="false" customHeight="false" outlineLevel="0" collapsed="false">
      <c r="A15" s="3" t="s">
        <v>2</v>
      </c>
      <c r="B15" s="4" t="s">
        <v>22</v>
      </c>
    </row>
    <row r="16" customFormat="false" ht="15" hidden="false" customHeight="false" outlineLevel="0" collapsed="false">
      <c r="A16" s="3" t="s">
        <v>4</v>
      </c>
      <c r="B16" s="4" t="s">
        <v>23</v>
      </c>
    </row>
    <row r="17" customFormat="false" ht="15" hidden="false" customHeight="false" outlineLevel="0" collapsed="false">
      <c r="A17" s="3" t="s">
        <v>6</v>
      </c>
      <c r="B17" s="4" t="s">
        <v>24</v>
      </c>
    </row>
    <row r="18" customFormat="false" ht="15" hidden="false" customHeight="false" outlineLevel="0" collapsed="false">
      <c r="A18" s="3" t="s">
        <v>8</v>
      </c>
      <c r="B18" s="4" t="s">
        <v>25</v>
      </c>
    </row>
    <row r="19" customFormat="false" ht="15" hidden="false" customHeight="false" outlineLevel="0" collapsed="false">
      <c r="A19" s="3" t="s">
        <v>10</v>
      </c>
      <c r="B19" s="4" t="s">
        <v>26</v>
      </c>
    </row>
    <row r="20" customFormat="false" ht="24" hidden="false" customHeight="true" outlineLevel="0" collapsed="false">
      <c r="A20" s="2" t="s">
        <v>27</v>
      </c>
      <c r="B20" s="2"/>
    </row>
    <row r="21" customFormat="false" ht="15" hidden="false" customHeight="false" outlineLevel="0" collapsed="false">
      <c r="A21" s="3" t="s">
        <v>28</v>
      </c>
      <c r="B21" s="4" t="s">
        <v>29</v>
      </c>
    </row>
    <row r="22" customFormat="false" ht="15" hidden="false" customHeight="false" outlineLevel="0" collapsed="false">
      <c r="A22" s="3" t="s">
        <v>28</v>
      </c>
      <c r="B22" s="4" t="s">
        <v>30</v>
      </c>
    </row>
    <row r="23" customFormat="false" ht="26.85" hidden="false" customHeight="false" outlineLevel="0" collapsed="false">
      <c r="A23" s="3" t="s">
        <v>28</v>
      </c>
      <c r="B23" s="4" t="s">
        <v>31</v>
      </c>
    </row>
  </sheetData>
  <mergeCells count="5">
    <mergeCell ref="A1:B1"/>
    <mergeCell ref="A3:B3"/>
    <mergeCell ref="A10:B10"/>
    <mergeCell ref="A14:B14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30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6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7" t="str">
        <f aca="true">"تاريخ التقرير: "&amp;TEXT(TODAY(),"yyyy/mm/dd")&amp;"   |   "&amp;الإعدادات!$B$4&amp;"   |   نسبة الضريبة: "&amp;TEXT(الإعدادات!$B$5,"0%")</f>
        <v>تاريخ التقرير: 2026/10/24   |   مؤسسة توريد الخضار والفواكه   |   نسبة الضريبة: 15%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30" hidden="false" customHeight="true" outlineLevel="0" collapsed="false">
      <c r="A4" s="8" t="s">
        <v>33</v>
      </c>
      <c r="B4" s="8"/>
      <c r="C4" s="8" t="s">
        <v>34</v>
      </c>
      <c r="D4" s="8"/>
      <c r="E4" s="8" t="s">
        <v>35</v>
      </c>
      <c r="F4" s="8"/>
      <c r="G4" s="8" t="s">
        <v>36</v>
      </c>
      <c r="H4" s="8"/>
      <c r="I4" s="8" t="s">
        <v>37</v>
      </c>
      <c r="J4" s="8"/>
      <c r="K4" s="8" t="s">
        <v>38</v>
      </c>
      <c r="L4" s="8"/>
    </row>
    <row r="5" customFormat="false" ht="33.75" hidden="false" customHeight="true" outlineLevel="0" collapsed="false">
      <c r="A5" s="9" t="n">
        <f aca="false">SUM($J$9:$J$308)</f>
        <v>13736.18</v>
      </c>
      <c r="B5" s="9"/>
      <c r="C5" s="9" t="n">
        <f aca="false">SUM($H$9:$H$308)</f>
        <v>11944.5</v>
      </c>
      <c r="D5" s="9"/>
      <c r="E5" s="9" t="n">
        <f aca="false">SUM($I$9:$I$308)</f>
        <v>1791.68</v>
      </c>
      <c r="F5" s="9"/>
      <c r="G5" s="9" t="n">
        <f aca="true">SUMIFS($J$9:$J$308,$A$9:$A$308,TODAY())</f>
        <v>13736.18</v>
      </c>
      <c r="H5" s="9"/>
      <c r="I5" s="10" t="n">
        <f aca="false">COUNTIF($B$9:$B$308,"?*")</f>
        <v>8</v>
      </c>
      <c r="J5" s="10"/>
      <c r="K5" s="10" t="n">
        <f aca="false">COUNTIF($L$9:$L$308,"⚠*")</f>
        <v>0</v>
      </c>
      <c r="L5" s="10"/>
    </row>
    <row r="7" customFormat="false" ht="15" hidden="false" customHeight="true" outlineLevel="0" collapsed="false">
      <c r="A7" s="11" t="s">
        <v>39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42" hidden="false" customHeight="true" outlineLevel="0" collapsed="false">
      <c r="A8" s="12" t="s">
        <v>40</v>
      </c>
      <c r="B8" s="12" t="s">
        <v>41</v>
      </c>
      <c r="C8" s="12" t="s">
        <v>42</v>
      </c>
      <c r="D8" s="12" t="s">
        <v>43</v>
      </c>
      <c r="E8" s="12" t="s">
        <v>44</v>
      </c>
      <c r="F8" s="12" t="s">
        <v>45</v>
      </c>
      <c r="G8" s="12" t="s">
        <v>46</v>
      </c>
      <c r="H8" s="12" t="s">
        <v>47</v>
      </c>
      <c r="I8" s="12" t="s">
        <v>48</v>
      </c>
      <c r="J8" s="12" t="s">
        <v>49</v>
      </c>
      <c r="K8" s="12" t="s">
        <v>27</v>
      </c>
      <c r="L8" s="12" t="s">
        <v>50</v>
      </c>
    </row>
    <row r="9" customFormat="false" ht="15" hidden="false" customHeight="false" outlineLevel="0" collapsed="false">
      <c r="A9" s="13" t="n">
        <v>46319</v>
      </c>
      <c r="B9" s="14" t="s">
        <v>51</v>
      </c>
      <c r="C9" s="14" t="s">
        <v>52</v>
      </c>
      <c r="D9" s="15" t="n">
        <f aca="false">IF(C9="","",IFERROR(INDEX('دليل الأصناف'!$A$4:$A$203,MATCH(C9,'دليل الأصناف'!$B$4:$B$203,0)),"غير مسجل"))</f>
        <v>20211</v>
      </c>
      <c r="E9" s="16" t="n">
        <v>470</v>
      </c>
      <c r="F9" s="17" t="n">
        <v>4.5</v>
      </c>
      <c r="G9" s="18" t="s">
        <v>53</v>
      </c>
      <c r="H9" s="19" t="n">
        <f aca="false">IF(OR(E9="",F9=""),0,IF(G9="شامل الضريبة",ROUND(ROUND(E9*F9,2)/(1+الإعدادات!$B$5),2),ROUND(E9*F9,2)))</f>
        <v>2115</v>
      </c>
      <c r="I9" s="19" t="n">
        <f aca="false">IF(OR(E9="",F9=""),0,IF(G9="شامل الضريبة",ROUND(E9*F9,2)-H9,ROUND(H9*الإعدادات!$B$5,2)))</f>
        <v>317.25</v>
      </c>
      <c r="J9" s="20" t="n">
        <f aca="false">H9+I9</f>
        <v>2432.25</v>
      </c>
      <c r="K9" s="14" t="s">
        <v>54</v>
      </c>
      <c r="L9" s="21" t="str">
        <f aca="false">IF(AND(B9="",C9="",E9="",F9=""),"",IF(B9="","⚠ اختر العميل",IF(COUNTIF('دليل العملاء'!$B$4:$B$203,B9)=0,"⚠ عميل غير مسجل",IF(C9="","⚠ اختر الصنف",IF(COUNTIF('دليل الأصناف'!$B$4:$B$203,C9)=0,"⚠ صنف غير مسجل",IF(E9="","⚠ أدخل الكمية",IF(F9="","⚠ أدخل السعر",IF(A9="","⚠ أدخل التاريخ","✓ سليم"))))))))</f>
        <v>✓ سليم</v>
      </c>
    </row>
    <row r="10" customFormat="false" ht="15" hidden="false" customHeight="false" outlineLevel="0" collapsed="false">
      <c r="A10" s="13" t="n">
        <v>46319</v>
      </c>
      <c r="B10" s="14" t="s">
        <v>55</v>
      </c>
      <c r="C10" s="14" t="s">
        <v>56</v>
      </c>
      <c r="D10" s="15" t="n">
        <f aca="false">IF(C10="","",IFERROR(INDEX('دليل الأصناف'!$A$4:$A$203,MATCH(C10,'دليل الأصناف'!$B$4:$B$203,0)),"غير مسجل"))</f>
        <v>20213</v>
      </c>
      <c r="E10" s="16" t="n">
        <v>297</v>
      </c>
      <c r="F10" s="17" t="n">
        <v>9.775</v>
      </c>
      <c r="G10" s="18" t="s">
        <v>57</v>
      </c>
      <c r="H10" s="19" t="n">
        <f aca="false">IF(OR(E10="",F10=""),0,IF(G10="شامل الضريبة",ROUND(ROUND(E10*F10,2)/(1+الإعدادات!$B$5),2),ROUND(E10*F10,2)))</f>
        <v>2524.5</v>
      </c>
      <c r="I10" s="19" t="n">
        <f aca="false">IF(OR(E10="",F10=""),0,IF(G10="شامل الضريبة",ROUND(E10*F10,2)-H10,ROUND(H10*الإعدادات!$B$5,2)))</f>
        <v>378.68</v>
      </c>
      <c r="J10" s="20" t="n">
        <f aca="false">H10+I10</f>
        <v>2903.18</v>
      </c>
      <c r="K10" s="14" t="s">
        <v>58</v>
      </c>
      <c r="L10" s="21" t="str">
        <f aca="false">IF(AND(B10="",C10="",E10="",F10=""),"",IF(B10="","⚠ اختر العميل",IF(COUNTIF('دليل العملاء'!$B$4:$B$203,B10)=0,"⚠ عميل غير مسجل",IF(C10="","⚠ اختر الصنف",IF(COUNTIF('دليل الأصناف'!$B$4:$B$203,C10)=0,"⚠ صنف غير مسجل",IF(E10="","⚠ أدخل الكمية",IF(F10="","⚠ أدخل السعر",IF(A10="","⚠ أدخل التاريخ","✓ سليم"))))))))</f>
        <v>✓ سليم</v>
      </c>
    </row>
    <row r="11" customFormat="false" ht="15" hidden="false" customHeight="false" outlineLevel="0" collapsed="false">
      <c r="A11" s="13" t="n">
        <v>46319</v>
      </c>
      <c r="B11" s="14" t="s">
        <v>59</v>
      </c>
      <c r="C11" s="14" t="s">
        <v>60</v>
      </c>
      <c r="D11" s="15" t="n">
        <f aca="false">IF(C11="","",IFERROR(INDEX('دليل الأصناف'!$A$4:$A$203,MATCH(C11,'دليل الأصناف'!$B$4:$B$203,0)),"غير مسجل"))</f>
        <v>448660</v>
      </c>
      <c r="E11" s="16" t="n">
        <v>150</v>
      </c>
      <c r="F11" s="17" t="n">
        <v>5</v>
      </c>
      <c r="G11" s="18" t="s">
        <v>53</v>
      </c>
      <c r="H11" s="19" t="n">
        <f aca="false">IF(OR(E11="",F11=""),0,IF(G11="شامل الضريبة",ROUND(ROUND(E11*F11,2)/(1+الإعدادات!$B$5),2),ROUND(E11*F11,2)))</f>
        <v>750</v>
      </c>
      <c r="I11" s="19" t="n">
        <f aca="false">IF(OR(E11="",F11=""),0,IF(G11="شامل الضريبة",ROUND(E11*F11,2)-H11,ROUND(H11*الإعدادات!$B$5,2)))</f>
        <v>112.5</v>
      </c>
      <c r="J11" s="20" t="n">
        <f aca="false">H11+I11</f>
        <v>862.5</v>
      </c>
      <c r="K11" s="14" t="s">
        <v>61</v>
      </c>
      <c r="L11" s="21" t="str">
        <f aca="false">IF(AND(B11="",C11="",E11="",F11=""),"",IF(B11="","⚠ اختر العميل",IF(COUNTIF('دليل العملاء'!$B$4:$B$203,B11)=0,"⚠ عميل غير مسجل",IF(C11="","⚠ اختر الصنف",IF(COUNTIF('دليل الأصناف'!$B$4:$B$203,C11)=0,"⚠ صنف غير مسجل",IF(E11="","⚠ أدخل الكمية",IF(F11="","⚠ أدخل السعر",IF(A11="","⚠ أدخل التاريخ","✓ سليم"))))))))</f>
        <v>✓ سليم</v>
      </c>
    </row>
    <row r="12" customFormat="false" ht="15" hidden="false" customHeight="false" outlineLevel="0" collapsed="false">
      <c r="A12" s="13" t="n">
        <v>46319</v>
      </c>
      <c r="B12" s="14" t="s">
        <v>62</v>
      </c>
      <c r="C12" s="14" t="s">
        <v>63</v>
      </c>
      <c r="D12" s="15" t="n">
        <f aca="false">IF(C12="","",IFERROR(INDEX('دليل الأصناف'!$A$4:$A$203,MATCH(C12,'دليل الأصناف'!$B$4:$B$203,0)),"غير مسجل"))</f>
        <v>20227</v>
      </c>
      <c r="E12" s="16" t="n">
        <v>200</v>
      </c>
      <c r="F12" s="17" t="n">
        <v>9.2</v>
      </c>
      <c r="G12" s="18" t="s">
        <v>57</v>
      </c>
      <c r="H12" s="19" t="n">
        <f aca="false">IF(OR(E12="",F12=""),0,IF(G12="شامل الضريبة",ROUND(ROUND(E12*F12,2)/(1+الإعدادات!$B$5),2),ROUND(E12*F12,2)))</f>
        <v>1600</v>
      </c>
      <c r="I12" s="19" t="n">
        <f aca="false">IF(OR(E12="",F12=""),0,IF(G12="شامل الضريبة",ROUND(E12*F12,2)-H12,ROUND(H12*الإعدادات!$B$5,2)))</f>
        <v>240</v>
      </c>
      <c r="J12" s="20" t="n">
        <f aca="false">H12+I12</f>
        <v>1840</v>
      </c>
      <c r="K12" s="14" t="s">
        <v>64</v>
      </c>
      <c r="L12" s="21" t="str">
        <f aca="false">IF(AND(B12="",C12="",E12="",F12=""),"",IF(B12="","⚠ اختر العميل",IF(COUNTIF('دليل العملاء'!$B$4:$B$203,B12)=0,"⚠ عميل غير مسجل",IF(C12="","⚠ اختر الصنف",IF(COUNTIF('دليل الأصناف'!$B$4:$B$203,C12)=0,"⚠ صنف غير مسجل",IF(E12="","⚠ أدخل الكمية",IF(F12="","⚠ أدخل السعر",IF(A12="","⚠ أدخل التاريخ","✓ سليم"))))))))</f>
        <v>✓ سليم</v>
      </c>
    </row>
    <row r="13" customFormat="false" ht="15" hidden="false" customHeight="false" outlineLevel="0" collapsed="false">
      <c r="A13" s="13" t="n">
        <v>46319</v>
      </c>
      <c r="B13" s="14" t="s">
        <v>65</v>
      </c>
      <c r="C13" s="14" t="s">
        <v>66</v>
      </c>
      <c r="D13" s="15" t="n">
        <f aca="false">IF(C13="","",IFERROR(INDEX('دليل الأصناف'!$A$4:$A$203,MATCH(C13,'دليل الأصناف'!$B$4:$B$203,0)),"غير مسجل"))</f>
        <v>20225</v>
      </c>
      <c r="E13" s="16" t="n">
        <v>150</v>
      </c>
      <c r="F13" s="17" t="n">
        <v>7.5</v>
      </c>
      <c r="G13" s="18" t="s">
        <v>53</v>
      </c>
      <c r="H13" s="19" t="n">
        <f aca="false">IF(OR(E13="",F13=""),0,IF(G13="شامل الضريبة",ROUND(ROUND(E13*F13,2)/(1+الإعدادات!$B$5),2),ROUND(E13*F13,2)))</f>
        <v>1125</v>
      </c>
      <c r="I13" s="19" t="n">
        <f aca="false">IF(OR(E13="",F13=""),0,IF(G13="شامل الضريبة",ROUND(E13*F13,2)-H13,ROUND(H13*الإعدادات!$B$5,2)))</f>
        <v>168.75</v>
      </c>
      <c r="J13" s="20" t="n">
        <f aca="false">H13+I13</f>
        <v>1293.75</v>
      </c>
      <c r="K13" s="14" t="s">
        <v>67</v>
      </c>
      <c r="L13" s="21" t="str">
        <f aca="false">IF(AND(B13="",C13="",E13="",F13=""),"",IF(B13="","⚠ اختر العميل",IF(COUNTIF('دليل العملاء'!$B$4:$B$203,B13)=0,"⚠ عميل غير مسجل",IF(C13="","⚠ اختر الصنف",IF(COUNTIF('دليل الأصناف'!$B$4:$B$203,C13)=0,"⚠ صنف غير مسجل",IF(E13="","⚠ أدخل الكمية",IF(F13="","⚠ أدخل السعر",IF(A13="","⚠ أدخل التاريخ","✓ سليم"))))))))</f>
        <v>✓ سليم</v>
      </c>
    </row>
    <row r="14" customFormat="false" ht="15" hidden="false" customHeight="false" outlineLevel="0" collapsed="false">
      <c r="A14" s="13" t="n">
        <v>46319</v>
      </c>
      <c r="B14" s="14" t="s">
        <v>68</v>
      </c>
      <c r="C14" s="14" t="s">
        <v>69</v>
      </c>
      <c r="D14" s="15" t="n">
        <f aca="false">IF(C14="","",IFERROR(INDEX('دليل الأصناف'!$A$4:$A$203,MATCH(C14,'دليل الأصناف'!$B$4:$B$203,0)),"غير مسجل"))</f>
        <v>20218</v>
      </c>
      <c r="E14" s="16" t="n">
        <v>80</v>
      </c>
      <c r="F14" s="17" t="n">
        <v>14.375</v>
      </c>
      <c r="G14" s="18" t="s">
        <v>57</v>
      </c>
      <c r="H14" s="19" t="n">
        <f aca="false">IF(OR(E14="",F14=""),0,IF(G14="شامل الضريبة",ROUND(ROUND(E14*F14,2)/(1+الإعدادات!$B$5),2),ROUND(E14*F14,2)))</f>
        <v>1000</v>
      </c>
      <c r="I14" s="19" t="n">
        <f aca="false">IF(OR(E14="",F14=""),0,IF(G14="شامل الضريبة",ROUND(E14*F14,2)-H14,ROUND(H14*الإعدادات!$B$5,2)))</f>
        <v>150</v>
      </c>
      <c r="J14" s="20" t="n">
        <f aca="false">H14+I14</f>
        <v>1150</v>
      </c>
      <c r="K14" s="14" t="s">
        <v>70</v>
      </c>
      <c r="L14" s="21" t="str">
        <f aca="false">IF(AND(B14="",C14="",E14="",F14=""),"",IF(B14="","⚠ اختر العميل",IF(COUNTIF('دليل العملاء'!$B$4:$B$203,B14)=0,"⚠ عميل غير مسجل",IF(C14="","⚠ اختر الصنف",IF(COUNTIF('دليل الأصناف'!$B$4:$B$203,C14)=0,"⚠ صنف غير مسجل",IF(E14="","⚠ أدخل الكمية",IF(F14="","⚠ أدخل السعر",IF(A14="","⚠ أدخل التاريخ","✓ سليم"))))))))</f>
        <v>✓ سليم</v>
      </c>
    </row>
    <row r="15" customFormat="false" ht="15" hidden="false" customHeight="false" outlineLevel="0" collapsed="false">
      <c r="A15" s="13" t="n">
        <v>46319</v>
      </c>
      <c r="B15" s="14" t="s">
        <v>71</v>
      </c>
      <c r="C15" s="14" t="s">
        <v>72</v>
      </c>
      <c r="D15" s="15" t="n">
        <f aca="false">IF(C15="","",IFERROR(INDEX('دليل الأصناف'!$A$4:$A$203,MATCH(C15,'دليل الأصناف'!$B$4:$B$203,0)),"غير مسجل"))</f>
        <v>20221</v>
      </c>
      <c r="E15" s="16" t="n">
        <v>350</v>
      </c>
      <c r="F15" s="17" t="n">
        <v>5</v>
      </c>
      <c r="G15" s="18" t="s">
        <v>53</v>
      </c>
      <c r="H15" s="19" t="n">
        <f aca="false">IF(OR(E15="",F15=""),0,IF(G15="شامل الضريبة",ROUND(ROUND(E15*F15,2)/(1+الإعدادات!$B$5),2),ROUND(E15*F15,2)))</f>
        <v>1750</v>
      </c>
      <c r="I15" s="19" t="n">
        <f aca="false">IF(OR(E15="",F15=""),0,IF(G15="شامل الضريبة",ROUND(E15*F15,2)-H15,ROUND(H15*الإعدادات!$B$5,2)))</f>
        <v>262.5</v>
      </c>
      <c r="J15" s="20" t="n">
        <f aca="false">H15+I15</f>
        <v>2012.5</v>
      </c>
      <c r="K15" s="14" t="s">
        <v>73</v>
      </c>
      <c r="L15" s="21" t="str">
        <f aca="false">IF(AND(B15="",C15="",E15="",F15=""),"",IF(B15="","⚠ اختر العميل",IF(COUNTIF('دليل العملاء'!$B$4:$B$203,B15)=0,"⚠ عميل غير مسجل",IF(C15="","⚠ اختر الصنف",IF(COUNTIF('دليل الأصناف'!$B$4:$B$203,C15)=0,"⚠ صنف غير مسجل",IF(E15="","⚠ أدخل الكمية",IF(F15="","⚠ أدخل السعر",IF(A15="","⚠ أدخل التاريخ","✓ سليم"))))))))</f>
        <v>✓ سليم</v>
      </c>
    </row>
    <row r="16" customFormat="false" ht="15" hidden="false" customHeight="false" outlineLevel="0" collapsed="false">
      <c r="A16" s="13" t="n">
        <v>46319</v>
      </c>
      <c r="B16" s="14" t="s">
        <v>74</v>
      </c>
      <c r="C16" s="14" t="s">
        <v>75</v>
      </c>
      <c r="D16" s="15" t="n">
        <f aca="false">IF(C16="","",IFERROR(INDEX('دليل الأصناف'!$A$4:$A$203,MATCH(C16,'دليل الأصناف'!$B$4:$B$203,0)),"غير مسجل"))</f>
        <v>20224</v>
      </c>
      <c r="E16" s="16" t="n">
        <v>120</v>
      </c>
      <c r="F16" s="17" t="n">
        <v>10.35</v>
      </c>
      <c r="G16" s="18" t="s">
        <v>57</v>
      </c>
      <c r="H16" s="19" t="n">
        <f aca="false">IF(OR(E16="",F16=""),0,IF(G16="شامل الضريبة",ROUND(ROUND(E16*F16,2)/(1+الإعدادات!$B$5),2),ROUND(E16*F16,2)))</f>
        <v>1080</v>
      </c>
      <c r="I16" s="19" t="n">
        <f aca="false">IF(OR(E16="",F16=""),0,IF(G16="شامل الضريبة",ROUND(E16*F16,2)-H16,ROUND(H16*الإعدادات!$B$5,2)))</f>
        <v>162</v>
      </c>
      <c r="J16" s="20" t="n">
        <f aca="false">H16+I16</f>
        <v>1242</v>
      </c>
      <c r="K16" s="14" t="s">
        <v>76</v>
      </c>
      <c r="L16" s="21" t="str">
        <f aca="false">IF(AND(B16="",C16="",E16="",F16=""),"",IF(B16="","⚠ اختر العميل",IF(COUNTIF('دليل العملاء'!$B$4:$B$203,B16)=0,"⚠ عميل غير مسجل",IF(C16="","⚠ اختر الصنف",IF(COUNTIF('دليل الأصناف'!$B$4:$B$203,C16)=0,"⚠ صنف غير مسجل",IF(E16="","⚠ أدخل الكمية",IF(F16="","⚠ أدخل السعر",IF(A16="","⚠ أدخل التاريخ","✓ سليم"))))))))</f>
        <v>✓ سليم</v>
      </c>
    </row>
    <row r="17" customFormat="false" ht="15" hidden="false" customHeight="false" outlineLevel="0" collapsed="false">
      <c r="A17" s="13"/>
      <c r="B17" s="14"/>
      <c r="C17" s="14"/>
      <c r="D17" s="15" t="str">
        <f aca="false">IF(C17="","",IFERROR(INDEX('دليل الأصناف'!$A$4:$A$203,MATCH(C17,'دليل الأصناف'!$B$4:$B$203,0)),"غير مسجل"))</f>
        <v/>
      </c>
      <c r="E17" s="16"/>
      <c r="F17" s="17"/>
      <c r="G17" s="18"/>
      <c r="H17" s="19" t="n">
        <f aca="false">IF(OR(E17="",F17=""),0,IF(G17="شامل الضريبة",ROUND(ROUND(E17*F17,2)/(1+الإعدادات!$B$5),2),ROUND(E17*F17,2)))</f>
        <v>0</v>
      </c>
      <c r="I17" s="19" t="n">
        <f aca="false">IF(OR(E17="",F17=""),0,IF(G17="شامل الضريبة",ROUND(E17*F17,2)-H17,ROUND(H17*الإعدادات!$B$5,2)))</f>
        <v>0</v>
      </c>
      <c r="J17" s="20" t="n">
        <f aca="false">H17+I17</f>
        <v>0</v>
      </c>
      <c r="K17" s="14"/>
      <c r="L17" s="21" t="str">
        <f aca="false">IF(AND(B17="",C17="",E17="",F17=""),"",IF(B17="","⚠ اختر العميل",IF(COUNTIF('دليل العملاء'!$B$4:$B$203,B17)=0,"⚠ عميل غير مسجل",IF(C17="","⚠ اختر الصنف",IF(COUNTIF('دليل الأصناف'!$B$4:$B$203,C17)=0,"⚠ صنف غير مسجل",IF(E17="","⚠ أدخل الكمية",IF(F17="","⚠ أدخل السعر",IF(A17="","⚠ أدخل التاريخ","✓ سليم"))))))))</f>
        <v/>
      </c>
    </row>
    <row r="18" customFormat="false" ht="15" hidden="false" customHeight="false" outlineLevel="0" collapsed="false">
      <c r="A18" s="13"/>
      <c r="B18" s="14"/>
      <c r="C18" s="14"/>
      <c r="D18" s="15" t="str">
        <f aca="false">IF(C18="","",IFERROR(INDEX('دليل الأصناف'!$A$4:$A$203,MATCH(C18,'دليل الأصناف'!$B$4:$B$203,0)),"غير مسجل"))</f>
        <v/>
      </c>
      <c r="E18" s="16"/>
      <c r="F18" s="17"/>
      <c r="G18" s="18"/>
      <c r="H18" s="19" t="n">
        <f aca="false">IF(OR(E18="",F18=""),0,IF(G18="شامل الضريبة",ROUND(ROUND(E18*F18,2)/(1+الإعدادات!$B$5),2),ROUND(E18*F18,2)))</f>
        <v>0</v>
      </c>
      <c r="I18" s="19" t="n">
        <f aca="false">IF(OR(E18="",F18=""),0,IF(G18="شامل الضريبة",ROUND(E18*F18,2)-H18,ROUND(H18*الإعدادات!$B$5,2)))</f>
        <v>0</v>
      </c>
      <c r="J18" s="20" t="n">
        <f aca="false">H18+I18</f>
        <v>0</v>
      </c>
      <c r="K18" s="14"/>
      <c r="L18" s="21" t="str">
        <f aca="false">IF(AND(B18="",C18="",E18="",F18=""),"",IF(B18="","⚠ اختر العميل",IF(COUNTIF('دليل العملاء'!$B$4:$B$203,B18)=0,"⚠ عميل غير مسجل",IF(C18="","⚠ اختر الصنف",IF(COUNTIF('دليل الأصناف'!$B$4:$B$203,C18)=0,"⚠ صنف غير مسجل",IF(E18="","⚠ أدخل الكمية",IF(F18="","⚠ أدخل السعر",IF(A18="","⚠ أدخل التاريخ","✓ سليم"))))))))</f>
        <v/>
      </c>
    </row>
    <row r="19" customFormat="false" ht="15" hidden="false" customHeight="false" outlineLevel="0" collapsed="false">
      <c r="A19" s="13"/>
      <c r="B19" s="14"/>
      <c r="C19" s="14"/>
      <c r="D19" s="15" t="str">
        <f aca="false">IF(C19="","",IFERROR(INDEX('دليل الأصناف'!$A$4:$A$203,MATCH(C19,'دليل الأصناف'!$B$4:$B$203,0)),"غير مسجل"))</f>
        <v/>
      </c>
      <c r="E19" s="16"/>
      <c r="F19" s="17"/>
      <c r="G19" s="18"/>
      <c r="H19" s="19" t="n">
        <f aca="false">IF(OR(E19="",F19=""),0,IF(G19="شامل الضريبة",ROUND(ROUND(E19*F19,2)/(1+الإعدادات!$B$5),2),ROUND(E19*F19,2)))</f>
        <v>0</v>
      </c>
      <c r="I19" s="19" t="n">
        <f aca="false">IF(OR(E19="",F19=""),0,IF(G19="شامل الضريبة",ROUND(E19*F19,2)-H19,ROUND(H19*الإعدادات!$B$5,2)))</f>
        <v>0</v>
      </c>
      <c r="J19" s="20" t="n">
        <f aca="false">H19+I19</f>
        <v>0</v>
      </c>
      <c r="K19" s="14"/>
      <c r="L19" s="21" t="str">
        <f aca="false">IF(AND(B19="",C19="",E19="",F19=""),"",IF(B19="","⚠ اختر العميل",IF(COUNTIF('دليل العملاء'!$B$4:$B$203,B19)=0,"⚠ عميل غير مسجل",IF(C19="","⚠ اختر الصنف",IF(COUNTIF('دليل الأصناف'!$B$4:$B$203,C19)=0,"⚠ صنف غير مسجل",IF(E19="","⚠ أدخل الكمية",IF(F19="","⚠ أدخل السعر",IF(A19="","⚠ أدخل التاريخ","✓ سليم"))))))))</f>
        <v/>
      </c>
    </row>
    <row r="20" customFormat="false" ht="15" hidden="false" customHeight="false" outlineLevel="0" collapsed="false">
      <c r="A20" s="13"/>
      <c r="B20" s="14"/>
      <c r="C20" s="14"/>
      <c r="D20" s="15" t="str">
        <f aca="false">IF(C20="","",IFERROR(INDEX('دليل الأصناف'!$A$4:$A$203,MATCH(C20,'دليل الأصناف'!$B$4:$B$203,0)),"غير مسجل"))</f>
        <v/>
      </c>
      <c r="E20" s="16"/>
      <c r="F20" s="17"/>
      <c r="G20" s="18"/>
      <c r="H20" s="19" t="n">
        <f aca="false">IF(OR(E20="",F20=""),0,IF(G20="شامل الضريبة",ROUND(ROUND(E20*F20,2)/(1+الإعدادات!$B$5),2),ROUND(E20*F20,2)))</f>
        <v>0</v>
      </c>
      <c r="I20" s="19" t="n">
        <f aca="false">IF(OR(E20="",F20=""),0,IF(G20="شامل الضريبة",ROUND(E20*F20,2)-H20,ROUND(H20*الإعدادات!$B$5,2)))</f>
        <v>0</v>
      </c>
      <c r="J20" s="20" t="n">
        <f aca="false">H20+I20</f>
        <v>0</v>
      </c>
      <c r="K20" s="14"/>
      <c r="L20" s="21" t="str">
        <f aca="false">IF(AND(B20="",C20="",E20="",F20=""),"",IF(B20="","⚠ اختر العميل",IF(COUNTIF('دليل العملاء'!$B$4:$B$203,B20)=0,"⚠ عميل غير مسجل",IF(C20="","⚠ اختر الصنف",IF(COUNTIF('دليل الأصناف'!$B$4:$B$203,C20)=0,"⚠ صنف غير مسجل",IF(E20="","⚠ أدخل الكمية",IF(F20="","⚠ أدخل السعر",IF(A20="","⚠ أدخل التاريخ","✓ سليم"))))))))</f>
        <v/>
      </c>
    </row>
    <row r="21" customFormat="false" ht="15" hidden="false" customHeight="false" outlineLevel="0" collapsed="false">
      <c r="A21" s="13"/>
      <c r="B21" s="14"/>
      <c r="C21" s="14"/>
      <c r="D21" s="15" t="str">
        <f aca="false">IF(C21="","",IFERROR(INDEX('دليل الأصناف'!$A$4:$A$203,MATCH(C21,'دليل الأصناف'!$B$4:$B$203,0)),"غير مسجل"))</f>
        <v/>
      </c>
      <c r="E21" s="16"/>
      <c r="F21" s="17"/>
      <c r="G21" s="18"/>
      <c r="H21" s="19" t="n">
        <f aca="false">IF(OR(E21="",F21=""),0,IF(G21="شامل الضريبة",ROUND(ROUND(E21*F21,2)/(1+الإعدادات!$B$5),2),ROUND(E21*F21,2)))</f>
        <v>0</v>
      </c>
      <c r="I21" s="19" t="n">
        <f aca="false">IF(OR(E21="",F21=""),0,IF(G21="شامل الضريبة",ROUND(E21*F21,2)-H21,ROUND(H21*الإعدادات!$B$5,2)))</f>
        <v>0</v>
      </c>
      <c r="J21" s="20" t="n">
        <f aca="false">H21+I21</f>
        <v>0</v>
      </c>
      <c r="K21" s="14"/>
      <c r="L21" s="21" t="str">
        <f aca="false">IF(AND(B21="",C21="",E21="",F21=""),"",IF(B21="","⚠ اختر العميل",IF(COUNTIF('دليل العملاء'!$B$4:$B$203,B21)=0,"⚠ عميل غير مسجل",IF(C21="","⚠ اختر الصنف",IF(COUNTIF('دليل الأصناف'!$B$4:$B$203,C21)=0,"⚠ صنف غير مسجل",IF(E21="","⚠ أدخل الكمية",IF(F21="","⚠ أدخل السعر",IF(A21="","⚠ أدخل التاريخ","✓ سليم"))))))))</f>
        <v/>
      </c>
    </row>
    <row r="22" customFormat="false" ht="15" hidden="false" customHeight="false" outlineLevel="0" collapsed="false">
      <c r="A22" s="13"/>
      <c r="B22" s="14"/>
      <c r="C22" s="14"/>
      <c r="D22" s="15" t="str">
        <f aca="false">IF(C22="","",IFERROR(INDEX('دليل الأصناف'!$A$4:$A$203,MATCH(C22,'دليل الأصناف'!$B$4:$B$203,0)),"غير مسجل"))</f>
        <v/>
      </c>
      <c r="E22" s="16"/>
      <c r="F22" s="17"/>
      <c r="G22" s="18"/>
      <c r="H22" s="19" t="n">
        <f aca="false">IF(OR(E22="",F22=""),0,IF(G22="شامل الضريبة",ROUND(ROUND(E22*F22,2)/(1+الإعدادات!$B$5),2),ROUND(E22*F22,2)))</f>
        <v>0</v>
      </c>
      <c r="I22" s="19" t="n">
        <f aca="false">IF(OR(E22="",F22=""),0,IF(G22="شامل الضريبة",ROUND(E22*F22,2)-H22,ROUND(H22*الإعدادات!$B$5,2)))</f>
        <v>0</v>
      </c>
      <c r="J22" s="20" t="n">
        <f aca="false">H22+I22</f>
        <v>0</v>
      </c>
      <c r="K22" s="14"/>
      <c r="L22" s="21" t="str">
        <f aca="false">IF(AND(B22="",C22="",E22="",F22=""),"",IF(B22="","⚠ اختر العميل",IF(COUNTIF('دليل العملاء'!$B$4:$B$203,B22)=0,"⚠ عميل غير مسجل",IF(C22="","⚠ اختر الصنف",IF(COUNTIF('دليل الأصناف'!$B$4:$B$203,C22)=0,"⚠ صنف غير مسجل",IF(E22="","⚠ أدخل الكمية",IF(F22="","⚠ أدخل السعر",IF(A22="","⚠ أدخل التاريخ","✓ سليم"))))))))</f>
        <v/>
      </c>
    </row>
    <row r="23" customFormat="false" ht="15" hidden="false" customHeight="false" outlineLevel="0" collapsed="false">
      <c r="A23" s="13"/>
      <c r="B23" s="14"/>
      <c r="C23" s="14"/>
      <c r="D23" s="15" t="str">
        <f aca="false">IF(C23="","",IFERROR(INDEX('دليل الأصناف'!$A$4:$A$203,MATCH(C23,'دليل الأصناف'!$B$4:$B$203,0)),"غير مسجل"))</f>
        <v/>
      </c>
      <c r="E23" s="16"/>
      <c r="F23" s="17"/>
      <c r="G23" s="18"/>
      <c r="H23" s="19" t="n">
        <f aca="false">IF(OR(E23="",F23=""),0,IF(G23="شامل الضريبة",ROUND(ROUND(E23*F23,2)/(1+الإعدادات!$B$5),2),ROUND(E23*F23,2)))</f>
        <v>0</v>
      </c>
      <c r="I23" s="19" t="n">
        <f aca="false">IF(OR(E23="",F23=""),0,IF(G23="شامل الضريبة",ROUND(E23*F23,2)-H23,ROUND(H23*الإعدادات!$B$5,2)))</f>
        <v>0</v>
      </c>
      <c r="J23" s="20" t="n">
        <f aca="false">H23+I23</f>
        <v>0</v>
      </c>
      <c r="K23" s="14"/>
      <c r="L23" s="21" t="str">
        <f aca="false">IF(AND(B23="",C23="",E23="",F23=""),"",IF(B23="","⚠ اختر العميل",IF(COUNTIF('دليل العملاء'!$B$4:$B$203,B23)=0,"⚠ عميل غير مسجل",IF(C23="","⚠ اختر الصنف",IF(COUNTIF('دليل الأصناف'!$B$4:$B$203,C23)=0,"⚠ صنف غير مسجل",IF(E23="","⚠ أدخل الكمية",IF(F23="","⚠ أدخل السعر",IF(A23="","⚠ أدخل التاريخ","✓ سليم"))))))))</f>
        <v/>
      </c>
    </row>
    <row r="24" customFormat="false" ht="15" hidden="false" customHeight="false" outlineLevel="0" collapsed="false">
      <c r="A24" s="13"/>
      <c r="B24" s="14"/>
      <c r="C24" s="14"/>
      <c r="D24" s="15" t="str">
        <f aca="false">IF(C24="","",IFERROR(INDEX('دليل الأصناف'!$A$4:$A$203,MATCH(C24,'دليل الأصناف'!$B$4:$B$203,0)),"غير مسجل"))</f>
        <v/>
      </c>
      <c r="E24" s="16"/>
      <c r="F24" s="17"/>
      <c r="G24" s="18"/>
      <c r="H24" s="19" t="n">
        <f aca="false">IF(OR(E24="",F24=""),0,IF(G24="شامل الضريبة",ROUND(ROUND(E24*F24,2)/(1+الإعدادات!$B$5),2),ROUND(E24*F24,2)))</f>
        <v>0</v>
      </c>
      <c r="I24" s="19" t="n">
        <f aca="false">IF(OR(E24="",F24=""),0,IF(G24="شامل الضريبة",ROUND(E24*F24,2)-H24,ROUND(H24*الإعدادات!$B$5,2)))</f>
        <v>0</v>
      </c>
      <c r="J24" s="20" t="n">
        <f aca="false">H24+I24</f>
        <v>0</v>
      </c>
      <c r="K24" s="14"/>
      <c r="L24" s="21" t="str">
        <f aca="false">IF(AND(B24="",C24="",E24="",F24=""),"",IF(B24="","⚠ اختر العميل",IF(COUNTIF('دليل العملاء'!$B$4:$B$203,B24)=0,"⚠ عميل غير مسجل",IF(C24="","⚠ اختر الصنف",IF(COUNTIF('دليل الأصناف'!$B$4:$B$203,C24)=0,"⚠ صنف غير مسجل",IF(E24="","⚠ أدخل الكمية",IF(F24="","⚠ أدخل السعر",IF(A24="","⚠ أدخل التاريخ","✓ سليم"))))))))</f>
        <v/>
      </c>
    </row>
    <row r="25" customFormat="false" ht="15" hidden="false" customHeight="false" outlineLevel="0" collapsed="false">
      <c r="A25" s="13"/>
      <c r="B25" s="14"/>
      <c r="C25" s="14"/>
      <c r="D25" s="15" t="str">
        <f aca="false">IF(C25="","",IFERROR(INDEX('دليل الأصناف'!$A$4:$A$203,MATCH(C25,'دليل الأصناف'!$B$4:$B$203,0)),"غير مسجل"))</f>
        <v/>
      </c>
      <c r="E25" s="16"/>
      <c r="F25" s="17"/>
      <c r="G25" s="18"/>
      <c r="H25" s="19" t="n">
        <f aca="false">IF(OR(E25="",F25=""),0,IF(G25="شامل الضريبة",ROUND(ROUND(E25*F25,2)/(1+الإعدادات!$B$5),2),ROUND(E25*F25,2)))</f>
        <v>0</v>
      </c>
      <c r="I25" s="19" t="n">
        <f aca="false">IF(OR(E25="",F25=""),0,IF(G25="شامل الضريبة",ROUND(E25*F25,2)-H25,ROUND(H25*الإعدادات!$B$5,2)))</f>
        <v>0</v>
      </c>
      <c r="J25" s="20" t="n">
        <f aca="false">H25+I25</f>
        <v>0</v>
      </c>
      <c r="K25" s="14"/>
      <c r="L25" s="21" t="str">
        <f aca="false">IF(AND(B25="",C25="",E25="",F25=""),"",IF(B25="","⚠ اختر العميل",IF(COUNTIF('دليل العملاء'!$B$4:$B$203,B25)=0,"⚠ عميل غير مسجل",IF(C25="","⚠ اختر الصنف",IF(COUNTIF('دليل الأصناف'!$B$4:$B$203,C25)=0,"⚠ صنف غير مسجل",IF(E25="","⚠ أدخل الكمية",IF(F25="","⚠ أدخل السعر",IF(A25="","⚠ أدخل التاريخ","✓ سليم"))))))))</f>
        <v/>
      </c>
    </row>
    <row r="26" customFormat="false" ht="15" hidden="false" customHeight="false" outlineLevel="0" collapsed="false">
      <c r="A26" s="13"/>
      <c r="B26" s="14"/>
      <c r="C26" s="14"/>
      <c r="D26" s="15" t="str">
        <f aca="false">IF(C26="","",IFERROR(INDEX('دليل الأصناف'!$A$4:$A$203,MATCH(C26,'دليل الأصناف'!$B$4:$B$203,0)),"غير مسجل"))</f>
        <v/>
      </c>
      <c r="E26" s="16"/>
      <c r="F26" s="17"/>
      <c r="G26" s="18"/>
      <c r="H26" s="19" t="n">
        <f aca="false">IF(OR(E26="",F26=""),0,IF(G26="شامل الضريبة",ROUND(ROUND(E26*F26,2)/(1+الإعدادات!$B$5),2),ROUND(E26*F26,2)))</f>
        <v>0</v>
      </c>
      <c r="I26" s="19" t="n">
        <f aca="false">IF(OR(E26="",F26=""),0,IF(G26="شامل الضريبة",ROUND(E26*F26,2)-H26,ROUND(H26*الإعدادات!$B$5,2)))</f>
        <v>0</v>
      </c>
      <c r="J26" s="20" t="n">
        <f aca="false">H26+I26</f>
        <v>0</v>
      </c>
      <c r="K26" s="14"/>
      <c r="L26" s="21" t="str">
        <f aca="false">IF(AND(B26="",C26="",E26="",F26=""),"",IF(B26="","⚠ اختر العميل",IF(COUNTIF('دليل العملاء'!$B$4:$B$203,B26)=0,"⚠ عميل غير مسجل",IF(C26="","⚠ اختر الصنف",IF(COUNTIF('دليل الأصناف'!$B$4:$B$203,C26)=0,"⚠ صنف غير مسجل",IF(E26="","⚠ أدخل الكمية",IF(F26="","⚠ أدخل السعر",IF(A26="","⚠ أدخل التاريخ","✓ سليم"))))))))</f>
        <v/>
      </c>
    </row>
    <row r="27" customFormat="false" ht="15" hidden="false" customHeight="false" outlineLevel="0" collapsed="false">
      <c r="A27" s="13"/>
      <c r="B27" s="14"/>
      <c r="C27" s="14"/>
      <c r="D27" s="15" t="str">
        <f aca="false">IF(C27="","",IFERROR(INDEX('دليل الأصناف'!$A$4:$A$203,MATCH(C27,'دليل الأصناف'!$B$4:$B$203,0)),"غير مسجل"))</f>
        <v/>
      </c>
      <c r="E27" s="16"/>
      <c r="F27" s="17"/>
      <c r="G27" s="18"/>
      <c r="H27" s="19" t="n">
        <f aca="false">IF(OR(E27="",F27=""),0,IF(G27="شامل الضريبة",ROUND(ROUND(E27*F27,2)/(1+الإعدادات!$B$5),2),ROUND(E27*F27,2)))</f>
        <v>0</v>
      </c>
      <c r="I27" s="19" t="n">
        <f aca="false">IF(OR(E27="",F27=""),0,IF(G27="شامل الضريبة",ROUND(E27*F27,2)-H27,ROUND(H27*الإعدادات!$B$5,2)))</f>
        <v>0</v>
      </c>
      <c r="J27" s="20" t="n">
        <f aca="false">H27+I27</f>
        <v>0</v>
      </c>
      <c r="K27" s="14"/>
      <c r="L27" s="21" t="str">
        <f aca="false">IF(AND(B27="",C27="",E27="",F27=""),"",IF(B27="","⚠ اختر العميل",IF(COUNTIF('دليل العملاء'!$B$4:$B$203,B27)=0,"⚠ عميل غير مسجل",IF(C27="","⚠ اختر الصنف",IF(COUNTIF('دليل الأصناف'!$B$4:$B$203,C27)=0,"⚠ صنف غير مسجل",IF(E27="","⚠ أدخل الكمية",IF(F27="","⚠ أدخل السعر",IF(A27="","⚠ أدخل التاريخ","✓ سليم"))))))))</f>
        <v/>
      </c>
    </row>
    <row r="28" customFormat="false" ht="15" hidden="false" customHeight="false" outlineLevel="0" collapsed="false">
      <c r="A28" s="13"/>
      <c r="B28" s="14"/>
      <c r="C28" s="14"/>
      <c r="D28" s="15" t="str">
        <f aca="false">IF(C28="","",IFERROR(INDEX('دليل الأصناف'!$A$4:$A$203,MATCH(C28,'دليل الأصناف'!$B$4:$B$203,0)),"غير مسجل"))</f>
        <v/>
      </c>
      <c r="E28" s="16"/>
      <c r="F28" s="17"/>
      <c r="G28" s="18"/>
      <c r="H28" s="19" t="n">
        <f aca="false">IF(OR(E28="",F28=""),0,IF(G28="شامل الضريبة",ROUND(ROUND(E28*F28,2)/(1+الإعدادات!$B$5),2),ROUND(E28*F28,2)))</f>
        <v>0</v>
      </c>
      <c r="I28" s="19" t="n">
        <f aca="false">IF(OR(E28="",F28=""),0,IF(G28="شامل الضريبة",ROUND(E28*F28,2)-H28,ROUND(H28*الإعدادات!$B$5,2)))</f>
        <v>0</v>
      </c>
      <c r="J28" s="20" t="n">
        <f aca="false">H28+I28</f>
        <v>0</v>
      </c>
      <c r="K28" s="14"/>
      <c r="L28" s="21" t="str">
        <f aca="false">IF(AND(B28="",C28="",E28="",F28=""),"",IF(B28="","⚠ اختر العميل",IF(COUNTIF('دليل العملاء'!$B$4:$B$203,B28)=0,"⚠ عميل غير مسجل",IF(C28="","⚠ اختر الصنف",IF(COUNTIF('دليل الأصناف'!$B$4:$B$203,C28)=0,"⚠ صنف غير مسجل",IF(E28="","⚠ أدخل الكمية",IF(F28="","⚠ أدخل السعر",IF(A28="","⚠ أدخل التاريخ","✓ سليم"))))))))</f>
        <v/>
      </c>
    </row>
    <row r="29" customFormat="false" ht="15" hidden="false" customHeight="false" outlineLevel="0" collapsed="false">
      <c r="A29" s="13"/>
      <c r="B29" s="14"/>
      <c r="C29" s="14"/>
      <c r="D29" s="15" t="str">
        <f aca="false">IF(C29="","",IFERROR(INDEX('دليل الأصناف'!$A$4:$A$203,MATCH(C29,'دليل الأصناف'!$B$4:$B$203,0)),"غير مسجل"))</f>
        <v/>
      </c>
      <c r="E29" s="16"/>
      <c r="F29" s="17"/>
      <c r="G29" s="18"/>
      <c r="H29" s="19" t="n">
        <f aca="false">IF(OR(E29="",F29=""),0,IF(G29="شامل الضريبة",ROUND(ROUND(E29*F29,2)/(1+الإعدادات!$B$5),2),ROUND(E29*F29,2)))</f>
        <v>0</v>
      </c>
      <c r="I29" s="19" t="n">
        <f aca="false">IF(OR(E29="",F29=""),0,IF(G29="شامل الضريبة",ROUND(E29*F29,2)-H29,ROUND(H29*الإعدادات!$B$5,2)))</f>
        <v>0</v>
      </c>
      <c r="J29" s="20" t="n">
        <f aca="false">H29+I29</f>
        <v>0</v>
      </c>
      <c r="K29" s="14"/>
      <c r="L29" s="21" t="str">
        <f aca="false">IF(AND(B29="",C29="",E29="",F29=""),"",IF(B29="","⚠ اختر العميل",IF(COUNTIF('دليل العملاء'!$B$4:$B$203,B29)=0,"⚠ عميل غير مسجل",IF(C29="","⚠ اختر الصنف",IF(COUNTIF('دليل الأصناف'!$B$4:$B$203,C29)=0,"⚠ صنف غير مسجل",IF(E29="","⚠ أدخل الكمية",IF(F29="","⚠ أدخل السعر",IF(A29="","⚠ أدخل التاريخ","✓ سليم"))))))))</f>
        <v/>
      </c>
    </row>
    <row r="30" customFormat="false" ht="15" hidden="false" customHeight="false" outlineLevel="0" collapsed="false">
      <c r="A30" s="13"/>
      <c r="B30" s="14"/>
      <c r="C30" s="14"/>
      <c r="D30" s="15" t="str">
        <f aca="false">IF(C30="","",IFERROR(INDEX('دليل الأصناف'!$A$4:$A$203,MATCH(C30,'دليل الأصناف'!$B$4:$B$203,0)),"غير مسجل"))</f>
        <v/>
      </c>
      <c r="E30" s="16"/>
      <c r="F30" s="17"/>
      <c r="G30" s="18"/>
      <c r="H30" s="19" t="n">
        <f aca="false">IF(OR(E30="",F30=""),0,IF(G30="شامل الضريبة",ROUND(ROUND(E30*F30,2)/(1+الإعدادات!$B$5),2),ROUND(E30*F30,2)))</f>
        <v>0</v>
      </c>
      <c r="I30" s="19" t="n">
        <f aca="false">IF(OR(E30="",F30=""),0,IF(G30="شامل الضريبة",ROUND(E30*F30,2)-H30,ROUND(H30*الإعدادات!$B$5,2)))</f>
        <v>0</v>
      </c>
      <c r="J30" s="20" t="n">
        <f aca="false">H30+I30</f>
        <v>0</v>
      </c>
      <c r="K30" s="14"/>
      <c r="L30" s="21" t="str">
        <f aca="false">IF(AND(B30="",C30="",E30="",F30=""),"",IF(B30="","⚠ اختر العميل",IF(COUNTIF('دليل العملاء'!$B$4:$B$203,B30)=0,"⚠ عميل غير مسجل",IF(C30="","⚠ اختر الصنف",IF(COUNTIF('دليل الأصناف'!$B$4:$B$203,C30)=0,"⚠ صنف غير مسجل",IF(E30="","⚠ أدخل الكمية",IF(F30="","⚠ أدخل السعر",IF(A30="","⚠ أدخل التاريخ","✓ سليم"))))))))</f>
        <v/>
      </c>
    </row>
    <row r="31" customFormat="false" ht="15" hidden="false" customHeight="false" outlineLevel="0" collapsed="false">
      <c r="A31" s="13"/>
      <c r="B31" s="14"/>
      <c r="C31" s="14"/>
      <c r="D31" s="15" t="str">
        <f aca="false">IF(C31="","",IFERROR(INDEX('دليل الأصناف'!$A$4:$A$203,MATCH(C31,'دليل الأصناف'!$B$4:$B$203,0)),"غير مسجل"))</f>
        <v/>
      </c>
      <c r="E31" s="16"/>
      <c r="F31" s="17"/>
      <c r="G31" s="18"/>
      <c r="H31" s="19" t="n">
        <f aca="false">IF(OR(E31="",F31=""),0,IF(G31="شامل الضريبة",ROUND(ROUND(E31*F31,2)/(1+الإعدادات!$B$5),2),ROUND(E31*F31,2)))</f>
        <v>0</v>
      </c>
      <c r="I31" s="19" t="n">
        <f aca="false">IF(OR(E31="",F31=""),0,IF(G31="شامل الضريبة",ROUND(E31*F31,2)-H31,ROUND(H31*الإعدادات!$B$5,2)))</f>
        <v>0</v>
      </c>
      <c r="J31" s="20" t="n">
        <f aca="false">H31+I31</f>
        <v>0</v>
      </c>
      <c r="K31" s="14"/>
      <c r="L31" s="21" t="str">
        <f aca="false">IF(AND(B31="",C31="",E31="",F31=""),"",IF(B31="","⚠ اختر العميل",IF(COUNTIF('دليل العملاء'!$B$4:$B$203,B31)=0,"⚠ عميل غير مسجل",IF(C31="","⚠ اختر الصنف",IF(COUNTIF('دليل الأصناف'!$B$4:$B$203,C31)=0,"⚠ صنف غير مسجل",IF(E31="","⚠ أدخل الكمية",IF(F31="","⚠ أدخل السعر",IF(A31="","⚠ أدخل التاريخ","✓ سليم"))))))))</f>
        <v/>
      </c>
    </row>
    <row r="32" customFormat="false" ht="15" hidden="false" customHeight="false" outlineLevel="0" collapsed="false">
      <c r="A32" s="13"/>
      <c r="B32" s="14"/>
      <c r="C32" s="14"/>
      <c r="D32" s="15" t="str">
        <f aca="false">IF(C32="","",IFERROR(INDEX('دليل الأصناف'!$A$4:$A$203,MATCH(C32,'دليل الأصناف'!$B$4:$B$203,0)),"غير مسجل"))</f>
        <v/>
      </c>
      <c r="E32" s="16"/>
      <c r="F32" s="17"/>
      <c r="G32" s="18"/>
      <c r="H32" s="19" t="n">
        <f aca="false">IF(OR(E32="",F32=""),0,IF(G32="شامل الضريبة",ROUND(ROUND(E32*F32,2)/(1+الإعدادات!$B$5),2),ROUND(E32*F32,2)))</f>
        <v>0</v>
      </c>
      <c r="I32" s="19" t="n">
        <f aca="false">IF(OR(E32="",F32=""),0,IF(G32="شامل الضريبة",ROUND(E32*F32,2)-H32,ROUND(H32*الإعدادات!$B$5,2)))</f>
        <v>0</v>
      </c>
      <c r="J32" s="20" t="n">
        <f aca="false">H32+I32</f>
        <v>0</v>
      </c>
      <c r="K32" s="14"/>
      <c r="L32" s="21" t="str">
        <f aca="false">IF(AND(B32="",C32="",E32="",F32=""),"",IF(B32="","⚠ اختر العميل",IF(COUNTIF('دليل العملاء'!$B$4:$B$203,B32)=0,"⚠ عميل غير مسجل",IF(C32="","⚠ اختر الصنف",IF(COUNTIF('دليل الأصناف'!$B$4:$B$203,C32)=0,"⚠ صنف غير مسجل",IF(E32="","⚠ أدخل الكمية",IF(F32="","⚠ أدخل السعر",IF(A32="","⚠ أدخل التاريخ","✓ سليم"))))))))</f>
        <v/>
      </c>
    </row>
    <row r="33" customFormat="false" ht="15" hidden="false" customHeight="false" outlineLevel="0" collapsed="false">
      <c r="A33" s="13"/>
      <c r="B33" s="14"/>
      <c r="C33" s="14"/>
      <c r="D33" s="15" t="str">
        <f aca="false">IF(C33="","",IFERROR(INDEX('دليل الأصناف'!$A$4:$A$203,MATCH(C33,'دليل الأصناف'!$B$4:$B$203,0)),"غير مسجل"))</f>
        <v/>
      </c>
      <c r="E33" s="16"/>
      <c r="F33" s="17"/>
      <c r="G33" s="18"/>
      <c r="H33" s="19" t="n">
        <f aca="false">IF(OR(E33="",F33=""),0,IF(G33="شامل الضريبة",ROUND(ROUND(E33*F33,2)/(1+الإعدادات!$B$5),2),ROUND(E33*F33,2)))</f>
        <v>0</v>
      </c>
      <c r="I33" s="19" t="n">
        <f aca="false">IF(OR(E33="",F33=""),0,IF(G33="شامل الضريبة",ROUND(E33*F33,2)-H33,ROUND(H33*الإعدادات!$B$5,2)))</f>
        <v>0</v>
      </c>
      <c r="J33" s="20" t="n">
        <f aca="false">H33+I33</f>
        <v>0</v>
      </c>
      <c r="K33" s="14"/>
      <c r="L33" s="21" t="str">
        <f aca="false">IF(AND(B33="",C33="",E33="",F33=""),"",IF(B33="","⚠ اختر العميل",IF(COUNTIF('دليل العملاء'!$B$4:$B$203,B33)=0,"⚠ عميل غير مسجل",IF(C33="","⚠ اختر الصنف",IF(COUNTIF('دليل الأصناف'!$B$4:$B$203,C33)=0,"⚠ صنف غير مسجل",IF(E33="","⚠ أدخل الكمية",IF(F33="","⚠ أدخل السعر",IF(A33="","⚠ أدخل التاريخ","✓ سليم"))))))))</f>
        <v/>
      </c>
    </row>
    <row r="34" customFormat="false" ht="15" hidden="false" customHeight="false" outlineLevel="0" collapsed="false">
      <c r="A34" s="13"/>
      <c r="B34" s="14"/>
      <c r="C34" s="14"/>
      <c r="D34" s="15" t="str">
        <f aca="false">IF(C34="","",IFERROR(INDEX('دليل الأصناف'!$A$4:$A$203,MATCH(C34,'دليل الأصناف'!$B$4:$B$203,0)),"غير مسجل"))</f>
        <v/>
      </c>
      <c r="E34" s="16"/>
      <c r="F34" s="17"/>
      <c r="G34" s="18"/>
      <c r="H34" s="19" t="n">
        <f aca="false">IF(OR(E34="",F34=""),0,IF(G34="شامل الضريبة",ROUND(ROUND(E34*F34,2)/(1+الإعدادات!$B$5),2),ROUND(E34*F34,2)))</f>
        <v>0</v>
      </c>
      <c r="I34" s="19" t="n">
        <f aca="false">IF(OR(E34="",F34=""),0,IF(G34="شامل الضريبة",ROUND(E34*F34,2)-H34,ROUND(H34*الإعدادات!$B$5,2)))</f>
        <v>0</v>
      </c>
      <c r="J34" s="20" t="n">
        <f aca="false">H34+I34</f>
        <v>0</v>
      </c>
      <c r="K34" s="14"/>
      <c r="L34" s="21" t="str">
        <f aca="false">IF(AND(B34="",C34="",E34="",F34=""),"",IF(B34="","⚠ اختر العميل",IF(COUNTIF('دليل العملاء'!$B$4:$B$203,B34)=0,"⚠ عميل غير مسجل",IF(C34="","⚠ اختر الصنف",IF(COUNTIF('دليل الأصناف'!$B$4:$B$203,C34)=0,"⚠ صنف غير مسجل",IF(E34="","⚠ أدخل الكمية",IF(F34="","⚠ أدخل السعر",IF(A34="","⚠ أدخل التاريخ","✓ سليم"))))))))</f>
        <v/>
      </c>
    </row>
    <row r="35" customFormat="false" ht="15" hidden="false" customHeight="false" outlineLevel="0" collapsed="false">
      <c r="A35" s="13"/>
      <c r="B35" s="14"/>
      <c r="C35" s="14"/>
      <c r="D35" s="15" t="str">
        <f aca="false">IF(C35="","",IFERROR(INDEX('دليل الأصناف'!$A$4:$A$203,MATCH(C35,'دليل الأصناف'!$B$4:$B$203,0)),"غير مسجل"))</f>
        <v/>
      </c>
      <c r="E35" s="16"/>
      <c r="F35" s="17"/>
      <c r="G35" s="18"/>
      <c r="H35" s="19" t="n">
        <f aca="false">IF(OR(E35="",F35=""),0,IF(G35="شامل الضريبة",ROUND(ROUND(E35*F35,2)/(1+الإعدادات!$B$5),2),ROUND(E35*F35,2)))</f>
        <v>0</v>
      </c>
      <c r="I35" s="19" t="n">
        <f aca="false">IF(OR(E35="",F35=""),0,IF(G35="شامل الضريبة",ROUND(E35*F35,2)-H35,ROUND(H35*الإعدادات!$B$5,2)))</f>
        <v>0</v>
      </c>
      <c r="J35" s="20" t="n">
        <f aca="false">H35+I35</f>
        <v>0</v>
      </c>
      <c r="K35" s="14"/>
      <c r="L35" s="21" t="str">
        <f aca="false">IF(AND(B35="",C35="",E35="",F35=""),"",IF(B35="","⚠ اختر العميل",IF(COUNTIF('دليل العملاء'!$B$4:$B$203,B35)=0,"⚠ عميل غير مسجل",IF(C35="","⚠ اختر الصنف",IF(COUNTIF('دليل الأصناف'!$B$4:$B$203,C35)=0,"⚠ صنف غير مسجل",IF(E35="","⚠ أدخل الكمية",IF(F35="","⚠ أدخل السعر",IF(A35="","⚠ أدخل التاريخ","✓ سليم"))))))))</f>
        <v/>
      </c>
    </row>
    <row r="36" customFormat="false" ht="15" hidden="false" customHeight="false" outlineLevel="0" collapsed="false">
      <c r="A36" s="13"/>
      <c r="B36" s="14"/>
      <c r="C36" s="14"/>
      <c r="D36" s="15" t="str">
        <f aca="false">IF(C36="","",IFERROR(INDEX('دليل الأصناف'!$A$4:$A$203,MATCH(C36,'دليل الأصناف'!$B$4:$B$203,0)),"غير مسجل"))</f>
        <v/>
      </c>
      <c r="E36" s="16"/>
      <c r="F36" s="17"/>
      <c r="G36" s="18"/>
      <c r="H36" s="19" t="n">
        <f aca="false">IF(OR(E36="",F36=""),0,IF(G36="شامل الضريبة",ROUND(ROUND(E36*F36,2)/(1+الإعدادات!$B$5),2),ROUND(E36*F36,2)))</f>
        <v>0</v>
      </c>
      <c r="I36" s="19" t="n">
        <f aca="false">IF(OR(E36="",F36=""),0,IF(G36="شامل الضريبة",ROUND(E36*F36,2)-H36,ROUND(H36*الإعدادات!$B$5,2)))</f>
        <v>0</v>
      </c>
      <c r="J36" s="20" t="n">
        <f aca="false">H36+I36</f>
        <v>0</v>
      </c>
      <c r="K36" s="14"/>
      <c r="L36" s="21" t="str">
        <f aca="false">IF(AND(B36="",C36="",E36="",F36=""),"",IF(B36="","⚠ اختر العميل",IF(COUNTIF('دليل العملاء'!$B$4:$B$203,B36)=0,"⚠ عميل غير مسجل",IF(C36="","⚠ اختر الصنف",IF(COUNTIF('دليل الأصناف'!$B$4:$B$203,C36)=0,"⚠ صنف غير مسجل",IF(E36="","⚠ أدخل الكمية",IF(F36="","⚠ أدخل السعر",IF(A36="","⚠ أدخل التاريخ","✓ سليم"))))))))</f>
        <v/>
      </c>
    </row>
    <row r="37" customFormat="false" ht="15" hidden="false" customHeight="false" outlineLevel="0" collapsed="false">
      <c r="A37" s="13"/>
      <c r="B37" s="14"/>
      <c r="C37" s="14"/>
      <c r="D37" s="15" t="str">
        <f aca="false">IF(C37="","",IFERROR(INDEX('دليل الأصناف'!$A$4:$A$203,MATCH(C37,'دليل الأصناف'!$B$4:$B$203,0)),"غير مسجل"))</f>
        <v/>
      </c>
      <c r="E37" s="16"/>
      <c r="F37" s="17"/>
      <c r="G37" s="18"/>
      <c r="H37" s="19" t="n">
        <f aca="false">IF(OR(E37="",F37=""),0,IF(G37="شامل الضريبة",ROUND(ROUND(E37*F37,2)/(1+الإعدادات!$B$5),2),ROUND(E37*F37,2)))</f>
        <v>0</v>
      </c>
      <c r="I37" s="19" t="n">
        <f aca="false">IF(OR(E37="",F37=""),0,IF(G37="شامل الضريبة",ROUND(E37*F37,2)-H37,ROUND(H37*الإعدادات!$B$5,2)))</f>
        <v>0</v>
      </c>
      <c r="J37" s="20" t="n">
        <f aca="false">H37+I37</f>
        <v>0</v>
      </c>
      <c r="K37" s="14"/>
      <c r="L37" s="21" t="str">
        <f aca="false">IF(AND(B37="",C37="",E37="",F37=""),"",IF(B37="","⚠ اختر العميل",IF(COUNTIF('دليل العملاء'!$B$4:$B$203,B37)=0,"⚠ عميل غير مسجل",IF(C37="","⚠ اختر الصنف",IF(COUNTIF('دليل الأصناف'!$B$4:$B$203,C37)=0,"⚠ صنف غير مسجل",IF(E37="","⚠ أدخل الكمية",IF(F37="","⚠ أدخل السعر",IF(A37="","⚠ أدخل التاريخ","✓ سليم"))))))))</f>
        <v/>
      </c>
    </row>
    <row r="38" customFormat="false" ht="15" hidden="false" customHeight="false" outlineLevel="0" collapsed="false">
      <c r="A38" s="13"/>
      <c r="B38" s="14"/>
      <c r="C38" s="14"/>
      <c r="D38" s="15" t="str">
        <f aca="false">IF(C38="","",IFERROR(INDEX('دليل الأصناف'!$A$4:$A$203,MATCH(C38,'دليل الأصناف'!$B$4:$B$203,0)),"غير مسجل"))</f>
        <v/>
      </c>
      <c r="E38" s="16"/>
      <c r="F38" s="17"/>
      <c r="G38" s="18"/>
      <c r="H38" s="19" t="n">
        <f aca="false">IF(OR(E38="",F38=""),0,IF(G38="شامل الضريبة",ROUND(ROUND(E38*F38,2)/(1+الإعدادات!$B$5),2),ROUND(E38*F38,2)))</f>
        <v>0</v>
      </c>
      <c r="I38" s="19" t="n">
        <f aca="false">IF(OR(E38="",F38=""),0,IF(G38="شامل الضريبة",ROUND(E38*F38,2)-H38,ROUND(H38*الإعدادات!$B$5,2)))</f>
        <v>0</v>
      </c>
      <c r="J38" s="20" t="n">
        <f aca="false">H38+I38</f>
        <v>0</v>
      </c>
      <c r="K38" s="14"/>
      <c r="L38" s="21" t="str">
        <f aca="false">IF(AND(B38="",C38="",E38="",F38=""),"",IF(B38="","⚠ اختر العميل",IF(COUNTIF('دليل العملاء'!$B$4:$B$203,B38)=0,"⚠ عميل غير مسجل",IF(C38="","⚠ اختر الصنف",IF(COUNTIF('دليل الأصناف'!$B$4:$B$203,C38)=0,"⚠ صنف غير مسجل",IF(E38="","⚠ أدخل الكمية",IF(F38="","⚠ أدخل السعر",IF(A38="","⚠ أدخل التاريخ","✓ سليم"))))))))</f>
        <v/>
      </c>
    </row>
    <row r="39" customFormat="false" ht="15" hidden="false" customHeight="false" outlineLevel="0" collapsed="false">
      <c r="A39" s="13"/>
      <c r="B39" s="14"/>
      <c r="C39" s="14"/>
      <c r="D39" s="15" t="str">
        <f aca="false">IF(C39="","",IFERROR(INDEX('دليل الأصناف'!$A$4:$A$203,MATCH(C39,'دليل الأصناف'!$B$4:$B$203,0)),"غير مسجل"))</f>
        <v/>
      </c>
      <c r="E39" s="16"/>
      <c r="F39" s="17"/>
      <c r="G39" s="18"/>
      <c r="H39" s="19" t="n">
        <f aca="false">IF(OR(E39="",F39=""),0,IF(G39="شامل الضريبة",ROUND(ROUND(E39*F39,2)/(1+الإعدادات!$B$5),2),ROUND(E39*F39,2)))</f>
        <v>0</v>
      </c>
      <c r="I39" s="19" t="n">
        <f aca="false">IF(OR(E39="",F39=""),0,IF(G39="شامل الضريبة",ROUND(E39*F39,2)-H39,ROUND(H39*الإعدادات!$B$5,2)))</f>
        <v>0</v>
      </c>
      <c r="J39" s="20" t="n">
        <f aca="false">H39+I39</f>
        <v>0</v>
      </c>
      <c r="K39" s="14"/>
      <c r="L39" s="21" t="str">
        <f aca="false">IF(AND(B39="",C39="",E39="",F39=""),"",IF(B39="","⚠ اختر العميل",IF(COUNTIF('دليل العملاء'!$B$4:$B$203,B39)=0,"⚠ عميل غير مسجل",IF(C39="","⚠ اختر الصنف",IF(COUNTIF('دليل الأصناف'!$B$4:$B$203,C39)=0,"⚠ صنف غير مسجل",IF(E39="","⚠ أدخل الكمية",IF(F39="","⚠ أدخل السعر",IF(A39="","⚠ أدخل التاريخ","✓ سليم"))))))))</f>
        <v/>
      </c>
    </row>
    <row r="40" customFormat="false" ht="15" hidden="false" customHeight="false" outlineLevel="0" collapsed="false">
      <c r="A40" s="13"/>
      <c r="B40" s="14"/>
      <c r="C40" s="14"/>
      <c r="D40" s="15" t="str">
        <f aca="false">IF(C40="","",IFERROR(INDEX('دليل الأصناف'!$A$4:$A$203,MATCH(C40,'دليل الأصناف'!$B$4:$B$203,0)),"غير مسجل"))</f>
        <v/>
      </c>
      <c r="E40" s="16"/>
      <c r="F40" s="17"/>
      <c r="G40" s="18"/>
      <c r="H40" s="19" t="n">
        <f aca="false">IF(OR(E40="",F40=""),0,IF(G40="شامل الضريبة",ROUND(ROUND(E40*F40,2)/(1+الإعدادات!$B$5),2),ROUND(E40*F40,2)))</f>
        <v>0</v>
      </c>
      <c r="I40" s="19" t="n">
        <f aca="false">IF(OR(E40="",F40=""),0,IF(G40="شامل الضريبة",ROUND(E40*F40,2)-H40,ROUND(H40*الإعدادات!$B$5,2)))</f>
        <v>0</v>
      </c>
      <c r="J40" s="20" t="n">
        <f aca="false">H40+I40</f>
        <v>0</v>
      </c>
      <c r="K40" s="14"/>
      <c r="L40" s="21" t="str">
        <f aca="false">IF(AND(B40="",C40="",E40="",F40=""),"",IF(B40="","⚠ اختر العميل",IF(COUNTIF('دليل العملاء'!$B$4:$B$203,B40)=0,"⚠ عميل غير مسجل",IF(C40="","⚠ اختر الصنف",IF(COUNTIF('دليل الأصناف'!$B$4:$B$203,C40)=0,"⚠ صنف غير مسجل",IF(E40="","⚠ أدخل الكمية",IF(F40="","⚠ أدخل السعر",IF(A40="","⚠ أدخل التاريخ","✓ سليم"))))))))</f>
        <v/>
      </c>
    </row>
    <row r="41" customFormat="false" ht="15" hidden="false" customHeight="false" outlineLevel="0" collapsed="false">
      <c r="A41" s="13"/>
      <c r="B41" s="14"/>
      <c r="C41" s="14"/>
      <c r="D41" s="15" t="str">
        <f aca="false">IF(C41="","",IFERROR(INDEX('دليل الأصناف'!$A$4:$A$203,MATCH(C41,'دليل الأصناف'!$B$4:$B$203,0)),"غير مسجل"))</f>
        <v/>
      </c>
      <c r="E41" s="16"/>
      <c r="F41" s="17"/>
      <c r="G41" s="18"/>
      <c r="H41" s="19" t="n">
        <f aca="false">IF(OR(E41="",F41=""),0,IF(G41="شامل الضريبة",ROUND(ROUND(E41*F41,2)/(1+الإعدادات!$B$5),2),ROUND(E41*F41,2)))</f>
        <v>0</v>
      </c>
      <c r="I41" s="19" t="n">
        <f aca="false">IF(OR(E41="",F41=""),0,IF(G41="شامل الضريبة",ROUND(E41*F41,2)-H41,ROUND(H41*الإعدادات!$B$5,2)))</f>
        <v>0</v>
      </c>
      <c r="J41" s="20" t="n">
        <f aca="false">H41+I41</f>
        <v>0</v>
      </c>
      <c r="K41" s="14"/>
      <c r="L41" s="21" t="str">
        <f aca="false">IF(AND(B41="",C41="",E41="",F41=""),"",IF(B41="","⚠ اختر العميل",IF(COUNTIF('دليل العملاء'!$B$4:$B$203,B41)=0,"⚠ عميل غير مسجل",IF(C41="","⚠ اختر الصنف",IF(COUNTIF('دليل الأصناف'!$B$4:$B$203,C41)=0,"⚠ صنف غير مسجل",IF(E41="","⚠ أدخل الكمية",IF(F41="","⚠ أدخل السعر",IF(A41="","⚠ أدخل التاريخ","✓ سليم"))))))))</f>
        <v/>
      </c>
    </row>
    <row r="42" customFormat="false" ht="15" hidden="false" customHeight="false" outlineLevel="0" collapsed="false">
      <c r="A42" s="13"/>
      <c r="B42" s="14"/>
      <c r="C42" s="14"/>
      <c r="D42" s="15" t="str">
        <f aca="false">IF(C42="","",IFERROR(INDEX('دليل الأصناف'!$A$4:$A$203,MATCH(C42,'دليل الأصناف'!$B$4:$B$203,0)),"غير مسجل"))</f>
        <v/>
      </c>
      <c r="E42" s="16"/>
      <c r="F42" s="17"/>
      <c r="G42" s="18"/>
      <c r="H42" s="19" t="n">
        <f aca="false">IF(OR(E42="",F42=""),0,IF(G42="شامل الضريبة",ROUND(ROUND(E42*F42,2)/(1+الإعدادات!$B$5),2),ROUND(E42*F42,2)))</f>
        <v>0</v>
      </c>
      <c r="I42" s="19" t="n">
        <f aca="false">IF(OR(E42="",F42=""),0,IF(G42="شامل الضريبة",ROUND(E42*F42,2)-H42,ROUND(H42*الإعدادات!$B$5,2)))</f>
        <v>0</v>
      </c>
      <c r="J42" s="20" t="n">
        <f aca="false">H42+I42</f>
        <v>0</v>
      </c>
      <c r="K42" s="14"/>
      <c r="L42" s="21" t="str">
        <f aca="false">IF(AND(B42="",C42="",E42="",F42=""),"",IF(B42="","⚠ اختر العميل",IF(COUNTIF('دليل العملاء'!$B$4:$B$203,B42)=0,"⚠ عميل غير مسجل",IF(C42="","⚠ اختر الصنف",IF(COUNTIF('دليل الأصناف'!$B$4:$B$203,C42)=0,"⚠ صنف غير مسجل",IF(E42="","⚠ أدخل الكمية",IF(F42="","⚠ أدخل السعر",IF(A42="","⚠ أدخل التاريخ","✓ سليم"))))))))</f>
        <v/>
      </c>
    </row>
    <row r="43" customFormat="false" ht="15" hidden="false" customHeight="false" outlineLevel="0" collapsed="false">
      <c r="A43" s="13"/>
      <c r="B43" s="14"/>
      <c r="C43" s="14"/>
      <c r="D43" s="15" t="str">
        <f aca="false">IF(C43="","",IFERROR(INDEX('دليل الأصناف'!$A$4:$A$203,MATCH(C43,'دليل الأصناف'!$B$4:$B$203,0)),"غير مسجل"))</f>
        <v/>
      </c>
      <c r="E43" s="16"/>
      <c r="F43" s="17"/>
      <c r="G43" s="18"/>
      <c r="H43" s="19" t="n">
        <f aca="false">IF(OR(E43="",F43=""),0,IF(G43="شامل الضريبة",ROUND(ROUND(E43*F43,2)/(1+الإعدادات!$B$5),2),ROUND(E43*F43,2)))</f>
        <v>0</v>
      </c>
      <c r="I43" s="19" t="n">
        <f aca="false">IF(OR(E43="",F43=""),0,IF(G43="شامل الضريبة",ROUND(E43*F43,2)-H43,ROUND(H43*الإعدادات!$B$5,2)))</f>
        <v>0</v>
      </c>
      <c r="J43" s="20" t="n">
        <f aca="false">H43+I43</f>
        <v>0</v>
      </c>
      <c r="K43" s="14"/>
      <c r="L43" s="21" t="str">
        <f aca="false">IF(AND(B43="",C43="",E43="",F43=""),"",IF(B43="","⚠ اختر العميل",IF(COUNTIF('دليل العملاء'!$B$4:$B$203,B43)=0,"⚠ عميل غير مسجل",IF(C43="","⚠ اختر الصنف",IF(COUNTIF('دليل الأصناف'!$B$4:$B$203,C43)=0,"⚠ صنف غير مسجل",IF(E43="","⚠ أدخل الكمية",IF(F43="","⚠ أدخل السعر",IF(A43="","⚠ أدخل التاريخ","✓ سليم"))))))))</f>
        <v/>
      </c>
    </row>
    <row r="44" customFormat="false" ht="15" hidden="false" customHeight="false" outlineLevel="0" collapsed="false">
      <c r="A44" s="13"/>
      <c r="B44" s="14"/>
      <c r="C44" s="14"/>
      <c r="D44" s="15" t="str">
        <f aca="false">IF(C44="","",IFERROR(INDEX('دليل الأصناف'!$A$4:$A$203,MATCH(C44,'دليل الأصناف'!$B$4:$B$203,0)),"غير مسجل"))</f>
        <v/>
      </c>
      <c r="E44" s="16"/>
      <c r="F44" s="17"/>
      <c r="G44" s="18"/>
      <c r="H44" s="19" t="n">
        <f aca="false">IF(OR(E44="",F44=""),0,IF(G44="شامل الضريبة",ROUND(ROUND(E44*F44,2)/(1+الإعدادات!$B$5),2),ROUND(E44*F44,2)))</f>
        <v>0</v>
      </c>
      <c r="I44" s="19" t="n">
        <f aca="false">IF(OR(E44="",F44=""),0,IF(G44="شامل الضريبة",ROUND(E44*F44,2)-H44,ROUND(H44*الإعدادات!$B$5,2)))</f>
        <v>0</v>
      </c>
      <c r="J44" s="20" t="n">
        <f aca="false">H44+I44</f>
        <v>0</v>
      </c>
      <c r="K44" s="14"/>
      <c r="L44" s="21" t="str">
        <f aca="false">IF(AND(B44="",C44="",E44="",F44=""),"",IF(B44="","⚠ اختر العميل",IF(COUNTIF('دليل العملاء'!$B$4:$B$203,B44)=0,"⚠ عميل غير مسجل",IF(C44="","⚠ اختر الصنف",IF(COUNTIF('دليل الأصناف'!$B$4:$B$203,C44)=0,"⚠ صنف غير مسجل",IF(E44="","⚠ أدخل الكمية",IF(F44="","⚠ أدخل السعر",IF(A44="","⚠ أدخل التاريخ","✓ سليم"))))))))</f>
        <v/>
      </c>
    </row>
    <row r="45" customFormat="false" ht="15" hidden="false" customHeight="false" outlineLevel="0" collapsed="false">
      <c r="A45" s="13"/>
      <c r="B45" s="14"/>
      <c r="C45" s="14"/>
      <c r="D45" s="15" t="str">
        <f aca="false">IF(C45="","",IFERROR(INDEX('دليل الأصناف'!$A$4:$A$203,MATCH(C45,'دليل الأصناف'!$B$4:$B$203,0)),"غير مسجل"))</f>
        <v/>
      </c>
      <c r="E45" s="16"/>
      <c r="F45" s="17"/>
      <c r="G45" s="18"/>
      <c r="H45" s="19" t="n">
        <f aca="false">IF(OR(E45="",F45=""),0,IF(G45="شامل الضريبة",ROUND(ROUND(E45*F45,2)/(1+الإعدادات!$B$5),2),ROUND(E45*F45,2)))</f>
        <v>0</v>
      </c>
      <c r="I45" s="19" t="n">
        <f aca="false">IF(OR(E45="",F45=""),0,IF(G45="شامل الضريبة",ROUND(E45*F45,2)-H45,ROUND(H45*الإعدادات!$B$5,2)))</f>
        <v>0</v>
      </c>
      <c r="J45" s="20" t="n">
        <f aca="false">H45+I45</f>
        <v>0</v>
      </c>
      <c r="K45" s="14"/>
      <c r="L45" s="21" t="str">
        <f aca="false">IF(AND(B45="",C45="",E45="",F45=""),"",IF(B45="","⚠ اختر العميل",IF(COUNTIF('دليل العملاء'!$B$4:$B$203,B45)=0,"⚠ عميل غير مسجل",IF(C45="","⚠ اختر الصنف",IF(COUNTIF('دليل الأصناف'!$B$4:$B$203,C45)=0,"⚠ صنف غير مسجل",IF(E45="","⚠ أدخل الكمية",IF(F45="","⚠ أدخل السعر",IF(A45="","⚠ أدخل التاريخ","✓ سليم"))))))))</f>
        <v/>
      </c>
    </row>
    <row r="46" customFormat="false" ht="15" hidden="false" customHeight="false" outlineLevel="0" collapsed="false">
      <c r="A46" s="13"/>
      <c r="B46" s="14"/>
      <c r="C46" s="14"/>
      <c r="D46" s="15" t="str">
        <f aca="false">IF(C46="","",IFERROR(INDEX('دليل الأصناف'!$A$4:$A$203,MATCH(C46,'دليل الأصناف'!$B$4:$B$203,0)),"غير مسجل"))</f>
        <v/>
      </c>
      <c r="E46" s="16"/>
      <c r="F46" s="17"/>
      <c r="G46" s="18"/>
      <c r="H46" s="19" t="n">
        <f aca="false">IF(OR(E46="",F46=""),0,IF(G46="شامل الضريبة",ROUND(ROUND(E46*F46,2)/(1+الإعدادات!$B$5),2),ROUND(E46*F46,2)))</f>
        <v>0</v>
      </c>
      <c r="I46" s="19" t="n">
        <f aca="false">IF(OR(E46="",F46=""),0,IF(G46="شامل الضريبة",ROUND(E46*F46,2)-H46,ROUND(H46*الإعدادات!$B$5,2)))</f>
        <v>0</v>
      </c>
      <c r="J46" s="20" t="n">
        <f aca="false">H46+I46</f>
        <v>0</v>
      </c>
      <c r="K46" s="14"/>
      <c r="L46" s="21" t="str">
        <f aca="false">IF(AND(B46="",C46="",E46="",F46=""),"",IF(B46="","⚠ اختر العميل",IF(COUNTIF('دليل العملاء'!$B$4:$B$203,B46)=0,"⚠ عميل غير مسجل",IF(C46="","⚠ اختر الصنف",IF(COUNTIF('دليل الأصناف'!$B$4:$B$203,C46)=0,"⚠ صنف غير مسجل",IF(E46="","⚠ أدخل الكمية",IF(F46="","⚠ أدخل السعر",IF(A46="","⚠ أدخل التاريخ","✓ سليم"))))))))</f>
        <v/>
      </c>
    </row>
    <row r="47" customFormat="false" ht="15" hidden="false" customHeight="false" outlineLevel="0" collapsed="false">
      <c r="A47" s="13"/>
      <c r="B47" s="14"/>
      <c r="C47" s="14"/>
      <c r="D47" s="15" t="str">
        <f aca="false">IF(C47="","",IFERROR(INDEX('دليل الأصناف'!$A$4:$A$203,MATCH(C47,'دليل الأصناف'!$B$4:$B$203,0)),"غير مسجل"))</f>
        <v/>
      </c>
      <c r="E47" s="16"/>
      <c r="F47" s="17"/>
      <c r="G47" s="18"/>
      <c r="H47" s="19" t="n">
        <f aca="false">IF(OR(E47="",F47=""),0,IF(G47="شامل الضريبة",ROUND(ROUND(E47*F47,2)/(1+الإعدادات!$B$5),2),ROUND(E47*F47,2)))</f>
        <v>0</v>
      </c>
      <c r="I47" s="19" t="n">
        <f aca="false">IF(OR(E47="",F47=""),0,IF(G47="شامل الضريبة",ROUND(E47*F47,2)-H47,ROUND(H47*الإعدادات!$B$5,2)))</f>
        <v>0</v>
      </c>
      <c r="J47" s="20" t="n">
        <f aca="false">H47+I47</f>
        <v>0</v>
      </c>
      <c r="K47" s="14"/>
      <c r="L47" s="21" t="str">
        <f aca="false">IF(AND(B47="",C47="",E47="",F47=""),"",IF(B47="","⚠ اختر العميل",IF(COUNTIF('دليل العملاء'!$B$4:$B$203,B47)=0,"⚠ عميل غير مسجل",IF(C47="","⚠ اختر الصنف",IF(COUNTIF('دليل الأصناف'!$B$4:$B$203,C47)=0,"⚠ صنف غير مسجل",IF(E47="","⚠ أدخل الكمية",IF(F47="","⚠ أدخل السعر",IF(A47="","⚠ أدخل التاريخ","✓ سليم"))))))))</f>
        <v/>
      </c>
    </row>
    <row r="48" customFormat="false" ht="15" hidden="false" customHeight="false" outlineLevel="0" collapsed="false">
      <c r="A48" s="13"/>
      <c r="B48" s="14"/>
      <c r="C48" s="14"/>
      <c r="D48" s="15" t="str">
        <f aca="false">IF(C48="","",IFERROR(INDEX('دليل الأصناف'!$A$4:$A$203,MATCH(C48,'دليل الأصناف'!$B$4:$B$203,0)),"غير مسجل"))</f>
        <v/>
      </c>
      <c r="E48" s="16"/>
      <c r="F48" s="17"/>
      <c r="G48" s="18"/>
      <c r="H48" s="19" t="n">
        <f aca="false">IF(OR(E48="",F48=""),0,IF(G48="شامل الضريبة",ROUND(ROUND(E48*F48,2)/(1+الإعدادات!$B$5),2),ROUND(E48*F48,2)))</f>
        <v>0</v>
      </c>
      <c r="I48" s="19" t="n">
        <f aca="false">IF(OR(E48="",F48=""),0,IF(G48="شامل الضريبة",ROUND(E48*F48,2)-H48,ROUND(H48*الإعدادات!$B$5,2)))</f>
        <v>0</v>
      </c>
      <c r="J48" s="20" t="n">
        <f aca="false">H48+I48</f>
        <v>0</v>
      </c>
      <c r="K48" s="14"/>
      <c r="L48" s="21" t="str">
        <f aca="false">IF(AND(B48="",C48="",E48="",F48=""),"",IF(B48="","⚠ اختر العميل",IF(COUNTIF('دليل العملاء'!$B$4:$B$203,B48)=0,"⚠ عميل غير مسجل",IF(C48="","⚠ اختر الصنف",IF(COUNTIF('دليل الأصناف'!$B$4:$B$203,C48)=0,"⚠ صنف غير مسجل",IF(E48="","⚠ أدخل الكمية",IF(F48="","⚠ أدخل السعر",IF(A48="","⚠ أدخل التاريخ","✓ سليم"))))))))</f>
        <v/>
      </c>
    </row>
    <row r="49" customFormat="false" ht="15" hidden="false" customHeight="false" outlineLevel="0" collapsed="false">
      <c r="A49" s="13"/>
      <c r="B49" s="14"/>
      <c r="C49" s="14"/>
      <c r="D49" s="15" t="str">
        <f aca="false">IF(C49="","",IFERROR(INDEX('دليل الأصناف'!$A$4:$A$203,MATCH(C49,'دليل الأصناف'!$B$4:$B$203,0)),"غير مسجل"))</f>
        <v/>
      </c>
      <c r="E49" s="16"/>
      <c r="F49" s="17"/>
      <c r="G49" s="18"/>
      <c r="H49" s="19" t="n">
        <f aca="false">IF(OR(E49="",F49=""),0,IF(G49="شامل الضريبة",ROUND(ROUND(E49*F49,2)/(1+الإعدادات!$B$5),2),ROUND(E49*F49,2)))</f>
        <v>0</v>
      </c>
      <c r="I49" s="19" t="n">
        <f aca="false">IF(OR(E49="",F49=""),0,IF(G49="شامل الضريبة",ROUND(E49*F49,2)-H49,ROUND(H49*الإعدادات!$B$5,2)))</f>
        <v>0</v>
      </c>
      <c r="J49" s="20" t="n">
        <f aca="false">H49+I49</f>
        <v>0</v>
      </c>
      <c r="K49" s="14"/>
      <c r="L49" s="21" t="str">
        <f aca="false">IF(AND(B49="",C49="",E49="",F49=""),"",IF(B49="","⚠ اختر العميل",IF(COUNTIF('دليل العملاء'!$B$4:$B$203,B49)=0,"⚠ عميل غير مسجل",IF(C49="","⚠ اختر الصنف",IF(COUNTIF('دليل الأصناف'!$B$4:$B$203,C49)=0,"⚠ صنف غير مسجل",IF(E49="","⚠ أدخل الكمية",IF(F49="","⚠ أدخل السعر",IF(A49="","⚠ أدخل التاريخ","✓ سليم"))))))))</f>
        <v/>
      </c>
    </row>
    <row r="50" customFormat="false" ht="15" hidden="false" customHeight="false" outlineLevel="0" collapsed="false">
      <c r="A50" s="13"/>
      <c r="B50" s="14"/>
      <c r="C50" s="14"/>
      <c r="D50" s="15" t="str">
        <f aca="false">IF(C50="","",IFERROR(INDEX('دليل الأصناف'!$A$4:$A$203,MATCH(C50,'دليل الأصناف'!$B$4:$B$203,0)),"غير مسجل"))</f>
        <v/>
      </c>
      <c r="E50" s="16"/>
      <c r="F50" s="17"/>
      <c r="G50" s="18"/>
      <c r="H50" s="19" t="n">
        <f aca="false">IF(OR(E50="",F50=""),0,IF(G50="شامل الضريبة",ROUND(ROUND(E50*F50,2)/(1+الإعدادات!$B$5),2),ROUND(E50*F50,2)))</f>
        <v>0</v>
      </c>
      <c r="I50" s="19" t="n">
        <f aca="false">IF(OR(E50="",F50=""),0,IF(G50="شامل الضريبة",ROUND(E50*F50,2)-H50,ROUND(H50*الإعدادات!$B$5,2)))</f>
        <v>0</v>
      </c>
      <c r="J50" s="20" t="n">
        <f aca="false">H50+I50</f>
        <v>0</v>
      </c>
      <c r="K50" s="14"/>
      <c r="L50" s="21" t="str">
        <f aca="false">IF(AND(B50="",C50="",E50="",F50=""),"",IF(B50="","⚠ اختر العميل",IF(COUNTIF('دليل العملاء'!$B$4:$B$203,B50)=0,"⚠ عميل غير مسجل",IF(C50="","⚠ اختر الصنف",IF(COUNTIF('دليل الأصناف'!$B$4:$B$203,C50)=0,"⚠ صنف غير مسجل",IF(E50="","⚠ أدخل الكمية",IF(F50="","⚠ أدخل السعر",IF(A50="","⚠ أدخل التاريخ","✓ سليم"))))))))</f>
        <v/>
      </c>
    </row>
    <row r="51" customFormat="false" ht="15" hidden="false" customHeight="false" outlineLevel="0" collapsed="false">
      <c r="A51" s="13"/>
      <c r="B51" s="14"/>
      <c r="C51" s="14"/>
      <c r="D51" s="15" t="str">
        <f aca="false">IF(C51="","",IFERROR(INDEX('دليل الأصناف'!$A$4:$A$203,MATCH(C51,'دليل الأصناف'!$B$4:$B$203,0)),"غير مسجل"))</f>
        <v/>
      </c>
      <c r="E51" s="16"/>
      <c r="F51" s="17"/>
      <c r="G51" s="18"/>
      <c r="H51" s="19" t="n">
        <f aca="false">IF(OR(E51="",F51=""),0,IF(G51="شامل الضريبة",ROUND(ROUND(E51*F51,2)/(1+الإعدادات!$B$5),2),ROUND(E51*F51,2)))</f>
        <v>0</v>
      </c>
      <c r="I51" s="19" t="n">
        <f aca="false">IF(OR(E51="",F51=""),0,IF(G51="شامل الضريبة",ROUND(E51*F51,2)-H51,ROUND(H51*الإعدادات!$B$5,2)))</f>
        <v>0</v>
      </c>
      <c r="J51" s="20" t="n">
        <f aca="false">H51+I51</f>
        <v>0</v>
      </c>
      <c r="K51" s="14"/>
      <c r="L51" s="21" t="str">
        <f aca="false">IF(AND(B51="",C51="",E51="",F51=""),"",IF(B51="","⚠ اختر العميل",IF(COUNTIF('دليل العملاء'!$B$4:$B$203,B51)=0,"⚠ عميل غير مسجل",IF(C51="","⚠ اختر الصنف",IF(COUNTIF('دليل الأصناف'!$B$4:$B$203,C51)=0,"⚠ صنف غير مسجل",IF(E51="","⚠ أدخل الكمية",IF(F51="","⚠ أدخل السعر",IF(A51="","⚠ أدخل التاريخ","✓ سليم"))))))))</f>
        <v/>
      </c>
    </row>
    <row r="52" customFormat="false" ht="15" hidden="false" customHeight="false" outlineLevel="0" collapsed="false">
      <c r="A52" s="13"/>
      <c r="B52" s="14"/>
      <c r="C52" s="14"/>
      <c r="D52" s="15" t="str">
        <f aca="false">IF(C52="","",IFERROR(INDEX('دليل الأصناف'!$A$4:$A$203,MATCH(C52,'دليل الأصناف'!$B$4:$B$203,0)),"غير مسجل"))</f>
        <v/>
      </c>
      <c r="E52" s="16"/>
      <c r="F52" s="17"/>
      <c r="G52" s="18"/>
      <c r="H52" s="19" t="n">
        <f aca="false">IF(OR(E52="",F52=""),0,IF(G52="شامل الضريبة",ROUND(ROUND(E52*F52,2)/(1+الإعدادات!$B$5),2),ROUND(E52*F52,2)))</f>
        <v>0</v>
      </c>
      <c r="I52" s="19" t="n">
        <f aca="false">IF(OR(E52="",F52=""),0,IF(G52="شامل الضريبة",ROUND(E52*F52,2)-H52,ROUND(H52*الإعدادات!$B$5,2)))</f>
        <v>0</v>
      </c>
      <c r="J52" s="20" t="n">
        <f aca="false">H52+I52</f>
        <v>0</v>
      </c>
      <c r="K52" s="14"/>
      <c r="L52" s="21" t="str">
        <f aca="false">IF(AND(B52="",C52="",E52="",F52=""),"",IF(B52="","⚠ اختر العميل",IF(COUNTIF('دليل العملاء'!$B$4:$B$203,B52)=0,"⚠ عميل غير مسجل",IF(C52="","⚠ اختر الصنف",IF(COUNTIF('دليل الأصناف'!$B$4:$B$203,C52)=0,"⚠ صنف غير مسجل",IF(E52="","⚠ أدخل الكمية",IF(F52="","⚠ أدخل السعر",IF(A52="","⚠ أدخل التاريخ","✓ سليم"))))))))</f>
        <v/>
      </c>
    </row>
    <row r="53" customFormat="false" ht="15" hidden="false" customHeight="false" outlineLevel="0" collapsed="false">
      <c r="A53" s="13"/>
      <c r="B53" s="14"/>
      <c r="C53" s="14"/>
      <c r="D53" s="15" t="str">
        <f aca="false">IF(C53="","",IFERROR(INDEX('دليل الأصناف'!$A$4:$A$203,MATCH(C53,'دليل الأصناف'!$B$4:$B$203,0)),"غير مسجل"))</f>
        <v/>
      </c>
      <c r="E53" s="16"/>
      <c r="F53" s="17"/>
      <c r="G53" s="18"/>
      <c r="H53" s="19" t="n">
        <f aca="false">IF(OR(E53="",F53=""),0,IF(G53="شامل الضريبة",ROUND(ROUND(E53*F53,2)/(1+الإعدادات!$B$5),2),ROUND(E53*F53,2)))</f>
        <v>0</v>
      </c>
      <c r="I53" s="19" t="n">
        <f aca="false">IF(OR(E53="",F53=""),0,IF(G53="شامل الضريبة",ROUND(E53*F53,2)-H53,ROUND(H53*الإعدادات!$B$5,2)))</f>
        <v>0</v>
      </c>
      <c r="J53" s="20" t="n">
        <f aca="false">H53+I53</f>
        <v>0</v>
      </c>
      <c r="K53" s="14"/>
      <c r="L53" s="21" t="str">
        <f aca="false">IF(AND(B53="",C53="",E53="",F53=""),"",IF(B53="","⚠ اختر العميل",IF(COUNTIF('دليل العملاء'!$B$4:$B$203,B53)=0,"⚠ عميل غير مسجل",IF(C53="","⚠ اختر الصنف",IF(COUNTIF('دليل الأصناف'!$B$4:$B$203,C53)=0,"⚠ صنف غير مسجل",IF(E53="","⚠ أدخل الكمية",IF(F53="","⚠ أدخل السعر",IF(A53="","⚠ أدخل التاريخ","✓ سليم"))))))))</f>
        <v/>
      </c>
    </row>
    <row r="54" customFormat="false" ht="15" hidden="false" customHeight="false" outlineLevel="0" collapsed="false">
      <c r="A54" s="13"/>
      <c r="B54" s="14"/>
      <c r="C54" s="14"/>
      <c r="D54" s="15" t="str">
        <f aca="false">IF(C54="","",IFERROR(INDEX('دليل الأصناف'!$A$4:$A$203,MATCH(C54,'دليل الأصناف'!$B$4:$B$203,0)),"غير مسجل"))</f>
        <v/>
      </c>
      <c r="E54" s="16"/>
      <c r="F54" s="17"/>
      <c r="G54" s="18"/>
      <c r="H54" s="19" t="n">
        <f aca="false">IF(OR(E54="",F54=""),0,IF(G54="شامل الضريبة",ROUND(ROUND(E54*F54,2)/(1+الإعدادات!$B$5),2),ROUND(E54*F54,2)))</f>
        <v>0</v>
      </c>
      <c r="I54" s="19" t="n">
        <f aca="false">IF(OR(E54="",F54=""),0,IF(G54="شامل الضريبة",ROUND(E54*F54,2)-H54,ROUND(H54*الإعدادات!$B$5,2)))</f>
        <v>0</v>
      </c>
      <c r="J54" s="20" t="n">
        <f aca="false">H54+I54</f>
        <v>0</v>
      </c>
      <c r="K54" s="14"/>
      <c r="L54" s="21" t="str">
        <f aca="false">IF(AND(B54="",C54="",E54="",F54=""),"",IF(B54="","⚠ اختر العميل",IF(COUNTIF('دليل العملاء'!$B$4:$B$203,B54)=0,"⚠ عميل غير مسجل",IF(C54="","⚠ اختر الصنف",IF(COUNTIF('دليل الأصناف'!$B$4:$B$203,C54)=0,"⚠ صنف غير مسجل",IF(E54="","⚠ أدخل الكمية",IF(F54="","⚠ أدخل السعر",IF(A54="","⚠ أدخل التاريخ","✓ سليم"))))))))</f>
        <v/>
      </c>
    </row>
    <row r="55" customFormat="false" ht="15" hidden="false" customHeight="false" outlineLevel="0" collapsed="false">
      <c r="A55" s="13"/>
      <c r="B55" s="14"/>
      <c r="C55" s="14"/>
      <c r="D55" s="15" t="str">
        <f aca="false">IF(C55="","",IFERROR(INDEX('دليل الأصناف'!$A$4:$A$203,MATCH(C55,'دليل الأصناف'!$B$4:$B$203,0)),"غير مسجل"))</f>
        <v/>
      </c>
      <c r="E55" s="16"/>
      <c r="F55" s="17"/>
      <c r="G55" s="18"/>
      <c r="H55" s="19" t="n">
        <f aca="false">IF(OR(E55="",F55=""),0,IF(G55="شامل الضريبة",ROUND(ROUND(E55*F55,2)/(1+الإعدادات!$B$5),2),ROUND(E55*F55,2)))</f>
        <v>0</v>
      </c>
      <c r="I55" s="19" t="n">
        <f aca="false">IF(OR(E55="",F55=""),0,IF(G55="شامل الضريبة",ROUND(E55*F55,2)-H55,ROUND(H55*الإعدادات!$B$5,2)))</f>
        <v>0</v>
      </c>
      <c r="J55" s="20" t="n">
        <f aca="false">H55+I55</f>
        <v>0</v>
      </c>
      <c r="K55" s="14"/>
      <c r="L55" s="21" t="str">
        <f aca="false">IF(AND(B55="",C55="",E55="",F55=""),"",IF(B55="","⚠ اختر العميل",IF(COUNTIF('دليل العملاء'!$B$4:$B$203,B55)=0,"⚠ عميل غير مسجل",IF(C55="","⚠ اختر الصنف",IF(COUNTIF('دليل الأصناف'!$B$4:$B$203,C55)=0,"⚠ صنف غير مسجل",IF(E55="","⚠ أدخل الكمية",IF(F55="","⚠ أدخل السعر",IF(A55="","⚠ أدخل التاريخ","✓ سليم"))))))))</f>
        <v/>
      </c>
    </row>
    <row r="56" customFormat="false" ht="15" hidden="false" customHeight="false" outlineLevel="0" collapsed="false">
      <c r="A56" s="13"/>
      <c r="B56" s="14"/>
      <c r="C56" s="14"/>
      <c r="D56" s="15" t="str">
        <f aca="false">IF(C56="","",IFERROR(INDEX('دليل الأصناف'!$A$4:$A$203,MATCH(C56,'دليل الأصناف'!$B$4:$B$203,0)),"غير مسجل"))</f>
        <v/>
      </c>
      <c r="E56" s="16"/>
      <c r="F56" s="17"/>
      <c r="G56" s="18"/>
      <c r="H56" s="19" t="n">
        <f aca="false">IF(OR(E56="",F56=""),0,IF(G56="شامل الضريبة",ROUND(ROUND(E56*F56,2)/(1+الإعدادات!$B$5),2),ROUND(E56*F56,2)))</f>
        <v>0</v>
      </c>
      <c r="I56" s="19" t="n">
        <f aca="false">IF(OR(E56="",F56=""),0,IF(G56="شامل الضريبة",ROUND(E56*F56,2)-H56,ROUND(H56*الإعدادات!$B$5,2)))</f>
        <v>0</v>
      </c>
      <c r="J56" s="20" t="n">
        <f aca="false">H56+I56</f>
        <v>0</v>
      </c>
      <c r="K56" s="14"/>
      <c r="L56" s="21" t="str">
        <f aca="false">IF(AND(B56="",C56="",E56="",F56=""),"",IF(B56="","⚠ اختر العميل",IF(COUNTIF('دليل العملاء'!$B$4:$B$203,B56)=0,"⚠ عميل غير مسجل",IF(C56="","⚠ اختر الصنف",IF(COUNTIF('دليل الأصناف'!$B$4:$B$203,C56)=0,"⚠ صنف غير مسجل",IF(E56="","⚠ أدخل الكمية",IF(F56="","⚠ أدخل السعر",IF(A56="","⚠ أدخل التاريخ","✓ سليم"))))))))</f>
        <v/>
      </c>
    </row>
    <row r="57" customFormat="false" ht="15" hidden="false" customHeight="false" outlineLevel="0" collapsed="false">
      <c r="A57" s="13"/>
      <c r="B57" s="14"/>
      <c r="C57" s="14"/>
      <c r="D57" s="15" t="str">
        <f aca="false">IF(C57="","",IFERROR(INDEX('دليل الأصناف'!$A$4:$A$203,MATCH(C57,'دليل الأصناف'!$B$4:$B$203,0)),"غير مسجل"))</f>
        <v/>
      </c>
      <c r="E57" s="16"/>
      <c r="F57" s="17"/>
      <c r="G57" s="18"/>
      <c r="H57" s="19" t="n">
        <f aca="false">IF(OR(E57="",F57=""),0,IF(G57="شامل الضريبة",ROUND(ROUND(E57*F57,2)/(1+الإعدادات!$B$5),2),ROUND(E57*F57,2)))</f>
        <v>0</v>
      </c>
      <c r="I57" s="19" t="n">
        <f aca="false">IF(OR(E57="",F57=""),0,IF(G57="شامل الضريبة",ROUND(E57*F57,2)-H57,ROUND(H57*الإعدادات!$B$5,2)))</f>
        <v>0</v>
      </c>
      <c r="J57" s="20" t="n">
        <f aca="false">H57+I57</f>
        <v>0</v>
      </c>
      <c r="K57" s="14"/>
      <c r="L57" s="21" t="str">
        <f aca="false">IF(AND(B57="",C57="",E57="",F57=""),"",IF(B57="","⚠ اختر العميل",IF(COUNTIF('دليل العملاء'!$B$4:$B$203,B57)=0,"⚠ عميل غير مسجل",IF(C57="","⚠ اختر الصنف",IF(COUNTIF('دليل الأصناف'!$B$4:$B$203,C57)=0,"⚠ صنف غير مسجل",IF(E57="","⚠ أدخل الكمية",IF(F57="","⚠ أدخل السعر",IF(A57="","⚠ أدخل التاريخ","✓ سليم"))))))))</f>
        <v/>
      </c>
    </row>
    <row r="58" customFormat="false" ht="15" hidden="false" customHeight="false" outlineLevel="0" collapsed="false">
      <c r="A58" s="13"/>
      <c r="B58" s="14"/>
      <c r="C58" s="14"/>
      <c r="D58" s="15" t="str">
        <f aca="false">IF(C58="","",IFERROR(INDEX('دليل الأصناف'!$A$4:$A$203,MATCH(C58,'دليل الأصناف'!$B$4:$B$203,0)),"غير مسجل"))</f>
        <v/>
      </c>
      <c r="E58" s="16"/>
      <c r="F58" s="17"/>
      <c r="G58" s="18"/>
      <c r="H58" s="19" t="n">
        <f aca="false">IF(OR(E58="",F58=""),0,IF(G58="شامل الضريبة",ROUND(ROUND(E58*F58,2)/(1+الإعدادات!$B$5),2),ROUND(E58*F58,2)))</f>
        <v>0</v>
      </c>
      <c r="I58" s="19" t="n">
        <f aca="false">IF(OR(E58="",F58=""),0,IF(G58="شامل الضريبة",ROUND(E58*F58,2)-H58,ROUND(H58*الإعدادات!$B$5,2)))</f>
        <v>0</v>
      </c>
      <c r="J58" s="20" t="n">
        <f aca="false">H58+I58</f>
        <v>0</v>
      </c>
      <c r="K58" s="14"/>
      <c r="L58" s="21" t="str">
        <f aca="false">IF(AND(B58="",C58="",E58="",F58=""),"",IF(B58="","⚠ اختر العميل",IF(COUNTIF('دليل العملاء'!$B$4:$B$203,B58)=0,"⚠ عميل غير مسجل",IF(C58="","⚠ اختر الصنف",IF(COUNTIF('دليل الأصناف'!$B$4:$B$203,C58)=0,"⚠ صنف غير مسجل",IF(E58="","⚠ أدخل الكمية",IF(F58="","⚠ أدخل السعر",IF(A58="","⚠ أدخل التاريخ","✓ سليم"))))))))</f>
        <v/>
      </c>
    </row>
    <row r="59" customFormat="false" ht="15" hidden="false" customHeight="false" outlineLevel="0" collapsed="false">
      <c r="A59" s="13"/>
      <c r="B59" s="14"/>
      <c r="C59" s="14"/>
      <c r="D59" s="15" t="str">
        <f aca="false">IF(C59="","",IFERROR(INDEX('دليل الأصناف'!$A$4:$A$203,MATCH(C59,'دليل الأصناف'!$B$4:$B$203,0)),"غير مسجل"))</f>
        <v/>
      </c>
      <c r="E59" s="16"/>
      <c r="F59" s="17"/>
      <c r="G59" s="18"/>
      <c r="H59" s="19" t="n">
        <f aca="false">IF(OR(E59="",F59=""),0,IF(G59="شامل الضريبة",ROUND(ROUND(E59*F59,2)/(1+الإعدادات!$B$5),2),ROUND(E59*F59,2)))</f>
        <v>0</v>
      </c>
      <c r="I59" s="19" t="n">
        <f aca="false">IF(OR(E59="",F59=""),0,IF(G59="شامل الضريبة",ROUND(E59*F59,2)-H59,ROUND(H59*الإعدادات!$B$5,2)))</f>
        <v>0</v>
      </c>
      <c r="J59" s="20" t="n">
        <f aca="false">H59+I59</f>
        <v>0</v>
      </c>
      <c r="K59" s="14"/>
      <c r="L59" s="21" t="str">
        <f aca="false">IF(AND(B59="",C59="",E59="",F59=""),"",IF(B59="","⚠ اختر العميل",IF(COUNTIF('دليل العملاء'!$B$4:$B$203,B59)=0,"⚠ عميل غير مسجل",IF(C59="","⚠ اختر الصنف",IF(COUNTIF('دليل الأصناف'!$B$4:$B$203,C59)=0,"⚠ صنف غير مسجل",IF(E59="","⚠ أدخل الكمية",IF(F59="","⚠ أدخل السعر",IF(A59="","⚠ أدخل التاريخ","✓ سليم"))))))))</f>
        <v/>
      </c>
    </row>
    <row r="60" customFormat="false" ht="15" hidden="false" customHeight="false" outlineLevel="0" collapsed="false">
      <c r="A60" s="13"/>
      <c r="B60" s="14"/>
      <c r="C60" s="14"/>
      <c r="D60" s="15" t="str">
        <f aca="false">IF(C60="","",IFERROR(INDEX('دليل الأصناف'!$A$4:$A$203,MATCH(C60,'دليل الأصناف'!$B$4:$B$203,0)),"غير مسجل"))</f>
        <v/>
      </c>
      <c r="E60" s="16"/>
      <c r="F60" s="17"/>
      <c r="G60" s="18"/>
      <c r="H60" s="19" t="n">
        <f aca="false">IF(OR(E60="",F60=""),0,IF(G60="شامل الضريبة",ROUND(ROUND(E60*F60,2)/(1+الإعدادات!$B$5),2),ROUND(E60*F60,2)))</f>
        <v>0</v>
      </c>
      <c r="I60" s="19" t="n">
        <f aca="false">IF(OR(E60="",F60=""),0,IF(G60="شامل الضريبة",ROUND(E60*F60,2)-H60,ROUND(H60*الإعدادات!$B$5,2)))</f>
        <v>0</v>
      </c>
      <c r="J60" s="20" t="n">
        <f aca="false">H60+I60</f>
        <v>0</v>
      </c>
      <c r="K60" s="14"/>
      <c r="L60" s="21" t="str">
        <f aca="false">IF(AND(B60="",C60="",E60="",F60=""),"",IF(B60="","⚠ اختر العميل",IF(COUNTIF('دليل العملاء'!$B$4:$B$203,B60)=0,"⚠ عميل غير مسجل",IF(C60="","⚠ اختر الصنف",IF(COUNTIF('دليل الأصناف'!$B$4:$B$203,C60)=0,"⚠ صنف غير مسجل",IF(E60="","⚠ أدخل الكمية",IF(F60="","⚠ أدخل السعر",IF(A60="","⚠ أدخل التاريخ","✓ سليم"))))))))</f>
        <v/>
      </c>
    </row>
    <row r="61" customFormat="false" ht="15" hidden="false" customHeight="false" outlineLevel="0" collapsed="false">
      <c r="A61" s="13"/>
      <c r="B61" s="14"/>
      <c r="C61" s="14"/>
      <c r="D61" s="15" t="str">
        <f aca="false">IF(C61="","",IFERROR(INDEX('دليل الأصناف'!$A$4:$A$203,MATCH(C61,'دليل الأصناف'!$B$4:$B$203,0)),"غير مسجل"))</f>
        <v/>
      </c>
      <c r="E61" s="16"/>
      <c r="F61" s="17"/>
      <c r="G61" s="18"/>
      <c r="H61" s="19" t="n">
        <f aca="false">IF(OR(E61="",F61=""),0,IF(G61="شامل الضريبة",ROUND(ROUND(E61*F61,2)/(1+الإعدادات!$B$5),2),ROUND(E61*F61,2)))</f>
        <v>0</v>
      </c>
      <c r="I61" s="19" t="n">
        <f aca="false">IF(OR(E61="",F61=""),0,IF(G61="شامل الضريبة",ROUND(E61*F61,2)-H61,ROUND(H61*الإعدادات!$B$5,2)))</f>
        <v>0</v>
      </c>
      <c r="J61" s="20" t="n">
        <f aca="false">H61+I61</f>
        <v>0</v>
      </c>
      <c r="K61" s="14"/>
      <c r="L61" s="21" t="str">
        <f aca="false">IF(AND(B61="",C61="",E61="",F61=""),"",IF(B61="","⚠ اختر العميل",IF(COUNTIF('دليل العملاء'!$B$4:$B$203,B61)=0,"⚠ عميل غير مسجل",IF(C61="","⚠ اختر الصنف",IF(COUNTIF('دليل الأصناف'!$B$4:$B$203,C61)=0,"⚠ صنف غير مسجل",IF(E61="","⚠ أدخل الكمية",IF(F61="","⚠ أدخل السعر",IF(A61="","⚠ أدخل التاريخ","✓ سليم"))))))))</f>
        <v/>
      </c>
    </row>
    <row r="62" customFormat="false" ht="15" hidden="false" customHeight="false" outlineLevel="0" collapsed="false">
      <c r="A62" s="13"/>
      <c r="B62" s="14"/>
      <c r="C62" s="14"/>
      <c r="D62" s="15" t="str">
        <f aca="false">IF(C62="","",IFERROR(INDEX('دليل الأصناف'!$A$4:$A$203,MATCH(C62,'دليل الأصناف'!$B$4:$B$203,0)),"غير مسجل"))</f>
        <v/>
      </c>
      <c r="E62" s="16"/>
      <c r="F62" s="17"/>
      <c r="G62" s="18"/>
      <c r="H62" s="19" t="n">
        <f aca="false">IF(OR(E62="",F62=""),0,IF(G62="شامل الضريبة",ROUND(ROUND(E62*F62,2)/(1+الإعدادات!$B$5),2),ROUND(E62*F62,2)))</f>
        <v>0</v>
      </c>
      <c r="I62" s="19" t="n">
        <f aca="false">IF(OR(E62="",F62=""),0,IF(G62="شامل الضريبة",ROUND(E62*F62,2)-H62,ROUND(H62*الإعدادات!$B$5,2)))</f>
        <v>0</v>
      </c>
      <c r="J62" s="20" t="n">
        <f aca="false">H62+I62</f>
        <v>0</v>
      </c>
      <c r="K62" s="14"/>
      <c r="L62" s="21" t="str">
        <f aca="false">IF(AND(B62="",C62="",E62="",F62=""),"",IF(B62="","⚠ اختر العميل",IF(COUNTIF('دليل العملاء'!$B$4:$B$203,B62)=0,"⚠ عميل غير مسجل",IF(C62="","⚠ اختر الصنف",IF(COUNTIF('دليل الأصناف'!$B$4:$B$203,C62)=0,"⚠ صنف غير مسجل",IF(E62="","⚠ أدخل الكمية",IF(F62="","⚠ أدخل السعر",IF(A62="","⚠ أدخل التاريخ","✓ سليم"))))))))</f>
        <v/>
      </c>
    </row>
    <row r="63" customFormat="false" ht="15" hidden="false" customHeight="false" outlineLevel="0" collapsed="false">
      <c r="A63" s="13"/>
      <c r="B63" s="14"/>
      <c r="C63" s="14"/>
      <c r="D63" s="15" t="str">
        <f aca="false">IF(C63="","",IFERROR(INDEX('دليل الأصناف'!$A$4:$A$203,MATCH(C63,'دليل الأصناف'!$B$4:$B$203,0)),"غير مسجل"))</f>
        <v/>
      </c>
      <c r="E63" s="16"/>
      <c r="F63" s="17"/>
      <c r="G63" s="18"/>
      <c r="H63" s="19" t="n">
        <f aca="false">IF(OR(E63="",F63=""),0,IF(G63="شامل الضريبة",ROUND(ROUND(E63*F63,2)/(1+الإعدادات!$B$5),2),ROUND(E63*F63,2)))</f>
        <v>0</v>
      </c>
      <c r="I63" s="19" t="n">
        <f aca="false">IF(OR(E63="",F63=""),0,IF(G63="شامل الضريبة",ROUND(E63*F63,2)-H63,ROUND(H63*الإعدادات!$B$5,2)))</f>
        <v>0</v>
      </c>
      <c r="J63" s="20" t="n">
        <f aca="false">H63+I63</f>
        <v>0</v>
      </c>
      <c r="K63" s="14"/>
      <c r="L63" s="21" t="str">
        <f aca="false">IF(AND(B63="",C63="",E63="",F63=""),"",IF(B63="","⚠ اختر العميل",IF(COUNTIF('دليل العملاء'!$B$4:$B$203,B63)=0,"⚠ عميل غير مسجل",IF(C63="","⚠ اختر الصنف",IF(COUNTIF('دليل الأصناف'!$B$4:$B$203,C63)=0,"⚠ صنف غير مسجل",IF(E63="","⚠ أدخل الكمية",IF(F63="","⚠ أدخل السعر",IF(A63="","⚠ أدخل التاريخ","✓ سليم"))))))))</f>
        <v/>
      </c>
    </row>
    <row r="64" customFormat="false" ht="15" hidden="false" customHeight="false" outlineLevel="0" collapsed="false">
      <c r="A64" s="13"/>
      <c r="B64" s="14"/>
      <c r="C64" s="14"/>
      <c r="D64" s="15" t="str">
        <f aca="false">IF(C64="","",IFERROR(INDEX('دليل الأصناف'!$A$4:$A$203,MATCH(C64,'دليل الأصناف'!$B$4:$B$203,0)),"غير مسجل"))</f>
        <v/>
      </c>
      <c r="E64" s="16"/>
      <c r="F64" s="17"/>
      <c r="G64" s="18"/>
      <c r="H64" s="19" t="n">
        <f aca="false">IF(OR(E64="",F64=""),0,IF(G64="شامل الضريبة",ROUND(ROUND(E64*F64,2)/(1+الإعدادات!$B$5),2),ROUND(E64*F64,2)))</f>
        <v>0</v>
      </c>
      <c r="I64" s="19" t="n">
        <f aca="false">IF(OR(E64="",F64=""),0,IF(G64="شامل الضريبة",ROUND(E64*F64,2)-H64,ROUND(H64*الإعدادات!$B$5,2)))</f>
        <v>0</v>
      </c>
      <c r="J64" s="20" t="n">
        <f aca="false">H64+I64</f>
        <v>0</v>
      </c>
      <c r="K64" s="14"/>
      <c r="L64" s="21" t="str">
        <f aca="false">IF(AND(B64="",C64="",E64="",F64=""),"",IF(B64="","⚠ اختر العميل",IF(COUNTIF('دليل العملاء'!$B$4:$B$203,B64)=0,"⚠ عميل غير مسجل",IF(C64="","⚠ اختر الصنف",IF(COUNTIF('دليل الأصناف'!$B$4:$B$203,C64)=0,"⚠ صنف غير مسجل",IF(E64="","⚠ أدخل الكمية",IF(F64="","⚠ أدخل السعر",IF(A64="","⚠ أدخل التاريخ","✓ سليم"))))))))</f>
        <v/>
      </c>
    </row>
    <row r="65" customFormat="false" ht="15" hidden="false" customHeight="false" outlineLevel="0" collapsed="false">
      <c r="A65" s="13"/>
      <c r="B65" s="14"/>
      <c r="C65" s="14"/>
      <c r="D65" s="15" t="str">
        <f aca="false">IF(C65="","",IFERROR(INDEX('دليل الأصناف'!$A$4:$A$203,MATCH(C65,'دليل الأصناف'!$B$4:$B$203,0)),"غير مسجل"))</f>
        <v/>
      </c>
      <c r="E65" s="16"/>
      <c r="F65" s="17"/>
      <c r="G65" s="18"/>
      <c r="H65" s="19" t="n">
        <f aca="false">IF(OR(E65="",F65=""),0,IF(G65="شامل الضريبة",ROUND(ROUND(E65*F65,2)/(1+الإعدادات!$B$5),2),ROUND(E65*F65,2)))</f>
        <v>0</v>
      </c>
      <c r="I65" s="19" t="n">
        <f aca="false">IF(OR(E65="",F65=""),0,IF(G65="شامل الضريبة",ROUND(E65*F65,2)-H65,ROUND(H65*الإعدادات!$B$5,2)))</f>
        <v>0</v>
      </c>
      <c r="J65" s="20" t="n">
        <f aca="false">H65+I65</f>
        <v>0</v>
      </c>
      <c r="K65" s="14"/>
      <c r="L65" s="21" t="str">
        <f aca="false">IF(AND(B65="",C65="",E65="",F65=""),"",IF(B65="","⚠ اختر العميل",IF(COUNTIF('دليل العملاء'!$B$4:$B$203,B65)=0,"⚠ عميل غير مسجل",IF(C65="","⚠ اختر الصنف",IF(COUNTIF('دليل الأصناف'!$B$4:$B$203,C65)=0,"⚠ صنف غير مسجل",IF(E65="","⚠ أدخل الكمية",IF(F65="","⚠ أدخل السعر",IF(A65="","⚠ أدخل التاريخ","✓ سليم"))))))))</f>
        <v/>
      </c>
    </row>
    <row r="66" customFormat="false" ht="15" hidden="false" customHeight="false" outlineLevel="0" collapsed="false">
      <c r="A66" s="13"/>
      <c r="B66" s="14"/>
      <c r="C66" s="14"/>
      <c r="D66" s="15" t="str">
        <f aca="false">IF(C66="","",IFERROR(INDEX('دليل الأصناف'!$A$4:$A$203,MATCH(C66,'دليل الأصناف'!$B$4:$B$203,0)),"غير مسجل"))</f>
        <v/>
      </c>
      <c r="E66" s="16"/>
      <c r="F66" s="17"/>
      <c r="G66" s="18"/>
      <c r="H66" s="19" t="n">
        <f aca="false">IF(OR(E66="",F66=""),0,IF(G66="شامل الضريبة",ROUND(ROUND(E66*F66,2)/(1+الإعدادات!$B$5),2),ROUND(E66*F66,2)))</f>
        <v>0</v>
      </c>
      <c r="I66" s="19" t="n">
        <f aca="false">IF(OR(E66="",F66=""),0,IF(G66="شامل الضريبة",ROUND(E66*F66,2)-H66,ROUND(H66*الإعدادات!$B$5,2)))</f>
        <v>0</v>
      </c>
      <c r="J66" s="20" t="n">
        <f aca="false">H66+I66</f>
        <v>0</v>
      </c>
      <c r="K66" s="14"/>
      <c r="L66" s="21" t="str">
        <f aca="false">IF(AND(B66="",C66="",E66="",F66=""),"",IF(B66="","⚠ اختر العميل",IF(COUNTIF('دليل العملاء'!$B$4:$B$203,B66)=0,"⚠ عميل غير مسجل",IF(C66="","⚠ اختر الصنف",IF(COUNTIF('دليل الأصناف'!$B$4:$B$203,C66)=0,"⚠ صنف غير مسجل",IF(E66="","⚠ أدخل الكمية",IF(F66="","⚠ أدخل السعر",IF(A66="","⚠ أدخل التاريخ","✓ سليم"))))))))</f>
        <v/>
      </c>
    </row>
    <row r="67" customFormat="false" ht="15" hidden="false" customHeight="false" outlineLevel="0" collapsed="false">
      <c r="A67" s="13"/>
      <c r="B67" s="14"/>
      <c r="C67" s="14"/>
      <c r="D67" s="15" t="str">
        <f aca="false">IF(C67="","",IFERROR(INDEX('دليل الأصناف'!$A$4:$A$203,MATCH(C67,'دليل الأصناف'!$B$4:$B$203,0)),"غير مسجل"))</f>
        <v/>
      </c>
      <c r="E67" s="16"/>
      <c r="F67" s="17"/>
      <c r="G67" s="18"/>
      <c r="H67" s="19" t="n">
        <f aca="false">IF(OR(E67="",F67=""),0,IF(G67="شامل الضريبة",ROUND(ROUND(E67*F67,2)/(1+الإعدادات!$B$5),2),ROUND(E67*F67,2)))</f>
        <v>0</v>
      </c>
      <c r="I67" s="19" t="n">
        <f aca="false">IF(OR(E67="",F67=""),0,IF(G67="شامل الضريبة",ROUND(E67*F67,2)-H67,ROUND(H67*الإعدادات!$B$5,2)))</f>
        <v>0</v>
      </c>
      <c r="J67" s="20" t="n">
        <f aca="false">H67+I67</f>
        <v>0</v>
      </c>
      <c r="K67" s="14"/>
      <c r="L67" s="21" t="str">
        <f aca="false">IF(AND(B67="",C67="",E67="",F67=""),"",IF(B67="","⚠ اختر العميل",IF(COUNTIF('دليل العملاء'!$B$4:$B$203,B67)=0,"⚠ عميل غير مسجل",IF(C67="","⚠ اختر الصنف",IF(COUNTIF('دليل الأصناف'!$B$4:$B$203,C67)=0,"⚠ صنف غير مسجل",IF(E67="","⚠ أدخل الكمية",IF(F67="","⚠ أدخل السعر",IF(A67="","⚠ أدخل التاريخ","✓ سليم"))))))))</f>
        <v/>
      </c>
    </row>
    <row r="68" customFormat="false" ht="15" hidden="false" customHeight="false" outlineLevel="0" collapsed="false">
      <c r="A68" s="13"/>
      <c r="B68" s="14"/>
      <c r="C68" s="14"/>
      <c r="D68" s="15" t="str">
        <f aca="false">IF(C68="","",IFERROR(INDEX('دليل الأصناف'!$A$4:$A$203,MATCH(C68,'دليل الأصناف'!$B$4:$B$203,0)),"غير مسجل"))</f>
        <v/>
      </c>
      <c r="E68" s="16"/>
      <c r="F68" s="17"/>
      <c r="G68" s="18"/>
      <c r="H68" s="19" t="n">
        <f aca="false">IF(OR(E68="",F68=""),0,IF(G68="شامل الضريبة",ROUND(ROUND(E68*F68,2)/(1+الإعدادات!$B$5),2),ROUND(E68*F68,2)))</f>
        <v>0</v>
      </c>
      <c r="I68" s="19" t="n">
        <f aca="false">IF(OR(E68="",F68=""),0,IF(G68="شامل الضريبة",ROUND(E68*F68,2)-H68,ROUND(H68*الإعدادات!$B$5,2)))</f>
        <v>0</v>
      </c>
      <c r="J68" s="20" t="n">
        <f aca="false">H68+I68</f>
        <v>0</v>
      </c>
      <c r="K68" s="14"/>
      <c r="L68" s="21" t="str">
        <f aca="false">IF(AND(B68="",C68="",E68="",F68=""),"",IF(B68="","⚠ اختر العميل",IF(COUNTIF('دليل العملاء'!$B$4:$B$203,B68)=0,"⚠ عميل غير مسجل",IF(C68="","⚠ اختر الصنف",IF(COUNTIF('دليل الأصناف'!$B$4:$B$203,C68)=0,"⚠ صنف غير مسجل",IF(E68="","⚠ أدخل الكمية",IF(F68="","⚠ أدخل السعر",IF(A68="","⚠ أدخل التاريخ","✓ سليم"))))))))</f>
        <v/>
      </c>
    </row>
    <row r="69" customFormat="false" ht="15" hidden="false" customHeight="false" outlineLevel="0" collapsed="false">
      <c r="A69" s="13"/>
      <c r="B69" s="14"/>
      <c r="C69" s="14"/>
      <c r="D69" s="15" t="str">
        <f aca="false">IF(C69="","",IFERROR(INDEX('دليل الأصناف'!$A$4:$A$203,MATCH(C69,'دليل الأصناف'!$B$4:$B$203,0)),"غير مسجل"))</f>
        <v/>
      </c>
      <c r="E69" s="16"/>
      <c r="F69" s="17"/>
      <c r="G69" s="18"/>
      <c r="H69" s="19" t="n">
        <f aca="false">IF(OR(E69="",F69=""),0,IF(G69="شامل الضريبة",ROUND(ROUND(E69*F69,2)/(1+الإعدادات!$B$5),2),ROUND(E69*F69,2)))</f>
        <v>0</v>
      </c>
      <c r="I69" s="19" t="n">
        <f aca="false">IF(OR(E69="",F69=""),0,IF(G69="شامل الضريبة",ROUND(E69*F69,2)-H69,ROUND(H69*الإعدادات!$B$5,2)))</f>
        <v>0</v>
      </c>
      <c r="J69" s="20" t="n">
        <f aca="false">H69+I69</f>
        <v>0</v>
      </c>
      <c r="K69" s="14"/>
      <c r="L69" s="21" t="str">
        <f aca="false">IF(AND(B69="",C69="",E69="",F69=""),"",IF(B69="","⚠ اختر العميل",IF(COUNTIF('دليل العملاء'!$B$4:$B$203,B69)=0,"⚠ عميل غير مسجل",IF(C69="","⚠ اختر الصنف",IF(COUNTIF('دليل الأصناف'!$B$4:$B$203,C69)=0,"⚠ صنف غير مسجل",IF(E69="","⚠ أدخل الكمية",IF(F69="","⚠ أدخل السعر",IF(A69="","⚠ أدخل التاريخ","✓ سليم"))))))))</f>
        <v/>
      </c>
    </row>
    <row r="70" customFormat="false" ht="15" hidden="false" customHeight="false" outlineLevel="0" collapsed="false">
      <c r="A70" s="13"/>
      <c r="B70" s="14"/>
      <c r="C70" s="14"/>
      <c r="D70" s="15" t="str">
        <f aca="false">IF(C70="","",IFERROR(INDEX('دليل الأصناف'!$A$4:$A$203,MATCH(C70,'دليل الأصناف'!$B$4:$B$203,0)),"غير مسجل"))</f>
        <v/>
      </c>
      <c r="E70" s="16"/>
      <c r="F70" s="17"/>
      <c r="G70" s="18"/>
      <c r="H70" s="19" t="n">
        <f aca="false">IF(OR(E70="",F70=""),0,IF(G70="شامل الضريبة",ROUND(ROUND(E70*F70,2)/(1+الإعدادات!$B$5),2),ROUND(E70*F70,2)))</f>
        <v>0</v>
      </c>
      <c r="I70" s="19" t="n">
        <f aca="false">IF(OR(E70="",F70=""),0,IF(G70="شامل الضريبة",ROUND(E70*F70,2)-H70,ROUND(H70*الإعدادات!$B$5,2)))</f>
        <v>0</v>
      </c>
      <c r="J70" s="20" t="n">
        <f aca="false">H70+I70</f>
        <v>0</v>
      </c>
      <c r="K70" s="14"/>
      <c r="L70" s="21" t="str">
        <f aca="false">IF(AND(B70="",C70="",E70="",F70=""),"",IF(B70="","⚠ اختر العميل",IF(COUNTIF('دليل العملاء'!$B$4:$B$203,B70)=0,"⚠ عميل غير مسجل",IF(C70="","⚠ اختر الصنف",IF(COUNTIF('دليل الأصناف'!$B$4:$B$203,C70)=0,"⚠ صنف غير مسجل",IF(E70="","⚠ أدخل الكمية",IF(F70="","⚠ أدخل السعر",IF(A70="","⚠ أدخل التاريخ","✓ سليم"))))))))</f>
        <v/>
      </c>
    </row>
    <row r="71" customFormat="false" ht="15" hidden="false" customHeight="false" outlineLevel="0" collapsed="false">
      <c r="A71" s="13"/>
      <c r="B71" s="14"/>
      <c r="C71" s="14"/>
      <c r="D71" s="15" t="str">
        <f aca="false">IF(C71="","",IFERROR(INDEX('دليل الأصناف'!$A$4:$A$203,MATCH(C71,'دليل الأصناف'!$B$4:$B$203,0)),"غير مسجل"))</f>
        <v/>
      </c>
      <c r="E71" s="16"/>
      <c r="F71" s="17"/>
      <c r="G71" s="18"/>
      <c r="H71" s="19" t="n">
        <f aca="false">IF(OR(E71="",F71=""),0,IF(G71="شامل الضريبة",ROUND(ROUND(E71*F71,2)/(1+الإعدادات!$B$5),2),ROUND(E71*F71,2)))</f>
        <v>0</v>
      </c>
      <c r="I71" s="19" t="n">
        <f aca="false">IF(OR(E71="",F71=""),0,IF(G71="شامل الضريبة",ROUND(E71*F71,2)-H71,ROUND(H71*الإعدادات!$B$5,2)))</f>
        <v>0</v>
      </c>
      <c r="J71" s="20" t="n">
        <f aca="false">H71+I71</f>
        <v>0</v>
      </c>
      <c r="K71" s="14"/>
      <c r="L71" s="21" t="str">
        <f aca="false">IF(AND(B71="",C71="",E71="",F71=""),"",IF(B71="","⚠ اختر العميل",IF(COUNTIF('دليل العملاء'!$B$4:$B$203,B71)=0,"⚠ عميل غير مسجل",IF(C71="","⚠ اختر الصنف",IF(COUNTIF('دليل الأصناف'!$B$4:$B$203,C71)=0,"⚠ صنف غير مسجل",IF(E71="","⚠ أدخل الكمية",IF(F71="","⚠ أدخل السعر",IF(A71="","⚠ أدخل التاريخ","✓ سليم"))))))))</f>
        <v/>
      </c>
    </row>
    <row r="72" customFormat="false" ht="15" hidden="false" customHeight="false" outlineLevel="0" collapsed="false">
      <c r="A72" s="13"/>
      <c r="B72" s="14"/>
      <c r="C72" s="14"/>
      <c r="D72" s="15" t="str">
        <f aca="false">IF(C72="","",IFERROR(INDEX('دليل الأصناف'!$A$4:$A$203,MATCH(C72,'دليل الأصناف'!$B$4:$B$203,0)),"غير مسجل"))</f>
        <v/>
      </c>
      <c r="E72" s="16"/>
      <c r="F72" s="17"/>
      <c r="G72" s="18"/>
      <c r="H72" s="19" t="n">
        <f aca="false">IF(OR(E72="",F72=""),0,IF(G72="شامل الضريبة",ROUND(ROUND(E72*F72,2)/(1+الإعدادات!$B$5),2),ROUND(E72*F72,2)))</f>
        <v>0</v>
      </c>
      <c r="I72" s="19" t="n">
        <f aca="false">IF(OR(E72="",F72=""),0,IF(G72="شامل الضريبة",ROUND(E72*F72,2)-H72,ROUND(H72*الإعدادات!$B$5,2)))</f>
        <v>0</v>
      </c>
      <c r="J72" s="20" t="n">
        <f aca="false">H72+I72</f>
        <v>0</v>
      </c>
      <c r="K72" s="14"/>
      <c r="L72" s="21" t="str">
        <f aca="false">IF(AND(B72="",C72="",E72="",F72=""),"",IF(B72="","⚠ اختر العميل",IF(COUNTIF('دليل العملاء'!$B$4:$B$203,B72)=0,"⚠ عميل غير مسجل",IF(C72="","⚠ اختر الصنف",IF(COUNTIF('دليل الأصناف'!$B$4:$B$203,C72)=0,"⚠ صنف غير مسجل",IF(E72="","⚠ أدخل الكمية",IF(F72="","⚠ أدخل السعر",IF(A72="","⚠ أدخل التاريخ","✓ سليم"))))))))</f>
        <v/>
      </c>
    </row>
    <row r="73" customFormat="false" ht="15" hidden="false" customHeight="false" outlineLevel="0" collapsed="false">
      <c r="A73" s="13"/>
      <c r="B73" s="14"/>
      <c r="C73" s="14"/>
      <c r="D73" s="15" t="str">
        <f aca="false">IF(C73="","",IFERROR(INDEX('دليل الأصناف'!$A$4:$A$203,MATCH(C73,'دليل الأصناف'!$B$4:$B$203,0)),"غير مسجل"))</f>
        <v/>
      </c>
      <c r="E73" s="16"/>
      <c r="F73" s="17"/>
      <c r="G73" s="18"/>
      <c r="H73" s="19" t="n">
        <f aca="false">IF(OR(E73="",F73=""),0,IF(G73="شامل الضريبة",ROUND(ROUND(E73*F73,2)/(1+الإعدادات!$B$5),2),ROUND(E73*F73,2)))</f>
        <v>0</v>
      </c>
      <c r="I73" s="19" t="n">
        <f aca="false">IF(OR(E73="",F73=""),0,IF(G73="شامل الضريبة",ROUND(E73*F73,2)-H73,ROUND(H73*الإعدادات!$B$5,2)))</f>
        <v>0</v>
      </c>
      <c r="J73" s="20" t="n">
        <f aca="false">H73+I73</f>
        <v>0</v>
      </c>
      <c r="K73" s="14"/>
      <c r="L73" s="21" t="str">
        <f aca="false">IF(AND(B73="",C73="",E73="",F73=""),"",IF(B73="","⚠ اختر العميل",IF(COUNTIF('دليل العملاء'!$B$4:$B$203,B73)=0,"⚠ عميل غير مسجل",IF(C73="","⚠ اختر الصنف",IF(COUNTIF('دليل الأصناف'!$B$4:$B$203,C73)=0,"⚠ صنف غير مسجل",IF(E73="","⚠ أدخل الكمية",IF(F73="","⚠ أدخل السعر",IF(A73="","⚠ أدخل التاريخ","✓ سليم"))))))))</f>
        <v/>
      </c>
    </row>
    <row r="74" customFormat="false" ht="15" hidden="false" customHeight="false" outlineLevel="0" collapsed="false">
      <c r="A74" s="13"/>
      <c r="B74" s="14"/>
      <c r="C74" s="14"/>
      <c r="D74" s="15" t="str">
        <f aca="false">IF(C74="","",IFERROR(INDEX('دليل الأصناف'!$A$4:$A$203,MATCH(C74,'دليل الأصناف'!$B$4:$B$203,0)),"غير مسجل"))</f>
        <v/>
      </c>
      <c r="E74" s="16"/>
      <c r="F74" s="17"/>
      <c r="G74" s="18"/>
      <c r="H74" s="19" t="n">
        <f aca="false">IF(OR(E74="",F74=""),0,IF(G74="شامل الضريبة",ROUND(ROUND(E74*F74,2)/(1+الإعدادات!$B$5),2),ROUND(E74*F74,2)))</f>
        <v>0</v>
      </c>
      <c r="I74" s="19" t="n">
        <f aca="false">IF(OR(E74="",F74=""),0,IF(G74="شامل الضريبة",ROUND(E74*F74,2)-H74,ROUND(H74*الإعدادات!$B$5,2)))</f>
        <v>0</v>
      </c>
      <c r="J74" s="20" t="n">
        <f aca="false">H74+I74</f>
        <v>0</v>
      </c>
      <c r="K74" s="14"/>
      <c r="L74" s="21" t="str">
        <f aca="false">IF(AND(B74="",C74="",E74="",F74=""),"",IF(B74="","⚠ اختر العميل",IF(COUNTIF('دليل العملاء'!$B$4:$B$203,B74)=0,"⚠ عميل غير مسجل",IF(C74="","⚠ اختر الصنف",IF(COUNTIF('دليل الأصناف'!$B$4:$B$203,C74)=0,"⚠ صنف غير مسجل",IF(E74="","⚠ أدخل الكمية",IF(F74="","⚠ أدخل السعر",IF(A74="","⚠ أدخل التاريخ","✓ سليم"))))))))</f>
        <v/>
      </c>
    </row>
    <row r="75" customFormat="false" ht="15" hidden="false" customHeight="false" outlineLevel="0" collapsed="false">
      <c r="A75" s="13"/>
      <c r="B75" s="14"/>
      <c r="C75" s="14"/>
      <c r="D75" s="15" t="str">
        <f aca="false">IF(C75="","",IFERROR(INDEX('دليل الأصناف'!$A$4:$A$203,MATCH(C75,'دليل الأصناف'!$B$4:$B$203,0)),"غير مسجل"))</f>
        <v/>
      </c>
      <c r="E75" s="16"/>
      <c r="F75" s="17"/>
      <c r="G75" s="18"/>
      <c r="H75" s="19" t="n">
        <f aca="false">IF(OR(E75="",F75=""),0,IF(G75="شامل الضريبة",ROUND(ROUND(E75*F75,2)/(1+الإعدادات!$B$5),2),ROUND(E75*F75,2)))</f>
        <v>0</v>
      </c>
      <c r="I75" s="19" t="n">
        <f aca="false">IF(OR(E75="",F75=""),0,IF(G75="شامل الضريبة",ROUND(E75*F75,2)-H75,ROUND(H75*الإعدادات!$B$5,2)))</f>
        <v>0</v>
      </c>
      <c r="J75" s="20" t="n">
        <f aca="false">H75+I75</f>
        <v>0</v>
      </c>
      <c r="K75" s="14"/>
      <c r="L75" s="21" t="str">
        <f aca="false">IF(AND(B75="",C75="",E75="",F75=""),"",IF(B75="","⚠ اختر العميل",IF(COUNTIF('دليل العملاء'!$B$4:$B$203,B75)=0,"⚠ عميل غير مسجل",IF(C75="","⚠ اختر الصنف",IF(COUNTIF('دليل الأصناف'!$B$4:$B$203,C75)=0,"⚠ صنف غير مسجل",IF(E75="","⚠ أدخل الكمية",IF(F75="","⚠ أدخل السعر",IF(A75="","⚠ أدخل التاريخ","✓ سليم"))))))))</f>
        <v/>
      </c>
    </row>
    <row r="76" customFormat="false" ht="15" hidden="false" customHeight="false" outlineLevel="0" collapsed="false">
      <c r="A76" s="13"/>
      <c r="B76" s="14"/>
      <c r="C76" s="14"/>
      <c r="D76" s="15" t="str">
        <f aca="false">IF(C76="","",IFERROR(INDEX('دليل الأصناف'!$A$4:$A$203,MATCH(C76,'دليل الأصناف'!$B$4:$B$203,0)),"غير مسجل"))</f>
        <v/>
      </c>
      <c r="E76" s="16"/>
      <c r="F76" s="17"/>
      <c r="G76" s="18"/>
      <c r="H76" s="19" t="n">
        <f aca="false">IF(OR(E76="",F76=""),0,IF(G76="شامل الضريبة",ROUND(ROUND(E76*F76,2)/(1+الإعدادات!$B$5),2),ROUND(E76*F76,2)))</f>
        <v>0</v>
      </c>
      <c r="I76" s="19" t="n">
        <f aca="false">IF(OR(E76="",F76=""),0,IF(G76="شامل الضريبة",ROUND(E76*F76,2)-H76,ROUND(H76*الإعدادات!$B$5,2)))</f>
        <v>0</v>
      </c>
      <c r="J76" s="20" t="n">
        <f aca="false">H76+I76</f>
        <v>0</v>
      </c>
      <c r="K76" s="14"/>
      <c r="L76" s="21" t="str">
        <f aca="false">IF(AND(B76="",C76="",E76="",F76=""),"",IF(B76="","⚠ اختر العميل",IF(COUNTIF('دليل العملاء'!$B$4:$B$203,B76)=0,"⚠ عميل غير مسجل",IF(C76="","⚠ اختر الصنف",IF(COUNTIF('دليل الأصناف'!$B$4:$B$203,C76)=0,"⚠ صنف غير مسجل",IF(E76="","⚠ أدخل الكمية",IF(F76="","⚠ أدخل السعر",IF(A76="","⚠ أدخل التاريخ","✓ سليم"))))))))</f>
        <v/>
      </c>
    </row>
    <row r="77" customFormat="false" ht="15" hidden="false" customHeight="false" outlineLevel="0" collapsed="false">
      <c r="A77" s="13"/>
      <c r="B77" s="14"/>
      <c r="C77" s="14"/>
      <c r="D77" s="15" t="str">
        <f aca="false">IF(C77="","",IFERROR(INDEX('دليل الأصناف'!$A$4:$A$203,MATCH(C77,'دليل الأصناف'!$B$4:$B$203,0)),"غير مسجل"))</f>
        <v/>
      </c>
      <c r="E77" s="16"/>
      <c r="F77" s="17"/>
      <c r="G77" s="18"/>
      <c r="H77" s="19" t="n">
        <f aca="false">IF(OR(E77="",F77=""),0,IF(G77="شامل الضريبة",ROUND(ROUND(E77*F77,2)/(1+الإعدادات!$B$5),2),ROUND(E77*F77,2)))</f>
        <v>0</v>
      </c>
      <c r="I77" s="19" t="n">
        <f aca="false">IF(OR(E77="",F77=""),0,IF(G77="شامل الضريبة",ROUND(E77*F77,2)-H77,ROUND(H77*الإعدادات!$B$5,2)))</f>
        <v>0</v>
      </c>
      <c r="J77" s="20" t="n">
        <f aca="false">H77+I77</f>
        <v>0</v>
      </c>
      <c r="K77" s="14"/>
      <c r="L77" s="21" t="str">
        <f aca="false">IF(AND(B77="",C77="",E77="",F77=""),"",IF(B77="","⚠ اختر العميل",IF(COUNTIF('دليل العملاء'!$B$4:$B$203,B77)=0,"⚠ عميل غير مسجل",IF(C77="","⚠ اختر الصنف",IF(COUNTIF('دليل الأصناف'!$B$4:$B$203,C77)=0,"⚠ صنف غير مسجل",IF(E77="","⚠ أدخل الكمية",IF(F77="","⚠ أدخل السعر",IF(A77="","⚠ أدخل التاريخ","✓ سليم"))))))))</f>
        <v/>
      </c>
    </row>
    <row r="78" customFormat="false" ht="15" hidden="false" customHeight="false" outlineLevel="0" collapsed="false">
      <c r="A78" s="13"/>
      <c r="B78" s="14"/>
      <c r="C78" s="14"/>
      <c r="D78" s="15" t="str">
        <f aca="false">IF(C78="","",IFERROR(INDEX('دليل الأصناف'!$A$4:$A$203,MATCH(C78,'دليل الأصناف'!$B$4:$B$203,0)),"غير مسجل"))</f>
        <v/>
      </c>
      <c r="E78" s="16"/>
      <c r="F78" s="17"/>
      <c r="G78" s="18"/>
      <c r="H78" s="19" t="n">
        <f aca="false">IF(OR(E78="",F78=""),0,IF(G78="شامل الضريبة",ROUND(ROUND(E78*F78,2)/(1+الإعدادات!$B$5),2),ROUND(E78*F78,2)))</f>
        <v>0</v>
      </c>
      <c r="I78" s="19" t="n">
        <f aca="false">IF(OR(E78="",F78=""),0,IF(G78="شامل الضريبة",ROUND(E78*F78,2)-H78,ROUND(H78*الإعدادات!$B$5,2)))</f>
        <v>0</v>
      </c>
      <c r="J78" s="20" t="n">
        <f aca="false">H78+I78</f>
        <v>0</v>
      </c>
      <c r="K78" s="14"/>
      <c r="L78" s="21" t="str">
        <f aca="false">IF(AND(B78="",C78="",E78="",F78=""),"",IF(B78="","⚠ اختر العميل",IF(COUNTIF('دليل العملاء'!$B$4:$B$203,B78)=0,"⚠ عميل غير مسجل",IF(C78="","⚠ اختر الصنف",IF(COUNTIF('دليل الأصناف'!$B$4:$B$203,C78)=0,"⚠ صنف غير مسجل",IF(E78="","⚠ أدخل الكمية",IF(F78="","⚠ أدخل السعر",IF(A78="","⚠ أدخل التاريخ","✓ سليم"))))))))</f>
        <v/>
      </c>
    </row>
    <row r="79" customFormat="false" ht="15" hidden="false" customHeight="false" outlineLevel="0" collapsed="false">
      <c r="A79" s="13"/>
      <c r="B79" s="14"/>
      <c r="C79" s="14"/>
      <c r="D79" s="15" t="str">
        <f aca="false">IF(C79="","",IFERROR(INDEX('دليل الأصناف'!$A$4:$A$203,MATCH(C79,'دليل الأصناف'!$B$4:$B$203,0)),"غير مسجل"))</f>
        <v/>
      </c>
      <c r="E79" s="16"/>
      <c r="F79" s="17"/>
      <c r="G79" s="18"/>
      <c r="H79" s="19" t="n">
        <f aca="false">IF(OR(E79="",F79=""),0,IF(G79="شامل الضريبة",ROUND(ROUND(E79*F79,2)/(1+الإعدادات!$B$5),2),ROUND(E79*F79,2)))</f>
        <v>0</v>
      </c>
      <c r="I79" s="19" t="n">
        <f aca="false">IF(OR(E79="",F79=""),0,IF(G79="شامل الضريبة",ROUND(E79*F79,2)-H79,ROUND(H79*الإعدادات!$B$5,2)))</f>
        <v>0</v>
      </c>
      <c r="J79" s="20" t="n">
        <f aca="false">H79+I79</f>
        <v>0</v>
      </c>
      <c r="K79" s="14"/>
      <c r="L79" s="21" t="str">
        <f aca="false">IF(AND(B79="",C79="",E79="",F79=""),"",IF(B79="","⚠ اختر العميل",IF(COUNTIF('دليل العملاء'!$B$4:$B$203,B79)=0,"⚠ عميل غير مسجل",IF(C79="","⚠ اختر الصنف",IF(COUNTIF('دليل الأصناف'!$B$4:$B$203,C79)=0,"⚠ صنف غير مسجل",IF(E79="","⚠ أدخل الكمية",IF(F79="","⚠ أدخل السعر",IF(A79="","⚠ أدخل التاريخ","✓ سليم"))))))))</f>
        <v/>
      </c>
    </row>
    <row r="80" customFormat="false" ht="15" hidden="false" customHeight="false" outlineLevel="0" collapsed="false">
      <c r="A80" s="13"/>
      <c r="B80" s="14"/>
      <c r="C80" s="14"/>
      <c r="D80" s="15" t="str">
        <f aca="false">IF(C80="","",IFERROR(INDEX('دليل الأصناف'!$A$4:$A$203,MATCH(C80,'دليل الأصناف'!$B$4:$B$203,0)),"غير مسجل"))</f>
        <v/>
      </c>
      <c r="E80" s="16"/>
      <c r="F80" s="17"/>
      <c r="G80" s="18"/>
      <c r="H80" s="19" t="n">
        <f aca="false">IF(OR(E80="",F80=""),0,IF(G80="شامل الضريبة",ROUND(ROUND(E80*F80,2)/(1+الإعدادات!$B$5),2),ROUND(E80*F80,2)))</f>
        <v>0</v>
      </c>
      <c r="I80" s="19" t="n">
        <f aca="false">IF(OR(E80="",F80=""),0,IF(G80="شامل الضريبة",ROUND(E80*F80,2)-H80,ROUND(H80*الإعدادات!$B$5,2)))</f>
        <v>0</v>
      </c>
      <c r="J80" s="20" t="n">
        <f aca="false">H80+I80</f>
        <v>0</v>
      </c>
      <c r="K80" s="14"/>
      <c r="L80" s="21" t="str">
        <f aca="false">IF(AND(B80="",C80="",E80="",F80=""),"",IF(B80="","⚠ اختر العميل",IF(COUNTIF('دليل العملاء'!$B$4:$B$203,B80)=0,"⚠ عميل غير مسجل",IF(C80="","⚠ اختر الصنف",IF(COUNTIF('دليل الأصناف'!$B$4:$B$203,C80)=0,"⚠ صنف غير مسجل",IF(E80="","⚠ أدخل الكمية",IF(F80="","⚠ أدخل السعر",IF(A80="","⚠ أدخل التاريخ","✓ سليم"))))))))</f>
        <v/>
      </c>
    </row>
    <row r="81" customFormat="false" ht="15" hidden="false" customHeight="false" outlineLevel="0" collapsed="false">
      <c r="A81" s="13"/>
      <c r="B81" s="14"/>
      <c r="C81" s="14"/>
      <c r="D81" s="15" t="str">
        <f aca="false">IF(C81="","",IFERROR(INDEX('دليل الأصناف'!$A$4:$A$203,MATCH(C81,'دليل الأصناف'!$B$4:$B$203,0)),"غير مسجل"))</f>
        <v/>
      </c>
      <c r="E81" s="16"/>
      <c r="F81" s="17"/>
      <c r="G81" s="18"/>
      <c r="H81" s="19" t="n">
        <f aca="false">IF(OR(E81="",F81=""),0,IF(G81="شامل الضريبة",ROUND(ROUND(E81*F81,2)/(1+الإعدادات!$B$5),2),ROUND(E81*F81,2)))</f>
        <v>0</v>
      </c>
      <c r="I81" s="19" t="n">
        <f aca="false">IF(OR(E81="",F81=""),0,IF(G81="شامل الضريبة",ROUND(E81*F81,2)-H81,ROUND(H81*الإعدادات!$B$5,2)))</f>
        <v>0</v>
      </c>
      <c r="J81" s="20" t="n">
        <f aca="false">H81+I81</f>
        <v>0</v>
      </c>
      <c r="K81" s="14"/>
      <c r="L81" s="21" t="str">
        <f aca="false">IF(AND(B81="",C81="",E81="",F81=""),"",IF(B81="","⚠ اختر العميل",IF(COUNTIF('دليل العملاء'!$B$4:$B$203,B81)=0,"⚠ عميل غير مسجل",IF(C81="","⚠ اختر الصنف",IF(COUNTIF('دليل الأصناف'!$B$4:$B$203,C81)=0,"⚠ صنف غير مسجل",IF(E81="","⚠ أدخل الكمية",IF(F81="","⚠ أدخل السعر",IF(A81="","⚠ أدخل التاريخ","✓ سليم"))))))))</f>
        <v/>
      </c>
    </row>
    <row r="82" customFormat="false" ht="15" hidden="false" customHeight="false" outlineLevel="0" collapsed="false">
      <c r="A82" s="13"/>
      <c r="B82" s="14"/>
      <c r="C82" s="14"/>
      <c r="D82" s="15" t="str">
        <f aca="false">IF(C82="","",IFERROR(INDEX('دليل الأصناف'!$A$4:$A$203,MATCH(C82,'دليل الأصناف'!$B$4:$B$203,0)),"غير مسجل"))</f>
        <v/>
      </c>
      <c r="E82" s="16"/>
      <c r="F82" s="17"/>
      <c r="G82" s="18"/>
      <c r="H82" s="19" t="n">
        <f aca="false">IF(OR(E82="",F82=""),0,IF(G82="شامل الضريبة",ROUND(ROUND(E82*F82,2)/(1+الإعدادات!$B$5),2),ROUND(E82*F82,2)))</f>
        <v>0</v>
      </c>
      <c r="I82" s="19" t="n">
        <f aca="false">IF(OR(E82="",F82=""),0,IF(G82="شامل الضريبة",ROUND(E82*F82,2)-H82,ROUND(H82*الإعدادات!$B$5,2)))</f>
        <v>0</v>
      </c>
      <c r="J82" s="20" t="n">
        <f aca="false">H82+I82</f>
        <v>0</v>
      </c>
      <c r="K82" s="14"/>
      <c r="L82" s="21" t="str">
        <f aca="false">IF(AND(B82="",C82="",E82="",F82=""),"",IF(B82="","⚠ اختر العميل",IF(COUNTIF('دليل العملاء'!$B$4:$B$203,B82)=0,"⚠ عميل غير مسجل",IF(C82="","⚠ اختر الصنف",IF(COUNTIF('دليل الأصناف'!$B$4:$B$203,C82)=0,"⚠ صنف غير مسجل",IF(E82="","⚠ أدخل الكمية",IF(F82="","⚠ أدخل السعر",IF(A82="","⚠ أدخل التاريخ","✓ سليم"))))))))</f>
        <v/>
      </c>
    </row>
    <row r="83" customFormat="false" ht="15" hidden="false" customHeight="false" outlineLevel="0" collapsed="false">
      <c r="A83" s="13"/>
      <c r="B83" s="14"/>
      <c r="C83" s="14"/>
      <c r="D83" s="15" t="str">
        <f aca="false">IF(C83="","",IFERROR(INDEX('دليل الأصناف'!$A$4:$A$203,MATCH(C83,'دليل الأصناف'!$B$4:$B$203,0)),"غير مسجل"))</f>
        <v/>
      </c>
      <c r="E83" s="16"/>
      <c r="F83" s="17"/>
      <c r="G83" s="18"/>
      <c r="H83" s="19" t="n">
        <f aca="false">IF(OR(E83="",F83=""),0,IF(G83="شامل الضريبة",ROUND(ROUND(E83*F83,2)/(1+الإعدادات!$B$5),2),ROUND(E83*F83,2)))</f>
        <v>0</v>
      </c>
      <c r="I83" s="19" t="n">
        <f aca="false">IF(OR(E83="",F83=""),0,IF(G83="شامل الضريبة",ROUND(E83*F83,2)-H83,ROUND(H83*الإعدادات!$B$5,2)))</f>
        <v>0</v>
      </c>
      <c r="J83" s="20" t="n">
        <f aca="false">H83+I83</f>
        <v>0</v>
      </c>
      <c r="K83" s="14"/>
      <c r="L83" s="21" t="str">
        <f aca="false">IF(AND(B83="",C83="",E83="",F83=""),"",IF(B83="","⚠ اختر العميل",IF(COUNTIF('دليل العملاء'!$B$4:$B$203,B83)=0,"⚠ عميل غير مسجل",IF(C83="","⚠ اختر الصنف",IF(COUNTIF('دليل الأصناف'!$B$4:$B$203,C83)=0,"⚠ صنف غير مسجل",IF(E83="","⚠ أدخل الكمية",IF(F83="","⚠ أدخل السعر",IF(A83="","⚠ أدخل التاريخ","✓ سليم"))))))))</f>
        <v/>
      </c>
    </row>
    <row r="84" customFormat="false" ht="15" hidden="false" customHeight="false" outlineLevel="0" collapsed="false">
      <c r="A84" s="13"/>
      <c r="B84" s="14"/>
      <c r="C84" s="14"/>
      <c r="D84" s="15" t="str">
        <f aca="false">IF(C84="","",IFERROR(INDEX('دليل الأصناف'!$A$4:$A$203,MATCH(C84,'دليل الأصناف'!$B$4:$B$203,0)),"غير مسجل"))</f>
        <v/>
      </c>
      <c r="E84" s="16"/>
      <c r="F84" s="17"/>
      <c r="G84" s="18"/>
      <c r="H84" s="19" t="n">
        <f aca="false">IF(OR(E84="",F84=""),0,IF(G84="شامل الضريبة",ROUND(ROUND(E84*F84,2)/(1+الإعدادات!$B$5),2),ROUND(E84*F84,2)))</f>
        <v>0</v>
      </c>
      <c r="I84" s="19" t="n">
        <f aca="false">IF(OR(E84="",F84=""),0,IF(G84="شامل الضريبة",ROUND(E84*F84,2)-H84,ROUND(H84*الإعدادات!$B$5,2)))</f>
        <v>0</v>
      </c>
      <c r="J84" s="20" t="n">
        <f aca="false">H84+I84</f>
        <v>0</v>
      </c>
      <c r="K84" s="14"/>
      <c r="L84" s="21" t="str">
        <f aca="false">IF(AND(B84="",C84="",E84="",F84=""),"",IF(B84="","⚠ اختر العميل",IF(COUNTIF('دليل العملاء'!$B$4:$B$203,B84)=0,"⚠ عميل غير مسجل",IF(C84="","⚠ اختر الصنف",IF(COUNTIF('دليل الأصناف'!$B$4:$B$203,C84)=0,"⚠ صنف غير مسجل",IF(E84="","⚠ أدخل الكمية",IF(F84="","⚠ أدخل السعر",IF(A84="","⚠ أدخل التاريخ","✓ سليم"))))))))</f>
        <v/>
      </c>
    </row>
    <row r="85" customFormat="false" ht="15" hidden="false" customHeight="false" outlineLevel="0" collapsed="false">
      <c r="A85" s="13"/>
      <c r="B85" s="14"/>
      <c r="C85" s="14"/>
      <c r="D85" s="15" t="str">
        <f aca="false">IF(C85="","",IFERROR(INDEX('دليل الأصناف'!$A$4:$A$203,MATCH(C85,'دليل الأصناف'!$B$4:$B$203,0)),"غير مسجل"))</f>
        <v/>
      </c>
      <c r="E85" s="16"/>
      <c r="F85" s="17"/>
      <c r="G85" s="18"/>
      <c r="H85" s="19" t="n">
        <f aca="false">IF(OR(E85="",F85=""),0,IF(G85="شامل الضريبة",ROUND(ROUND(E85*F85,2)/(1+الإعدادات!$B$5),2),ROUND(E85*F85,2)))</f>
        <v>0</v>
      </c>
      <c r="I85" s="19" t="n">
        <f aca="false">IF(OR(E85="",F85=""),0,IF(G85="شامل الضريبة",ROUND(E85*F85,2)-H85,ROUND(H85*الإعدادات!$B$5,2)))</f>
        <v>0</v>
      </c>
      <c r="J85" s="20" t="n">
        <f aca="false">H85+I85</f>
        <v>0</v>
      </c>
      <c r="K85" s="14"/>
      <c r="L85" s="21" t="str">
        <f aca="false">IF(AND(B85="",C85="",E85="",F85=""),"",IF(B85="","⚠ اختر العميل",IF(COUNTIF('دليل العملاء'!$B$4:$B$203,B85)=0,"⚠ عميل غير مسجل",IF(C85="","⚠ اختر الصنف",IF(COUNTIF('دليل الأصناف'!$B$4:$B$203,C85)=0,"⚠ صنف غير مسجل",IF(E85="","⚠ أدخل الكمية",IF(F85="","⚠ أدخل السعر",IF(A85="","⚠ أدخل التاريخ","✓ سليم"))))))))</f>
        <v/>
      </c>
    </row>
    <row r="86" customFormat="false" ht="15" hidden="false" customHeight="false" outlineLevel="0" collapsed="false">
      <c r="A86" s="13"/>
      <c r="B86" s="14"/>
      <c r="C86" s="14"/>
      <c r="D86" s="15" t="str">
        <f aca="false">IF(C86="","",IFERROR(INDEX('دليل الأصناف'!$A$4:$A$203,MATCH(C86,'دليل الأصناف'!$B$4:$B$203,0)),"غير مسجل"))</f>
        <v/>
      </c>
      <c r="E86" s="16"/>
      <c r="F86" s="17"/>
      <c r="G86" s="18"/>
      <c r="H86" s="19" t="n">
        <f aca="false">IF(OR(E86="",F86=""),0,IF(G86="شامل الضريبة",ROUND(ROUND(E86*F86,2)/(1+الإعدادات!$B$5),2),ROUND(E86*F86,2)))</f>
        <v>0</v>
      </c>
      <c r="I86" s="19" t="n">
        <f aca="false">IF(OR(E86="",F86=""),0,IF(G86="شامل الضريبة",ROUND(E86*F86,2)-H86,ROUND(H86*الإعدادات!$B$5,2)))</f>
        <v>0</v>
      </c>
      <c r="J86" s="20" t="n">
        <f aca="false">H86+I86</f>
        <v>0</v>
      </c>
      <c r="K86" s="14"/>
      <c r="L86" s="21" t="str">
        <f aca="false">IF(AND(B86="",C86="",E86="",F86=""),"",IF(B86="","⚠ اختر العميل",IF(COUNTIF('دليل العملاء'!$B$4:$B$203,B86)=0,"⚠ عميل غير مسجل",IF(C86="","⚠ اختر الصنف",IF(COUNTIF('دليل الأصناف'!$B$4:$B$203,C86)=0,"⚠ صنف غير مسجل",IF(E86="","⚠ أدخل الكمية",IF(F86="","⚠ أدخل السعر",IF(A86="","⚠ أدخل التاريخ","✓ سليم"))))))))</f>
        <v/>
      </c>
    </row>
    <row r="87" customFormat="false" ht="15" hidden="false" customHeight="false" outlineLevel="0" collapsed="false">
      <c r="A87" s="13"/>
      <c r="B87" s="14"/>
      <c r="C87" s="14"/>
      <c r="D87" s="15" t="str">
        <f aca="false">IF(C87="","",IFERROR(INDEX('دليل الأصناف'!$A$4:$A$203,MATCH(C87,'دليل الأصناف'!$B$4:$B$203,0)),"غير مسجل"))</f>
        <v/>
      </c>
      <c r="E87" s="16"/>
      <c r="F87" s="17"/>
      <c r="G87" s="18"/>
      <c r="H87" s="19" t="n">
        <f aca="false">IF(OR(E87="",F87=""),0,IF(G87="شامل الضريبة",ROUND(ROUND(E87*F87,2)/(1+الإعدادات!$B$5),2),ROUND(E87*F87,2)))</f>
        <v>0</v>
      </c>
      <c r="I87" s="19" t="n">
        <f aca="false">IF(OR(E87="",F87=""),0,IF(G87="شامل الضريبة",ROUND(E87*F87,2)-H87,ROUND(H87*الإعدادات!$B$5,2)))</f>
        <v>0</v>
      </c>
      <c r="J87" s="20" t="n">
        <f aca="false">H87+I87</f>
        <v>0</v>
      </c>
      <c r="K87" s="14"/>
      <c r="L87" s="21" t="str">
        <f aca="false">IF(AND(B87="",C87="",E87="",F87=""),"",IF(B87="","⚠ اختر العميل",IF(COUNTIF('دليل العملاء'!$B$4:$B$203,B87)=0,"⚠ عميل غير مسجل",IF(C87="","⚠ اختر الصنف",IF(COUNTIF('دليل الأصناف'!$B$4:$B$203,C87)=0,"⚠ صنف غير مسجل",IF(E87="","⚠ أدخل الكمية",IF(F87="","⚠ أدخل السعر",IF(A87="","⚠ أدخل التاريخ","✓ سليم"))))))))</f>
        <v/>
      </c>
    </row>
    <row r="88" customFormat="false" ht="15" hidden="false" customHeight="false" outlineLevel="0" collapsed="false">
      <c r="A88" s="13"/>
      <c r="B88" s="14"/>
      <c r="C88" s="14"/>
      <c r="D88" s="15" t="str">
        <f aca="false">IF(C88="","",IFERROR(INDEX('دليل الأصناف'!$A$4:$A$203,MATCH(C88,'دليل الأصناف'!$B$4:$B$203,0)),"غير مسجل"))</f>
        <v/>
      </c>
      <c r="E88" s="16"/>
      <c r="F88" s="17"/>
      <c r="G88" s="18"/>
      <c r="H88" s="19" t="n">
        <f aca="false">IF(OR(E88="",F88=""),0,IF(G88="شامل الضريبة",ROUND(ROUND(E88*F88,2)/(1+الإعدادات!$B$5),2),ROUND(E88*F88,2)))</f>
        <v>0</v>
      </c>
      <c r="I88" s="19" t="n">
        <f aca="false">IF(OR(E88="",F88=""),0,IF(G88="شامل الضريبة",ROUND(E88*F88,2)-H88,ROUND(H88*الإعدادات!$B$5,2)))</f>
        <v>0</v>
      </c>
      <c r="J88" s="20" t="n">
        <f aca="false">H88+I88</f>
        <v>0</v>
      </c>
      <c r="K88" s="14"/>
      <c r="L88" s="21" t="str">
        <f aca="false">IF(AND(B88="",C88="",E88="",F88=""),"",IF(B88="","⚠ اختر العميل",IF(COUNTIF('دليل العملاء'!$B$4:$B$203,B88)=0,"⚠ عميل غير مسجل",IF(C88="","⚠ اختر الصنف",IF(COUNTIF('دليل الأصناف'!$B$4:$B$203,C88)=0,"⚠ صنف غير مسجل",IF(E88="","⚠ أدخل الكمية",IF(F88="","⚠ أدخل السعر",IF(A88="","⚠ أدخل التاريخ","✓ سليم"))))))))</f>
        <v/>
      </c>
    </row>
    <row r="89" customFormat="false" ht="15" hidden="false" customHeight="false" outlineLevel="0" collapsed="false">
      <c r="A89" s="13"/>
      <c r="B89" s="14"/>
      <c r="C89" s="14"/>
      <c r="D89" s="15" t="str">
        <f aca="false">IF(C89="","",IFERROR(INDEX('دليل الأصناف'!$A$4:$A$203,MATCH(C89,'دليل الأصناف'!$B$4:$B$203,0)),"غير مسجل"))</f>
        <v/>
      </c>
      <c r="E89" s="16"/>
      <c r="F89" s="17"/>
      <c r="G89" s="18"/>
      <c r="H89" s="19" t="n">
        <f aca="false">IF(OR(E89="",F89=""),0,IF(G89="شامل الضريبة",ROUND(ROUND(E89*F89,2)/(1+الإعدادات!$B$5),2),ROUND(E89*F89,2)))</f>
        <v>0</v>
      </c>
      <c r="I89" s="19" t="n">
        <f aca="false">IF(OR(E89="",F89=""),0,IF(G89="شامل الضريبة",ROUND(E89*F89,2)-H89,ROUND(H89*الإعدادات!$B$5,2)))</f>
        <v>0</v>
      </c>
      <c r="J89" s="20" t="n">
        <f aca="false">H89+I89</f>
        <v>0</v>
      </c>
      <c r="K89" s="14"/>
      <c r="L89" s="21" t="str">
        <f aca="false">IF(AND(B89="",C89="",E89="",F89=""),"",IF(B89="","⚠ اختر العميل",IF(COUNTIF('دليل العملاء'!$B$4:$B$203,B89)=0,"⚠ عميل غير مسجل",IF(C89="","⚠ اختر الصنف",IF(COUNTIF('دليل الأصناف'!$B$4:$B$203,C89)=0,"⚠ صنف غير مسجل",IF(E89="","⚠ أدخل الكمية",IF(F89="","⚠ أدخل السعر",IF(A89="","⚠ أدخل التاريخ","✓ سليم"))))))))</f>
        <v/>
      </c>
    </row>
    <row r="90" customFormat="false" ht="15" hidden="false" customHeight="false" outlineLevel="0" collapsed="false">
      <c r="A90" s="13"/>
      <c r="B90" s="14"/>
      <c r="C90" s="14"/>
      <c r="D90" s="15" t="str">
        <f aca="false">IF(C90="","",IFERROR(INDEX('دليل الأصناف'!$A$4:$A$203,MATCH(C90,'دليل الأصناف'!$B$4:$B$203,0)),"غير مسجل"))</f>
        <v/>
      </c>
      <c r="E90" s="16"/>
      <c r="F90" s="17"/>
      <c r="G90" s="18"/>
      <c r="H90" s="19" t="n">
        <f aca="false">IF(OR(E90="",F90=""),0,IF(G90="شامل الضريبة",ROUND(ROUND(E90*F90,2)/(1+الإعدادات!$B$5),2),ROUND(E90*F90,2)))</f>
        <v>0</v>
      </c>
      <c r="I90" s="19" t="n">
        <f aca="false">IF(OR(E90="",F90=""),0,IF(G90="شامل الضريبة",ROUND(E90*F90,2)-H90,ROUND(H90*الإعدادات!$B$5,2)))</f>
        <v>0</v>
      </c>
      <c r="J90" s="20" t="n">
        <f aca="false">H90+I90</f>
        <v>0</v>
      </c>
      <c r="K90" s="14"/>
      <c r="L90" s="21" t="str">
        <f aca="false">IF(AND(B90="",C90="",E90="",F90=""),"",IF(B90="","⚠ اختر العميل",IF(COUNTIF('دليل العملاء'!$B$4:$B$203,B90)=0,"⚠ عميل غير مسجل",IF(C90="","⚠ اختر الصنف",IF(COUNTIF('دليل الأصناف'!$B$4:$B$203,C90)=0,"⚠ صنف غير مسجل",IF(E90="","⚠ أدخل الكمية",IF(F90="","⚠ أدخل السعر",IF(A90="","⚠ أدخل التاريخ","✓ سليم"))))))))</f>
        <v/>
      </c>
    </row>
    <row r="91" customFormat="false" ht="15" hidden="false" customHeight="false" outlineLevel="0" collapsed="false">
      <c r="A91" s="13"/>
      <c r="B91" s="14"/>
      <c r="C91" s="14"/>
      <c r="D91" s="15" t="str">
        <f aca="false">IF(C91="","",IFERROR(INDEX('دليل الأصناف'!$A$4:$A$203,MATCH(C91,'دليل الأصناف'!$B$4:$B$203,0)),"غير مسجل"))</f>
        <v/>
      </c>
      <c r="E91" s="16"/>
      <c r="F91" s="17"/>
      <c r="G91" s="18"/>
      <c r="H91" s="19" t="n">
        <f aca="false">IF(OR(E91="",F91=""),0,IF(G91="شامل الضريبة",ROUND(ROUND(E91*F91,2)/(1+الإعدادات!$B$5),2),ROUND(E91*F91,2)))</f>
        <v>0</v>
      </c>
      <c r="I91" s="19" t="n">
        <f aca="false">IF(OR(E91="",F91=""),0,IF(G91="شامل الضريبة",ROUND(E91*F91,2)-H91,ROUND(H91*الإعدادات!$B$5,2)))</f>
        <v>0</v>
      </c>
      <c r="J91" s="20" t="n">
        <f aca="false">H91+I91</f>
        <v>0</v>
      </c>
      <c r="K91" s="14"/>
      <c r="L91" s="21" t="str">
        <f aca="false">IF(AND(B91="",C91="",E91="",F91=""),"",IF(B91="","⚠ اختر العميل",IF(COUNTIF('دليل العملاء'!$B$4:$B$203,B91)=0,"⚠ عميل غير مسجل",IF(C91="","⚠ اختر الصنف",IF(COUNTIF('دليل الأصناف'!$B$4:$B$203,C91)=0,"⚠ صنف غير مسجل",IF(E91="","⚠ أدخل الكمية",IF(F91="","⚠ أدخل السعر",IF(A91="","⚠ أدخل التاريخ","✓ سليم"))))))))</f>
        <v/>
      </c>
    </row>
    <row r="92" customFormat="false" ht="15" hidden="false" customHeight="false" outlineLevel="0" collapsed="false">
      <c r="A92" s="13"/>
      <c r="B92" s="14"/>
      <c r="C92" s="14"/>
      <c r="D92" s="15" t="str">
        <f aca="false">IF(C92="","",IFERROR(INDEX('دليل الأصناف'!$A$4:$A$203,MATCH(C92,'دليل الأصناف'!$B$4:$B$203,0)),"غير مسجل"))</f>
        <v/>
      </c>
      <c r="E92" s="16"/>
      <c r="F92" s="17"/>
      <c r="G92" s="18"/>
      <c r="H92" s="19" t="n">
        <f aca="false">IF(OR(E92="",F92=""),0,IF(G92="شامل الضريبة",ROUND(ROUND(E92*F92,2)/(1+الإعدادات!$B$5),2),ROUND(E92*F92,2)))</f>
        <v>0</v>
      </c>
      <c r="I92" s="19" t="n">
        <f aca="false">IF(OR(E92="",F92=""),0,IF(G92="شامل الضريبة",ROUND(E92*F92,2)-H92,ROUND(H92*الإعدادات!$B$5,2)))</f>
        <v>0</v>
      </c>
      <c r="J92" s="20" t="n">
        <f aca="false">H92+I92</f>
        <v>0</v>
      </c>
      <c r="K92" s="14"/>
      <c r="L92" s="21" t="str">
        <f aca="false">IF(AND(B92="",C92="",E92="",F92=""),"",IF(B92="","⚠ اختر العميل",IF(COUNTIF('دليل العملاء'!$B$4:$B$203,B92)=0,"⚠ عميل غير مسجل",IF(C92="","⚠ اختر الصنف",IF(COUNTIF('دليل الأصناف'!$B$4:$B$203,C92)=0,"⚠ صنف غير مسجل",IF(E92="","⚠ أدخل الكمية",IF(F92="","⚠ أدخل السعر",IF(A92="","⚠ أدخل التاريخ","✓ سليم"))))))))</f>
        <v/>
      </c>
    </row>
    <row r="93" customFormat="false" ht="15" hidden="false" customHeight="false" outlineLevel="0" collapsed="false">
      <c r="A93" s="13"/>
      <c r="B93" s="14"/>
      <c r="C93" s="14"/>
      <c r="D93" s="15" t="str">
        <f aca="false">IF(C93="","",IFERROR(INDEX('دليل الأصناف'!$A$4:$A$203,MATCH(C93,'دليل الأصناف'!$B$4:$B$203,0)),"غير مسجل"))</f>
        <v/>
      </c>
      <c r="E93" s="16"/>
      <c r="F93" s="17"/>
      <c r="G93" s="18"/>
      <c r="H93" s="19" t="n">
        <f aca="false">IF(OR(E93="",F93=""),0,IF(G93="شامل الضريبة",ROUND(ROUND(E93*F93,2)/(1+الإعدادات!$B$5),2),ROUND(E93*F93,2)))</f>
        <v>0</v>
      </c>
      <c r="I93" s="19" t="n">
        <f aca="false">IF(OR(E93="",F93=""),0,IF(G93="شامل الضريبة",ROUND(E93*F93,2)-H93,ROUND(H93*الإعدادات!$B$5,2)))</f>
        <v>0</v>
      </c>
      <c r="J93" s="20" t="n">
        <f aca="false">H93+I93</f>
        <v>0</v>
      </c>
      <c r="K93" s="14"/>
      <c r="L93" s="21" t="str">
        <f aca="false">IF(AND(B93="",C93="",E93="",F93=""),"",IF(B93="","⚠ اختر العميل",IF(COUNTIF('دليل العملاء'!$B$4:$B$203,B93)=0,"⚠ عميل غير مسجل",IF(C93="","⚠ اختر الصنف",IF(COUNTIF('دليل الأصناف'!$B$4:$B$203,C93)=0,"⚠ صنف غير مسجل",IF(E93="","⚠ أدخل الكمية",IF(F93="","⚠ أدخل السعر",IF(A93="","⚠ أدخل التاريخ","✓ سليم"))))))))</f>
        <v/>
      </c>
    </row>
    <row r="94" customFormat="false" ht="15" hidden="false" customHeight="false" outlineLevel="0" collapsed="false">
      <c r="A94" s="13"/>
      <c r="B94" s="14"/>
      <c r="C94" s="14"/>
      <c r="D94" s="15" t="str">
        <f aca="false">IF(C94="","",IFERROR(INDEX('دليل الأصناف'!$A$4:$A$203,MATCH(C94,'دليل الأصناف'!$B$4:$B$203,0)),"غير مسجل"))</f>
        <v/>
      </c>
      <c r="E94" s="16"/>
      <c r="F94" s="17"/>
      <c r="G94" s="18"/>
      <c r="H94" s="19" t="n">
        <f aca="false">IF(OR(E94="",F94=""),0,IF(G94="شامل الضريبة",ROUND(ROUND(E94*F94,2)/(1+الإعدادات!$B$5),2),ROUND(E94*F94,2)))</f>
        <v>0</v>
      </c>
      <c r="I94" s="19" t="n">
        <f aca="false">IF(OR(E94="",F94=""),0,IF(G94="شامل الضريبة",ROUND(E94*F94,2)-H94,ROUND(H94*الإعدادات!$B$5,2)))</f>
        <v>0</v>
      </c>
      <c r="J94" s="20" t="n">
        <f aca="false">H94+I94</f>
        <v>0</v>
      </c>
      <c r="K94" s="14"/>
      <c r="L94" s="21" t="str">
        <f aca="false">IF(AND(B94="",C94="",E94="",F94=""),"",IF(B94="","⚠ اختر العميل",IF(COUNTIF('دليل العملاء'!$B$4:$B$203,B94)=0,"⚠ عميل غير مسجل",IF(C94="","⚠ اختر الصنف",IF(COUNTIF('دليل الأصناف'!$B$4:$B$203,C94)=0,"⚠ صنف غير مسجل",IF(E94="","⚠ أدخل الكمية",IF(F94="","⚠ أدخل السعر",IF(A94="","⚠ أدخل التاريخ","✓ سليم"))))))))</f>
        <v/>
      </c>
    </row>
    <row r="95" customFormat="false" ht="15" hidden="false" customHeight="false" outlineLevel="0" collapsed="false">
      <c r="A95" s="13"/>
      <c r="B95" s="14"/>
      <c r="C95" s="14"/>
      <c r="D95" s="15" t="str">
        <f aca="false">IF(C95="","",IFERROR(INDEX('دليل الأصناف'!$A$4:$A$203,MATCH(C95,'دليل الأصناف'!$B$4:$B$203,0)),"غير مسجل"))</f>
        <v/>
      </c>
      <c r="E95" s="16"/>
      <c r="F95" s="17"/>
      <c r="G95" s="18"/>
      <c r="H95" s="19" t="n">
        <f aca="false">IF(OR(E95="",F95=""),0,IF(G95="شامل الضريبة",ROUND(ROUND(E95*F95,2)/(1+الإعدادات!$B$5),2),ROUND(E95*F95,2)))</f>
        <v>0</v>
      </c>
      <c r="I95" s="19" t="n">
        <f aca="false">IF(OR(E95="",F95=""),0,IF(G95="شامل الضريبة",ROUND(E95*F95,2)-H95,ROUND(H95*الإعدادات!$B$5,2)))</f>
        <v>0</v>
      </c>
      <c r="J95" s="20" t="n">
        <f aca="false">H95+I95</f>
        <v>0</v>
      </c>
      <c r="K95" s="14"/>
      <c r="L95" s="21" t="str">
        <f aca="false">IF(AND(B95="",C95="",E95="",F95=""),"",IF(B95="","⚠ اختر العميل",IF(COUNTIF('دليل العملاء'!$B$4:$B$203,B95)=0,"⚠ عميل غير مسجل",IF(C95="","⚠ اختر الصنف",IF(COUNTIF('دليل الأصناف'!$B$4:$B$203,C95)=0,"⚠ صنف غير مسجل",IF(E95="","⚠ أدخل الكمية",IF(F95="","⚠ أدخل السعر",IF(A95="","⚠ أدخل التاريخ","✓ سليم"))))))))</f>
        <v/>
      </c>
    </row>
    <row r="96" customFormat="false" ht="15" hidden="false" customHeight="false" outlineLevel="0" collapsed="false">
      <c r="A96" s="13"/>
      <c r="B96" s="14"/>
      <c r="C96" s="14"/>
      <c r="D96" s="15" t="str">
        <f aca="false">IF(C96="","",IFERROR(INDEX('دليل الأصناف'!$A$4:$A$203,MATCH(C96,'دليل الأصناف'!$B$4:$B$203,0)),"غير مسجل"))</f>
        <v/>
      </c>
      <c r="E96" s="16"/>
      <c r="F96" s="17"/>
      <c r="G96" s="18"/>
      <c r="H96" s="19" t="n">
        <f aca="false">IF(OR(E96="",F96=""),0,IF(G96="شامل الضريبة",ROUND(ROUND(E96*F96,2)/(1+الإعدادات!$B$5),2),ROUND(E96*F96,2)))</f>
        <v>0</v>
      </c>
      <c r="I96" s="19" t="n">
        <f aca="false">IF(OR(E96="",F96=""),0,IF(G96="شامل الضريبة",ROUND(E96*F96,2)-H96,ROUND(H96*الإعدادات!$B$5,2)))</f>
        <v>0</v>
      </c>
      <c r="J96" s="20" t="n">
        <f aca="false">H96+I96</f>
        <v>0</v>
      </c>
      <c r="K96" s="14"/>
      <c r="L96" s="21" t="str">
        <f aca="false">IF(AND(B96="",C96="",E96="",F96=""),"",IF(B96="","⚠ اختر العميل",IF(COUNTIF('دليل العملاء'!$B$4:$B$203,B96)=0,"⚠ عميل غير مسجل",IF(C96="","⚠ اختر الصنف",IF(COUNTIF('دليل الأصناف'!$B$4:$B$203,C96)=0,"⚠ صنف غير مسجل",IF(E96="","⚠ أدخل الكمية",IF(F96="","⚠ أدخل السعر",IF(A96="","⚠ أدخل التاريخ","✓ سليم"))))))))</f>
        <v/>
      </c>
    </row>
    <row r="97" customFormat="false" ht="15" hidden="false" customHeight="false" outlineLevel="0" collapsed="false">
      <c r="A97" s="13"/>
      <c r="B97" s="14"/>
      <c r="C97" s="14"/>
      <c r="D97" s="15" t="str">
        <f aca="false">IF(C97="","",IFERROR(INDEX('دليل الأصناف'!$A$4:$A$203,MATCH(C97,'دليل الأصناف'!$B$4:$B$203,0)),"غير مسجل"))</f>
        <v/>
      </c>
      <c r="E97" s="16"/>
      <c r="F97" s="17"/>
      <c r="G97" s="18"/>
      <c r="H97" s="19" t="n">
        <f aca="false">IF(OR(E97="",F97=""),0,IF(G97="شامل الضريبة",ROUND(ROUND(E97*F97,2)/(1+الإعدادات!$B$5),2),ROUND(E97*F97,2)))</f>
        <v>0</v>
      </c>
      <c r="I97" s="19" t="n">
        <f aca="false">IF(OR(E97="",F97=""),0,IF(G97="شامل الضريبة",ROUND(E97*F97,2)-H97,ROUND(H97*الإعدادات!$B$5,2)))</f>
        <v>0</v>
      </c>
      <c r="J97" s="20" t="n">
        <f aca="false">H97+I97</f>
        <v>0</v>
      </c>
      <c r="K97" s="14"/>
      <c r="L97" s="21" t="str">
        <f aca="false">IF(AND(B97="",C97="",E97="",F97=""),"",IF(B97="","⚠ اختر العميل",IF(COUNTIF('دليل العملاء'!$B$4:$B$203,B97)=0,"⚠ عميل غير مسجل",IF(C97="","⚠ اختر الصنف",IF(COUNTIF('دليل الأصناف'!$B$4:$B$203,C97)=0,"⚠ صنف غير مسجل",IF(E97="","⚠ أدخل الكمية",IF(F97="","⚠ أدخل السعر",IF(A97="","⚠ أدخل التاريخ","✓ سليم"))))))))</f>
        <v/>
      </c>
    </row>
    <row r="98" customFormat="false" ht="15" hidden="false" customHeight="false" outlineLevel="0" collapsed="false">
      <c r="A98" s="13"/>
      <c r="B98" s="14"/>
      <c r="C98" s="14"/>
      <c r="D98" s="15" t="str">
        <f aca="false">IF(C98="","",IFERROR(INDEX('دليل الأصناف'!$A$4:$A$203,MATCH(C98,'دليل الأصناف'!$B$4:$B$203,0)),"غير مسجل"))</f>
        <v/>
      </c>
      <c r="E98" s="16"/>
      <c r="F98" s="17"/>
      <c r="G98" s="18"/>
      <c r="H98" s="19" t="n">
        <f aca="false">IF(OR(E98="",F98=""),0,IF(G98="شامل الضريبة",ROUND(ROUND(E98*F98,2)/(1+الإعدادات!$B$5),2),ROUND(E98*F98,2)))</f>
        <v>0</v>
      </c>
      <c r="I98" s="19" t="n">
        <f aca="false">IF(OR(E98="",F98=""),0,IF(G98="شامل الضريبة",ROUND(E98*F98,2)-H98,ROUND(H98*الإعدادات!$B$5,2)))</f>
        <v>0</v>
      </c>
      <c r="J98" s="20" t="n">
        <f aca="false">H98+I98</f>
        <v>0</v>
      </c>
      <c r="K98" s="14"/>
      <c r="L98" s="21" t="str">
        <f aca="false">IF(AND(B98="",C98="",E98="",F98=""),"",IF(B98="","⚠ اختر العميل",IF(COUNTIF('دليل العملاء'!$B$4:$B$203,B98)=0,"⚠ عميل غير مسجل",IF(C98="","⚠ اختر الصنف",IF(COUNTIF('دليل الأصناف'!$B$4:$B$203,C98)=0,"⚠ صنف غير مسجل",IF(E98="","⚠ أدخل الكمية",IF(F98="","⚠ أدخل السعر",IF(A98="","⚠ أدخل التاريخ","✓ سليم"))))))))</f>
        <v/>
      </c>
    </row>
    <row r="99" customFormat="false" ht="15" hidden="false" customHeight="false" outlineLevel="0" collapsed="false">
      <c r="A99" s="13"/>
      <c r="B99" s="14"/>
      <c r="C99" s="14"/>
      <c r="D99" s="15" t="str">
        <f aca="false">IF(C99="","",IFERROR(INDEX('دليل الأصناف'!$A$4:$A$203,MATCH(C99,'دليل الأصناف'!$B$4:$B$203,0)),"غير مسجل"))</f>
        <v/>
      </c>
      <c r="E99" s="16"/>
      <c r="F99" s="17"/>
      <c r="G99" s="18"/>
      <c r="H99" s="19" t="n">
        <f aca="false">IF(OR(E99="",F99=""),0,IF(G99="شامل الضريبة",ROUND(ROUND(E99*F99,2)/(1+الإعدادات!$B$5),2),ROUND(E99*F99,2)))</f>
        <v>0</v>
      </c>
      <c r="I99" s="19" t="n">
        <f aca="false">IF(OR(E99="",F99=""),0,IF(G99="شامل الضريبة",ROUND(E99*F99,2)-H99,ROUND(H99*الإعدادات!$B$5,2)))</f>
        <v>0</v>
      </c>
      <c r="J99" s="20" t="n">
        <f aca="false">H99+I99</f>
        <v>0</v>
      </c>
      <c r="K99" s="14"/>
      <c r="L99" s="21" t="str">
        <f aca="false">IF(AND(B99="",C99="",E99="",F99=""),"",IF(B99="","⚠ اختر العميل",IF(COUNTIF('دليل العملاء'!$B$4:$B$203,B99)=0,"⚠ عميل غير مسجل",IF(C99="","⚠ اختر الصنف",IF(COUNTIF('دليل الأصناف'!$B$4:$B$203,C99)=0,"⚠ صنف غير مسجل",IF(E99="","⚠ أدخل الكمية",IF(F99="","⚠ أدخل السعر",IF(A99="","⚠ أدخل التاريخ","✓ سليم"))))))))</f>
        <v/>
      </c>
    </row>
    <row r="100" customFormat="false" ht="15" hidden="false" customHeight="false" outlineLevel="0" collapsed="false">
      <c r="A100" s="13"/>
      <c r="B100" s="14"/>
      <c r="C100" s="14"/>
      <c r="D100" s="15" t="str">
        <f aca="false">IF(C100="","",IFERROR(INDEX('دليل الأصناف'!$A$4:$A$203,MATCH(C100,'دليل الأصناف'!$B$4:$B$203,0)),"غير مسجل"))</f>
        <v/>
      </c>
      <c r="E100" s="16"/>
      <c r="F100" s="17"/>
      <c r="G100" s="18"/>
      <c r="H100" s="19" t="n">
        <f aca="false">IF(OR(E100="",F100=""),0,IF(G100="شامل الضريبة",ROUND(ROUND(E100*F100,2)/(1+الإعدادات!$B$5),2),ROUND(E100*F100,2)))</f>
        <v>0</v>
      </c>
      <c r="I100" s="19" t="n">
        <f aca="false">IF(OR(E100="",F100=""),0,IF(G100="شامل الضريبة",ROUND(E100*F100,2)-H100,ROUND(H100*الإعدادات!$B$5,2)))</f>
        <v>0</v>
      </c>
      <c r="J100" s="20" t="n">
        <f aca="false">H100+I100</f>
        <v>0</v>
      </c>
      <c r="K100" s="14"/>
      <c r="L100" s="21" t="str">
        <f aca="false">IF(AND(B100="",C100="",E100="",F100=""),"",IF(B100="","⚠ اختر العميل",IF(COUNTIF('دليل العملاء'!$B$4:$B$203,B100)=0,"⚠ عميل غير مسجل",IF(C100="","⚠ اختر الصنف",IF(COUNTIF('دليل الأصناف'!$B$4:$B$203,C100)=0,"⚠ صنف غير مسجل",IF(E100="","⚠ أدخل الكمية",IF(F100="","⚠ أدخل السعر",IF(A100="","⚠ أدخل التاريخ","✓ سليم"))))))))</f>
        <v/>
      </c>
    </row>
    <row r="101" customFormat="false" ht="15" hidden="false" customHeight="false" outlineLevel="0" collapsed="false">
      <c r="A101" s="13"/>
      <c r="B101" s="14"/>
      <c r="C101" s="14"/>
      <c r="D101" s="15" t="str">
        <f aca="false">IF(C101="","",IFERROR(INDEX('دليل الأصناف'!$A$4:$A$203,MATCH(C101,'دليل الأصناف'!$B$4:$B$203,0)),"غير مسجل"))</f>
        <v/>
      </c>
      <c r="E101" s="16"/>
      <c r="F101" s="17"/>
      <c r="G101" s="18"/>
      <c r="H101" s="19" t="n">
        <f aca="false">IF(OR(E101="",F101=""),0,IF(G101="شامل الضريبة",ROUND(ROUND(E101*F101,2)/(1+الإعدادات!$B$5),2),ROUND(E101*F101,2)))</f>
        <v>0</v>
      </c>
      <c r="I101" s="19" t="n">
        <f aca="false">IF(OR(E101="",F101=""),0,IF(G101="شامل الضريبة",ROUND(E101*F101,2)-H101,ROUND(H101*الإعدادات!$B$5,2)))</f>
        <v>0</v>
      </c>
      <c r="J101" s="20" t="n">
        <f aca="false">H101+I101</f>
        <v>0</v>
      </c>
      <c r="K101" s="14"/>
      <c r="L101" s="21" t="str">
        <f aca="false">IF(AND(B101="",C101="",E101="",F101=""),"",IF(B101="","⚠ اختر العميل",IF(COUNTIF('دليل العملاء'!$B$4:$B$203,B101)=0,"⚠ عميل غير مسجل",IF(C101="","⚠ اختر الصنف",IF(COUNTIF('دليل الأصناف'!$B$4:$B$203,C101)=0,"⚠ صنف غير مسجل",IF(E101="","⚠ أدخل الكمية",IF(F101="","⚠ أدخل السعر",IF(A101="","⚠ أدخل التاريخ","✓ سليم"))))))))</f>
        <v/>
      </c>
    </row>
    <row r="102" customFormat="false" ht="15" hidden="false" customHeight="false" outlineLevel="0" collapsed="false">
      <c r="A102" s="13"/>
      <c r="B102" s="14"/>
      <c r="C102" s="14"/>
      <c r="D102" s="15" t="str">
        <f aca="false">IF(C102="","",IFERROR(INDEX('دليل الأصناف'!$A$4:$A$203,MATCH(C102,'دليل الأصناف'!$B$4:$B$203,0)),"غير مسجل"))</f>
        <v/>
      </c>
      <c r="E102" s="16"/>
      <c r="F102" s="17"/>
      <c r="G102" s="18"/>
      <c r="H102" s="19" t="n">
        <f aca="false">IF(OR(E102="",F102=""),0,IF(G102="شامل الضريبة",ROUND(ROUND(E102*F102,2)/(1+الإعدادات!$B$5),2),ROUND(E102*F102,2)))</f>
        <v>0</v>
      </c>
      <c r="I102" s="19" t="n">
        <f aca="false">IF(OR(E102="",F102=""),0,IF(G102="شامل الضريبة",ROUND(E102*F102,2)-H102,ROUND(H102*الإعدادات!$B$5,2)))</f>
        <v>0</v>
      </c>
      <c r="J102" s="20" t="n">
        <f aca="false">H102+I102</f>
        <v>0</v>
      </c>
      <c r="K102" s="14"/>
      <c r="L102" s="21" t="str">
        <f aca="false">IF(AND(B102="",C102="",E102="",F102=""),"",IF(B102="","⚠ اختر العميل",IF(COUNTIF('دليل العملاء'!$B$4:$B$203,B102)=0,"⚠ عميل غير مسجل",IF(C102="","⚠ اختر الصنف",IF(COUNTIF('دليل الأصناف'!$B$4:$B$203,C102)=0,"⚠ صنف غير مسجل",IF(E102="","⚠ أدخل الكمية",IF(F102="","⚠ أدخل السعر",IF(A102="","⚠ أدخل التاريخ","✓ سليم"))))))))</f>
        <v/>
      </c>
    </row>
    <row r="103" customFormat="false" ht="15" hidden="false" customHeight="false" outlineLevel="0" collapsed="false">
      <c r="A103" s="13"/>
      <c r="B103" s="14"/>
      <c r="C103" s="14"/>
      <c r="D103" s="15" t="str">
        <f aca="false">IF(C103="","",IFERROR(INDEX('دليل الأصناف'!$A$4:$A$203,MATCH(C103,'دليل الأصناف'!$B$4:$B$203,0)),"غير مسجل"))</f>
        <v/>
      </c>
      <c r="E103" s="16"/>
      <c r="F103" s="17"/>
      <c r="G103" s="18"/>
      <c r="H103" s="19" t="n">
        <f aca="false">IF(OR(E103="",F103=""),0,IF(G103="شامل الضريبة",ROUND(ROUND(E103*F103,2)/(1+الإعدادات!$B$5),2),ROUND(E103*F103,2)))</f>
        <v>0</v>
      </c>
      <c r="I103" s="19" t="n">
        <f aca="false">IF(OR(E103="",F103=""),0,IF(G103="شامل الضريبة",ROUND(E103*F103,2)-H103,ROUND(H103*الإعدادات!$B$5,2)))</f>
        <v>0</v>
      </c>
      <c r="J103" s="20" t="n">
        <f aca="false">H103+I103</f>
        <v>0</v>
      </c>
      <c r="K103" s="14"/>
      <c r="L103" s="21" t="str">
        <f aca="false">IF(AND(B103="",C103="",E103="",F103=""),"",IF(B103="","⚠ اختر العميل",IF(COUNTIF('دليل العملاء'!$B$4:$B$203,B103)=0,"⚠ عميل غير مسجل",IF(C103="","⚠ اختر الصنف",IF(COUNTIF('دليل الأصناف'!$B$4:$B$203,C103)=0,"⚠ صنف غير مسجل",IF(E103="","⚠ أدخل الكمية",IF(F103="","⚠ أدخل السعر",IF(A103="","⚠ أدخل التاريخ","✓ سليم"))))))))</f>
        <v/>
      </c>
    </row>
    <row r="104" customFormat="false" ht="15" hidden="false" customHeight="false" outlineLevel="0" collapsed="false">
      <c r="A104" s="13"/>
      <c r="B104" s="14"/>
      <c r="C104" s="14"/>
      <c r="D104" s="15" t="str">
        <f aca="false">IF(C104="","",IFERROR(INDEX('دليل الأصناف'!$A$4:$A$203,MATCH(C104,'دليل الأصناف'!$B$4:$B$203,0)),"غير مسجل"))</f>
        <v/>
      </c>
      <c r="E104" s="16"/>
      <c r="F104" s="17"/>
      <c r="G104" s="18"/>
      <c r="H104" s="19" t="n">
        <f aca="false">IF(OR(E104="",F104=""),0,IF(G104="شامل الضريبة",ROUND(ROUND(E104*F104,2)/(1+الإعدادات!$B$5),2),ROUND(E104*F104,2)))</f>
        <v>0</v>
      </c>
      <c r="I104" s="19" t="n">
        <f aca="false">IF(OR(E104="",F104=""),0,IF(G104="شامل الضريبة",ROUND(E104*F104,2)-H104,ROUND(H104*الإعدادات!$B$5,2)))</f>
        <v>0</v>
      </c>
      <c r="J104" s="20" t="n">
        <f aca="false">H104+I104</f>
        <v>0</v>
      </c>
      <c r="K104" s="14"/>
      <c r="L104" s="21" t="str">
        <f aca="false">IF(AND(B104="",C104="",E104="",F104=""),"",IF(B104="","⚠ اختر العميل",IF(COUNTIF('دليل العملاء'!$B$4:$B$203,B104)=0,"⚠ عميل غير مسجل",IF(C104="","⚠ اختر الصنف",IF(COUNTIF('دليل الأصناف'!$B$4:$B$203,C104)=0,"⚠ صنف غير مسجل",IF(E104="","⚠ أدخل الكمية",IF(F104="","⚠ أدخل السعر",IF(A104="","⚠ أدخل التاريخ","✓ سليم"))))))))</f>
        <v/>
      </c>
    </row>
    <row r="105" customFormat="false" ht="15" hidden="false" customHeight="false" outlineLevel="0" collapsed="false">
      <c r="A105" s="13"/>
      <c r="B105" s="14"/>
      <c r="C105" s="14"/>
      <c r="D105" s="15" t="str">
        <f aca="false">IF(C105="","",IFERROR(INDEX('دليل الأصناف'!$A$4:$A$203,MATCH(C105,'دليل الأصناف'!$B$4:$B$203,0)),"غير مسجل"))</f>
        <v/>
      </c>
      <c r="E105" s="16"/>
      <c r="F105" s="17"/>
      <c r="G105" s="18"/>
      <c r="H105" s="19" t="n">
        <f aca="false">IF(OR(E105="",F105=""),0,IF(G105="شامل الضريبة",ROUND(ROUND(E105*F105,2)/(1+الإعدادات!$B$5),2),ROUND(E105*F105,2)))</f>
        <v>0</v>
      </c>
      <c r="I105" s="19" t="n">
        <f aca="false">IF(OR(E105="",F105=""),0,IF(G105="شامل الضريبة",ROUND(E105*F105,2)-H105,ROUND(H105*الإعدادات!$B$5,2)))</f>
        <v>0</v>
      </c>
      <c r="J105" s="20" t="n">
        <f aca="false">H105+I105</f>
        <v>0</v>
      </c>
      <c r="K105" s="14"/>
      <c r="L105" s="21" t="str">
        <f aca="false">IF(AND(B105="",C105="",E105="",F105=""),"",IF(B105="","⚠ اختر العميل",IF(COUNTIF('دليل العملاء'!$B$4:$B$203,B105)=0,"⚠ عميل غير مسجل",IF(C105="","⚠ اختر الصنف",IF(COUNTIF('دليل الأصناف'!$B$4:$B$203,C105)=0,"⚠ صنف غير مسجل",IF(E105="","⚠ أدخل الكمية",IF(F105="","⚠ أدخل السعر",IF(A105="","⚠ أدخل التاريخ","✓ سليم"))))))))</f>
        <v/>
      </c>
    </row>
    <row r="106" customFormat="false" ht="15" hidden="false" customHeight="false" outlineLevel="0" collapsed="false">
      <c r="A106" s="13"/>
      <c r="B106" s="14"/>
      <c r="C106" s="14"/>
      <c r="D106" s="15" t="str">
        <f aca="false">IF(C106="","",IFERROR(INDEX('دليل الأصناف'!$A$4:$A$203,MATCH(C106,'دليل الأصناف'!$B$4:$B$203,0)),"غير مسجل"))</f>
        <v/>
      </c>
      <c r="E106" s="16"/>
      <c r="F106" s="17"/>
      <c r="G106" s="18"/>
      <c r="H106" s="19" t="n">
        <f aca="false">IF(OR(E106="",F106=""),0,IF(G106="شامل الضريبة",ROUND(ROUND(E106*F106,2)/(1+الإعدادات!$B$5),2),ROUND(E106*F106,2)))</f>
        <v>0</v>
      </c>
      <c r="I106" s="19" t="n">
        <f aca="false">IF(OR(E106="",F106=""),0,IF(G106="شامل الضريبة",ROUND(E106*F106,2)-H106,ROUND(H106*الإعدادات!$B$5,2)))</f>
        <v>0</v>
      </c>
      <c r="J106" s="20" t="n">
        <f aca="false">H106+I106</f>
        <v>0</v>
      </c>
      <c r="K106" s="14"/>
      <c r="L106" s="21" t="str">
        <f aca="false">IF(AND(B106="",C106="",E106="",F106=""),"",IF(B106="","⚠ اختر العميل",IF(COUNTIF('دليل العملاء'!$B$4:$B$203,B106)=0,"⚠ عميل غير مسجل",IF(C106="","⚠ اختر الصنف",IF(COUNTIF('دليل الأصناف'!$B$4:$B$203,C106)=0,"⚠ صنف غير مسجل",IF(E106="","⚠ أدخل الكمية",IF(F106="","⚠ أدخل السعر",IF(A106="","⚠ أدخل التاريخ","✓ سليم"))))))))</f>
        <v/>
      </c>
    </row>
    <row r="107" customFormat="false" ht="15" hidden="false" customHeight="false" outlineLevel="0" collapsed="false">
      <c r="A107" s="13"/>
      <c r="B107" s="14"/>
      <c r="C107" s="14"/>
      <c r="D107" s="15" t="str">
        <f aca="false">IF(C107="","",IFERROR(INDEX('دليل الأصناف'!$A$4:$A$203,MATCH(C107,'دليل الأصناف'!$B$4:$B$203,0)),"غير مسجل"))</f>
        <v/>
      </c>
      <c r="E107" s="16"/>
      <c r="F107" s="17"/>
      <c r="G107" s="18"/>
      <c r="H107" s="19" t="n">
        <f aca="false">IF(OR(E107="",F107=""),0,IF(G107="شامل الضريبة",ROUND(ROUND(E107*F107,2)/(1+الإعدادات!$B$5),2),ROUND(E107*F107,2)))</f>
        <v>0</v>
      </c>
      <c r="I107" s="19" t="n">
        <f aca="false">IF(OR(E107="",F107=""),0,IF(G107="شامل الضريبة",ROUND(E107*F107,2)-H107,ROUND(H107*الإعدادات!$B$5,2)))</f>
        <v>0</v>
      </c>
      <c r="J107" s="20" t="n">
        <f aca="false">H107+I107</f>
        <v>0</v>
      </c>
      <c r="K107" s="14"/>
      <c r="L107" s="21" t="str">
        <f aca="false">IF(AND(B107="",C107="",E107="",F107=""),"",IF(B107="","⚠ اختر العميل",IF(COUNTIF('دليل العملاء'!$B$4:$B$203,B107)=0,"⚠ عميل غير مسجل",IF(C107="","⚠ اختر الصنف",IF(COUNTIF('دليل الأصناف'!$B$4:$B$203,C107)=0,"⚠ صنف غير مسجل",IF(E107="","⚠ أدخل الكمية",IF(F107="","⚠ أدخل السعر",IF(A107="","⚠ أدخل التاريخ","✓ سليم"))))))))</f>
        <v/>
      </c>
    </row>
    <row r="108" customFormat="false" ht="15" hidden="false" customHeight="false" outlineLevel="0" collapsed="false">
      <c r="A108" s="13"/>
      <c r="B108" s="14"/>
      <c r="C108" s="14"/>
      <c r="D108" s="15" t="str">
        <f aca="false">IF(C108="","",IFERROR(INDEX('دليل الأصناف'!$A$4:$A$203,MATCH(C108,'دليل الأصناف'!$B$4:$B$203,0)),"غير مسجل"))</f>
        <v/>
      </c>
      <c r="E108" s="16"/>
      <c r="F108" s="17"/>
      <c r="G108" s="18"/>
      <c r="H108" s="19" t="n">
        <f aca="false">IF(OR(E108="",F108=""),0,IF(G108="شامل الضريبة",ROUND(ROUND(E108*F108,2)/(1+الإعدادات!$B$5),2),ROUND(E108*F108,2)))</f>
        <v>0</v>
      </c>
      <c r="I108" s="19" t="n">
        <f aca="false">IF(OR(E108="",F108=""),0,IF(G108="شامل الضريبة",ROUND(E108*F108,2)-H108,ROUND(H108*الإعدادات!$B$5,2)))</f>
        <v>0</v>
      </c>
      <c r="J108" s="20" t="n">
        <f aca="false">H108+I108</f>
        <v>0</v>
      </c>
      <c r="K108" s="14"/>
      <c r="L108" s="21" t="str">
        <f aca="false">IF(AND(B108="",C108="",E108="",F108=""),"",IF(B108="","⚠ اختر العميل",IF(COUNTIF('دليل العملاء'!$B$4:$B$203,B108)=0,"⚠ عميل غير مسجل",IF(C108="","⚠ اختر الصنف",IF(COUNTIF('دليل الأصناف'!$B$4:$B$203,C108)=0,"⚠ صنف غير مسجل",IF(E108="","⚠ أدخل الكمية",IF(F108="","⚠ أدخل السعر",IF(A108="","⚠ أدخل التاريخ","✓ سليم"))))))))</f>
        <v/>
      </c>
    </row>
    <row r="109" customFormat="false" ht="15" hidden="false" customHeight="false" outlineLevel="0" collapsed="false">
      <c r="A109" s="13"/>
      <c r="B109" s="14"/>
      <c r="C109" s="14"/>
      <c r="D109" s="15" t="str">
        <f aca="false">IF(C109="","",IFERROR(INDEX('دليل الأصناف'!$A$4:$A$203,MATCH(C109,'دليل الأصناف'!$B$4:$B$203,0)),"غير مسجل"))</f>
        <v/>
      </c>
      <c r="E109" s="16"/>
      <c r="F109" s="17"/>
      <c r="G109" s="18"/>
      <c r="H109" s="19" t="n">
        <f aca="false">IF(OR(E109="",F109=""),0,IF(G109="شامل الضريبة",ROUND(ROUND(E109*F109,2)/(1+الإعدادات!$B$5),2),ROUND(E109*F109,2)))</f>
        <v>0</v>
      </c>
      <c r="I109" s="19" t="n">
        <f aca="false">IF(OR(E109="",F109=""),0,IF(G109="شامل الضريبة",ROUND(E109*F109,2)-H109,ROUND(H109*الإعدادات!$B$5,2)))</f>
        <v>0</v>
      </c>
      <c r="J109" s="20" t="n">
        <f aca="false">H109+I109</f>
        <v>0</v>
      </c>
      <c r="K109" s="14"/>
      <c r="L109" s="21" t="str">
        <f aca="false">IF(AND(B109="",C109="",E109="",F109=""),"",IF(B109="","⚠ اختر العميل",IF(COUNTIF('دليل العملاء'!$B$4:$B$203,B109)=0,"⚠ عميل غير مسجل",IF(C109="","⚠ اختر الصنف",IF(COUNTIF('دليل الأصناف'!$B$4:$B$203,C109)=0,"⚠ صنف غير مسجل",IF(E109="","⚠ أدخل الكمية",IF(F109="","⚠ أدخل السعر",IF(A109="","⚠ أدخل التاريخ","✓ سليم"))))))))</f>
        <v/>
      </c>
    </row>
    <row r="110" customFormat="false" ht="15" hidden="false" customHeight="false" outlineLevel="0" collapsed="false">
      <c r="A110" s="13"/>
      <c r="B110" s="14"/>
      <c r="C110" s="14"/>
      <c r="D110" s="15" t="str">
        <f aca="false">IF(C110="","",IFERROR(INDEX('دليل الأصناف'!$A$4:$A$203,MATCH(C110,'دليل الأصناف'!$B$4:$B$203,0)),"غير مسجل"))</f>
        <v/>
      </c>
      <c r="E110" s="16"/>
      <c r="F110" s="17"/>
      <c r="G110" s="18"/>
      <c r="H110" s="19" t="n">
        <f aca="false">IF(OR(E110="",F110=""),0,IF(G110="شامل الضريبة",ROUND(ROUND(E110*F110,2)/(1+الإعدادات!$B$5),2),ROUND(E110*F110,2)))</f>
        <v>0</v>
      </c>
      <c r="I110" s="19" t="n">
        <f aca="false">IF(OR(E110="",F110=""),0,IF(G110="شامل الضريبة",ROUND(E110*F110,2)-H110,ROUND(H110*الإعدادات!$B$5,2)))</f>
        <v>0</v>
      </c>
      <c r="J110" s="20" t="n">
        <f aca="false">H110+I110</f>
        <v>0</v>
      </c>
      <c r="K110" s="14"/>
      <c r="L110" s="21" t="str">
        <f aca="false">IF(AND(B110="",C110="",E110="",F110=""),"",IF(B110="","⚠ اختر العميل",IF(COUNTIF('دليل العملاء'!$B$4:$B$203,B110)=0,"⚠ عميل غير مسجل",IF(C110="","⚠ اختر الصنف",IF(COUNTIF('دليل الأصناف'!$B$4:$B$203,C110)=0,"⚠ صنف غير مسجل",IF(E110="","⚠ أدخل الكمية",IF(F110="","⚠ أدخل السعر",IF(A110="","⚠ أدخل التاريخ","✓ سليم"))))))))</f>
        <v/>
      </c>
    </row>
    <row r="111" customFormat="false" ht="15" hidden="false" customHeight="false" outlineLevel="0" collapsed="false">
      <c r="A111" s="13"/>
      <c r="B111" s="14"/>
      <c r="C111" s="14"/>
      <c r="D111" s="15" t="str">
        <f aca="false">IF(C111="","",IFERROR(INDEX('دليل الأصناف'!$A$4:$A$203,MATCH(C111,'دليل الأصناف'!$B$4:$B$203,0)),"غير مسجل"))</f>
        <v/>
      </c>
      <c r="E111" s="16"/>
      <c r="F111" s="17"/>
      <c r="G111" s="18"/>
      <c r="H111" s="19" t="n">
        <f aca="false">IF(OR(E111="",F111=""),0,IF(G111="شامل الضريبة",ROUND(ROUND(E111*F111,2)/(1+الإعدادات!$B$5),2),ROUND(E111*F111,2)))</f>
        <v>0</v>
      </c>
      <c r="I111" s="19" t="n">
        <f aca="false">IF(OR(E111="",F111=""),0,IF(G111="شامل الضريبة",ROUND(E111*F111,2)-H111,ROUND(H111*الإعدادات!$B$5,2)))</f>
        <v>0</v>
      </c>
      <c r="J111" s="20" t="n">
        <f aca="false">H111+I111</f>
        <v>0</v>
      </c>
      <c r="K111" s="14"/>
      <c r="L111" s="21" t="str">
        <f aca="false">IF(AND(B111="",C111="",E111="",F111=""),"",IF(B111="","⚠ اختر العميل",IF(COUNTIF('دليل العملاء'!$B$4:$B$203,B111)=0,"⚠ عميل غير مسجل",IF(C111="","⚠ اختر الصنف",IF(COUNTIF('دليل الأصناف'!$B$4:$B$203,C111)=0,"⚠ صنف غير مسجل",IF(E111="","⚠ أدخل الكمية",IF(F111="","⚠ أدخل السعر",IF(A111="","⚠ أدخل التاريخ","✓ سليم"))))))))</f>
        <v/>
      </c>
    </row>
    <row r="112" customFormat="false" ht="15" hidden="false" customHeight="false" outlineLevel="0" collapsed="false">
      <c r="A112" s="13"/>
      <c r="B112" s="14"/>
      <c r="C112" s="14"/>
      <c r="D112" s="15" t="str">
        <f aca="false">IF(C112="","",IFERROR(INDEX('دليل الأصناف'!$A$4:$A$203,MATCH(C112,'دليل الأصناف'!$B$4:$B$203,0)),"غير مسجل"))</f>
        <v/>
      </c>
      <c r="E112" s="16"/>
      <c r="F112" s="17"/>
      <c r="G112" s="18"/>
      <c r="H112" s="19" t="n">
        <f aca="false">IF(OR(E112="",F112=""),0,IF(G112="شامل الضريبة",ROUND(ROUND(E112*F112,2)/(1+الإعدادات!$B$5),2),ROUND(E112*F112,2)))</f>
        <v>0</v>
      </c>
      <c r="I112" s="19" t="n">
        <f aca="false">IF(OR(E112="",F112=""),0,IF(G112="شامل الضريبة",ROUND(E112*F112,2)-H112,ROUND(H112*الإعدادات!$B$5,2)))</f>
        <v>0</v>
      </c>
      <c r="J112" s="20" t="n">
        <f aca="false">H112+I112</f>
        <v>0</v>
      </c>
      <c r="K112" s="14"/>
      <c r="L112" s="21" t="str">
        <f aca="false">IF(AND(B112="",C112="",E112="",F112=""),"",IF(B112="","⚠ اختر العميل",IF(COUNTIF('دليل العملاء'!$B$4:$B$203,B112)=0,"⚠ عميل غير مسجل",IF(C112="","⚠ اختر الصنف",IF(COUNTIF('دليل الأصناف'!$B$4:$B$203,C112)=0,"⚠ صنف غير مسجل",IF(E112="","⚠ أدخل الكمية",IF(F112="","⚠ أدخل السعر",IF(A112="","⚠ أدخل التاريخ","✓ سليم"))))))))</f>
        <v/>
      </c>
    </row>
    <row r="113" customFormat="false" ht="15" hidden="false" customHeight="false" outlineLevel="0" collapsed="false">
      <c r="A113" s="13"/>
      <c r="B113" s="14"/>
      <c r="C113" s="14"/>
      <c r="D113" s="15" t="str">
        <f aca="false">IF(C113="","",IFERROR(INDEX('دليل الأصناف'!$A$4:$A$203,MATCH(C113,'دليل الأصناف'!$B$4:$B$203,0)),"غير مسجل"))</f>
        <v/>
      </c>
      <c r="E113" s="16"/>
      <c r="F113" s="17"/>
      <c r="G113" s="18"/>
      <c r="H113" s="19" t="n">
        <f aca="false">IF(OR(E113="",F113=""),0,IF(G113="شامل الضريبة",ROUND(ROUND(E113*F113,2)/(1+الإعدادات!$B$5),2),ROUND(E113*F113,2)))</f>
        <v>0</v>
      </c>
      <c r="I113" s="19" t="n">
        <f aca="false">IF(OR(E113="",F113=""),0,IF(G113="شامل الضريبة",ROUND(E113*F113,2)-H113,ROUND(H113*الإعدادات!$B$5,2)))</f>
        <v>0</v>
      </c>
      <c r="J113" s="20" t="n">
        <f aca="false">H113+I113</f>
        <v>0</v>
      </c>
      <c r="K113" s="14"/>
      <c r="L113" s="21" t="str">
        <f aca="false">IF(AND(B113="",C113="",E113="",F113=""),"",IF(B113="","⚠ اختر العميل",IF(COUNTIF('دليل العملاء'!$B$4:$B$203,B113)=0,"⚠ عميل غير مسجل",IF(C113="","⚠ اختر الصنف",IF(COUNTIF('دليل الأصناف'!$B$4:$B$203,C113)=0,"⚠ صنف غير مسجل",IF(E113="","⚠ أدخل الكمية",IF(F113="","⚠ أدخل السعر",IF(A113="","⚠ أدخل التاريخ","✓ سليم"))))))))</f>
        <v/>
      </c>
    </row>
    <row r="114" customFormat="false" ht="15" hidden="false" customHeight="false" outlineLevel="0" collapsed="false">
      <c r="A114" s="13"/>
      <c r="B114" s="14"/>
      <c r="C114" s="14"/>
      <c r="D114" s="15" t="str">
        <f aca="false">IF(C114="","",IFERROR(INDEX('دليل الأصناف'!$A$4:$A$203,MATCH(C114,'دليل الأصناف'!$B$4:$B$203,0)),"غير مسجل"))</f>
        <v/>
      </c>
      <c r="E114" s="16"/>
      <c r="F114" s="17"/>
      <c r="G114" s="18"/>
      <c r="H114" s="19" t="n">
        <f aca="false">IF(OR(E114="",F114=""),0,IF(G114="شامل الضريبة",ROUND(ROUND(E114*F114,2)/(1+الإعدادات!$B$5),2),ROUND(E114*F114,2)))</f>
        <v>0</v>
      </c>
      <c r="I114" s="19" t="n">
        <f aca="false">IF(OR(E114="",F114=""),0,IF(G114="شامل الضريبة",ROUND(E114*F114,2)-H114,ROUND(H114*الإعدادات!$B$5,2)))</f>
        <v>0</v>
      </c>
      <c r="J114" s="20" t="n">
        <f aca="false">H114+I114</f>
        <v>0</v>
      </c>
      <c r="K114" s="14"/>
      <c r="L114" s="21" t="str">
        <f aca="false">IF(AND(B114="",C114="",E114="",F114=""),"",IF(B114="","⚠ اختر العميل",IF(COUNTIF('دليل العملاء'!$B$4:$B$203,B114)=0,"⚠ عميل غير مسجل",IF(C114="","⚠ اختر الصنف",IF(COUNTIF('دليل الأصناف'!$B$4:$B$203,C114)=0,"⚠ صنف غير مسجل",IF(E114="","⚠ أدخل الكمية",IF(F114="","⚠ أدخل السعر",IF(A114="","⚠ أدخل التاريخ","✓ سليم"))))))))</f>
        <v/>
      </c>
    </row>
    <row r="115" customFormat="false" ht="15" hidden="false" customHeight="false" outlineLevel="0" collapsed="false">
      <c r="A115" s="13"/>
      <c r="B115" s="14"/>
      <c r="C115" s="14"/>
      <c r="D115" s="15" t="str">
        <f aca="false">IF(C115="","",IFERROR(INDEX('دليل الأصناف'!$A$4:$A$203,MATCH(C115,'دليل الأصناف'!$B$4:$B$203,0)),"غير مسجل"))</f>
        <v/>
      </c>
      <c r="E115" s="16"/>
      <c r="F115" s="17"/>
      <c r="G115" s="18"/>
      <c r="H115" s="19" t="n">
        <f aca="false">IF(OR(E115="",F115=""),0,IF(G115="شامل الضريبة",ROUND(ROUND(E115*F115,2)/(1+الإعدادات!$B$5),2),ROUND(E115*F115,2)))</f>
        <v>0</v>
      </c>
      <c r="I115" s="19" t="n">
        <f aca="false">IF(OR(E115="",F115=""),0,IF(G115="شامل الضريبة",ROUND(E115*F115,2)-H115,ROUND(H115*الإعدادات!$B$5,2)))</f>
        <v>0</v>
      </c>
      <c r="J115" s="20" t="n">
        <f aca="false">H115+I115</f>
        <v>0</v>
      </c>
      <c r="K115" s="14"/>
      <c r="L115" s="21" t="str">
        <f aca="false">IF(AND(B115="",C115="",E115="",F115=""),"",IF(B115="","⚠ اختر العميل",IF(COUNTIF('دليل العملاء'!$B$4:$B$203,B115)=0,"⚠ عميل غير مسجل",IF(C115="","⚠ اختر الصنف",IF(COUNTIF('دليل الأصناف'!$B$4:$B$203,C115)=0,"⚠ صنف غير مسجل",IF(E115="","⚠ أدخل الكمية",IF(F115="","⚠ أدخل السعر",IF(A115="","⚠ أدخل التاريخ","✓ سليم"))))))))</f>
        <v/>
      </c>
    </row>
    <row r="116" customFormat="false" ht="15" hidden="false" customHeight="false" outlineLevel="0" collapsed="false">
      <c r="A116" s="13"/>
      <c r="B116" s="14"/>
      <c r="C116" s="14"/>
      <c r="D116" s="15" t="str">
        <f aca="false">IF(C116="","",IFERROR(INDEX('دليل الأصناف'!$A$4:$A$203,MATCH(C116,'دليل الأصناف'!$B$4:$B$203,0)),"غير مسجل"))</f>
        <v/>
      </c>
      <c r="E116" s="16"/>
      <c r="F116" s="17"/>
      <c r="G116" s="18"/>
      <c r="H116" s="19" t="n">
        <f aca="false">IF(OR(E116="",F116=""),0,IF(G116="شامل الضريبة",ROUND(ROUND(E116*F116,2)/(1+الإعدادات!$B$5),2),ROUND(E116*F116,2)))</f>
        <v>0</v>
      </c>
      <c r="I116" s="19" t="n">
        <f aca="false">IF(OR(E116="",F116=""),0,IF(G116="شامل الضريبة",ROUND(E116*F116,2)-H116,ROUND(H116*الإعدادات!$B$5,2)))</f>
        <v>0</v>
      </c>
      <c r="J116" s="20" t="n">
        <f aca="false">H116+I116</f>
        <v>0</v>
      </c>
      <c r="K116" s="14"/>
      <c r="L116" s="21" t="str">
        <f aca="false">IF(AND(B116="",C116="",E116="",F116=""),"",IF(B116="","⚠ اختر العميل",IF(COUNTIF('دليل العملاء'!$B$4:$B$203,B116)=0,"⚠ عميل غير مسجل",IF(C116="","⚠ اختر الصنف",IF(COUNTIF('دليل الأصناف'!$B$4:$B$203,C116)=0,"⚠ صنف غير مسجل",IF(E116="","⚠ أدخل الكمية",IF(F116="","⚠ أدخل السعر",IF(A116="","⚠ أدخل التاريخ","✓ سليم"))))))))</f>
        <v/>
      </c>
    </row>
    <row r="117" customFormat="false" ht="15" hidden="false" customHeight="false" outlineLevel="0" collapsed="false">
      <c r="A117" s="13"/>
      <c r="B117" s="14"/>
      <c r="C117" s="14"/>
      <c r="D117" s="15" t="str">
        <f aca="false">IF(C117="","",IFERROR(INDEX('دليل الأصناف'!$A$4:$A$203,MATCH(C117,'دليل الأصناف'!$B$4:$B$203,0)),"غير مسجل"))</f>
        <v/>
      </c>
      <c r="E117" s="16"/>
      <c r="F117" s="17"/>
      <c r="G117" s="18"/>
      <c r="H117" s="19" t="n">
        <f aca="false">IF(OR(E117="",F117=""),0,IF(G117="شامل الضريبة",ROUND(ROUND(E117*F117,2)/(1+الإعدادات!$B$5),2),ROUND(E117*F117,2)))</f>
        <v>0</v>
      </c>
      <c r="I117" s="19" t="n">
        <f aca="false">IF(OR(E117="",F117=""),0,IF(G117="شامل الضريبة",ROUND(E117*F117,2)-H117,ROUND(H117*الإعدادات!$B$5,2)))</f>
        <v>0</v>
      </c>
      <c r="J117" s="20" t="n">
        <f aca="false">H117+I117</f>
        <v>0</v>
      </c>
      <c r="K117" s="14"/>
      <c r="L117" s="21" t="str">
        <f aca="false">IF(AND(B117="",C117="",E117="",F117=""),"",IF(B117="","⚠ اختر العميل",IF(COUNTIF('دليل العملاء'!$B$4:$B$203,B117)=0,"⚠ عميل غير مسجل",IF(C117="","⚠ اختر الصنف",IF(COUNTIF('دليل الأصناف'!$B$4:$B$203,C117)=0,"⚠ صنف غير مسجل",IF(E117="","⚠ أدخل الكمية",IF(F117="","⚠ أدخل السعر",IF(A117="","⚠ أدخل التاريخ","✓ سليم"))))))))</f>
        <v/>
      </c>
    </row>
    <row r="118" customFormat="false" ht="15" hidden="false" customHeight="false" outlineLevel="0" collapsed="false">
      <c r="A118" s="13"/>
      <c r="B118" s="14"/>
      <c r="C118" s="14"/>
      <c r="D118" s="15" t="str">
        <f aca="false">IF(C118="","",IFERROR(INDEX('دليل الأصناف'!$A$4:$A$203,MATCH(C118,'دليل الأصناف'!$B$4:$B$203,0)),"غير مسجل"))</f>
        <v/>
      </c>
      <c r="E118" s="16"/>
      <c r="F118" s="17"/>
      <c r="G118" s="18"/>
      <c r="H118" s="19" t="n">
        <f aca="false">IF(OR(E118="",F118=""),0,IF(G118="شامل الضريبة",ROUND(ROUND(E118*F118,2)/(1+الإعدادات!$B$5),2),ROUND(E118*F118,2)))</f>
        <v>0</v>
      </c>
      <c r="I118" s="19" t="n">
        <f aca="false">IF(OR(E118="",F118=""),0,IF(G118="شامل الضريبة",ROUND(E118*F118,2)-H118,ROUND(H118*الإعدادات!$B$5,2)))</f>
        <v>0</v>
      </c>
      <c r="J118" s="20" t="n">
        <f aca="false">H118+I118</f>
        <v>0</v>
      </c>
      <c r="K118" s="14"/>
      <c r="L118" s="21" t="str">
        <f aca="false">IF(AND(B118="",C118="",E118="",F118=""),"",IF(B118="","⚠ اختر العميل",IF(COUNTIF('دليل العملاء'!$B$4:$B$203,B118)=0,"⚠ عميل غير مسجل",IF(C118="","⚠ اختر الصنف",IF(COUNTIF('دليل الأصناف'!$B$4:$B$203,C118)=0,"⚠ صنف غير مسجل",IF(E118="","⚠ أدخل الكمية",IF(F118="","⚠ أدخل السعر",IF(A118="","⚠ أدخل التاريخ","✓ سليم"))))))))</f>
        <v/>
      </c>
    </row>
    <row r="119" customFormat="false" ht="15" hidden="false" customHeight="false" outlineLevel="0" collapsed="false">
      <c r="A119" s="13"/>
      <c r="B119" s="14"/>
      <c r="C119" s="14"/>
      <c r="D119" s="15" t="str">
        <f aca="false">IF(C119="","",IFERROR(INDEX('دليل الأصناف'!$A$4:$A$203,MATCH(C119,'دليل الأصناف'!$B$4:$B$203,0)),"غير مسجل"))</f>
        <v/>
      </c>
      <c r="E119" s="16"/>
      <c r="F119" s="17"/>
      <c r="G119" s="18"/>
      <c r="H119" s="19" t="n">
        <f aca="false">IF(OR(E119="",F119=""),0,IF(G119="شامل الضريبة",ROUND(ROUND(E119*F119,2)/(1+الإعدادات!$B$5),2),ROUND(E119*F119,2)))</f>
        <v>0</v>
      </c>
      <c r="I119" s="19" t="n">
        <f aca="false">IF(OR(E119="",F119=""),0,IF(G119="شامل الضريبة",ROUND(E119*F119,2)-H119,ROUND(H119*الإعدادات!$B$5,2)))</f>
        <v>0</v>
      </c>
      <c r="J119" s="20" t="n">
        <f aca="false">H119+I119</f>
        <v>0</v>
      </c>
      <c r="K119" s="14"/>
      <c r="L119" s="21" t="str">
        <f aca="false">IF(AND(B119="",C119="",E119="",F119=""),"",IF(B119="","⚠ اختر العميل",IF(COUNTIF('دليل العملاء'!$B$4:$B$203,B119)=0,"⚠ عميل غير مسجل",IF(C119="","⚠ اختر الصنف",IF(COUNTIF('دليل الأصناف'!$B$4:$B$203,C119)=0,"⚠ صنف غير مسجل",IF(E119="","⚠ أدخل الكمية",IF(F119="","⚠ أدخل السعر",IF(A119="","⚠ أدخل التاريخ","✓ سليم"))))))))</f>
        <v/>
      </c>
    </row>
    <row r="120" customFormat="false" ht="15" hidden="false" customHeight="false" outlineLevel="0" collapsed="false">
      <c r="A120" s="13"/>
      <c r="B120" s="14"/>
      <c r="C120" s="14"/>
      <c r="D120" s="15" t="str">
        <f aca="false">IF(C120="","",IFERROR(INDEX('دليل الأصناف'!$A$4:$A$203,MATCH(C120,'دليل الأصناف'!$B$4:$B$203,0)),"غير مسجل"))</f>
        <v/>
      </c>
      <c r="E120" s="16"/>
      <c r="F120" s="17"/>
      <c r="G120" s="18"/>
      <c r="H120" s="19" t="n">
        <f aca="false">IF(OR(E120="",F120=""),0,IF(G120="شامل الضريبة",ROUND(ROUND(E120*F120,2)/(1+الإعدادات!$B$5),2),ROUND(E120*F120,2)))</f>
        <v>0</v>
      </c>
      <c r="I120" s="19" t="n">
        <f aca="false">IF(OR(E120="",F120=""),0,IF(G120="شامل الضريبة",ROUND(E120*F120,2)-H120,ROUND(H120*الإعدادات!$B$5,2)))</f>
        <v>0</v>
      </c>
      <c r="J120" s="20" t="n">
        <f aca="false">H120+I120</f>
        <v>0</v>
      </c>
      <c r="K120" s="14"/>
      <c r="L120" s="21" t="str">
        <f aca="false">IF(AND(B120="",C120="",E120="",F120=""),"",IF(B120="","⚠ اختر العميل",IF(COUNTIF('دليل العملاء'!$B$4:$B$203,B120)=0,"⚠ عميل غير مسجل",IF(C120="","⚠ اختر الصنف",IF(COUNTIF('دليل الأصناف'!$B$4:$B$203,C120)=0,"⚠ صنف غير مسجل",IF(E120="","⚠ أدخل الكمية",IF(F120="","⚠ أدخل السعر",IF(A120="","⚠ أدخل التاريخ","✓ سليم"))))))))</f>
        <v/>
      </c>
    </row>
    <row r="121" customFormat="false" ht="15" hidden="false" customHeight="false" outlineLevel="0" collapsed="false">
      <c r="A121" s="13"/>
      <c r="B121" s="14"/>
      <c r="C121" s="14"/>
      <c r="D121" s="15" t="str">
        <f aca="false">IF(C121="","",IFERROR(INDEX('دليل الأصناف'!$A$4:$A$203,MATCH(C121,'دليل الأصناف'!$B$4:$B$203,0)),"غير مسجل"))</f>
        <v/>
      </c>
      <c r="E121" s="16"/>
      <c r="F121" s="17"/>
      <c r="G121" s="18"/>
      <c r="H121" s="19" t="n">
        <f aca="false">IF(OR(E121="",F121=""),0,IF(G121="شامل الضريبة",ROUND(ROUND(E121*F121,2)/(1+الإعدادات!$B$5),2),ROUND(E121*F121,2)))</f>
        <v>0</v>
      </c>
      <c r="I121" s="19" t="n">
        <f aca="false">IF(OR(E121="",F121=""),0,IF(G121="شامل الضريبة",ROUND(E121*F121,2)-H121,ROUND(H121*الإعدادات!$B$5,2)))</f>
        <v>0</v>
      </c>
      <c r="J121" s="20" t="n">
        <f aca="false">H121+I121</f>
        <v>0</v>
      </c>
      <c r="K121" s="14"/>
      <c r="L121" s="21" t="str">
        <f aca="false">IF(AND(B121="",C121="",E121="",F121=""),"",IF(B121="","⚠ اختر العميل",IF(COUNTIF('دليل العملاء'!$B$4:$B$203,B121)=0,"⚠ عميل غير مسجل",IF(C121="","⚠ اختر الصنف",IF(COUNTIF('دليل الأصناف'!$B$4:$B$203,C121)=0,"⚠ صنف غير مسجل",IF(E121="","⚠ أدخل الكمية",IF(F121="","⚠ أدخل السعر",IF(A121="","⚠ أدخل التاريخ","✓ سليم"))))))))</f>
        <v/>
      </c>
    </row>
    <row r="122" customFormat="false" ht="15" hidden="false" customHeight="false" outlineLevel="0" collapsed="false">
      <c r="A122" s="13"/>
      <c r="B122" s="14"/>
      <c r="C122" s="14"/>
      <c r="D122" s="15" t="str">
        <f aca="false">IF(C122="","",IFERROR(INDEX('دليل الأصناف'!$A$4:$A$203,MATCH(C122,'دليل الأصناف'!$B$4:$B$203,0)),"غير مسجل"))</f>
        <v/>
      </c>
      <c r="E122" s="16"/>
      <c r="F122" s="17"/>
      <c r="G122" s="18"/>
      <c r="H122" s="19" t="n">
        <f aca="false">IF(OR(E122="",F122=""),0,IF(G122="شامل الضريبة",ROUND(ROUND(E122*F122,2)/(1+الإعدادات!$B$5),2),ROUND(E122*F122,2)))</f>
        <v>0</v>
      </c>
      <c r="I122" s="19" t="n">
        <f aca="false">IF(OR(E122="",F122=""),0,IF(G122="شامل الضريبة",ROUND(E122*F122,2)-H122,ROUND(H122*الإعدادات!$B$5,2)))</f>
        <v>0</v>
      </c>
      <c r="J122" s="20" t="n">
        <f aca="false">H122+I122</f>
        <v>0</v>
      </c>
      <c r="K122" s="14"/>
      <c r="L122" s="21" t="str">
        <f aca="false">IF(AND(B122="",C122="",E122="",F122=""),"",IF(B122="","⚠ اختر العميل",IF(COUNTIF('دليل العملاء'!$B$4:$B$203,B122)=0,"⚠ عميل غير مسجل",IF(C122="","⚠ اختر الصنف",IF(COUNTIF('دليل الأصناف'!$B$4:$B$203,C122)=0,"⚠ صنف غير مسجل",IF(E122="","⚠ أدخل الكمية",IF(F122="","⚠ أدخل السعر",IF(A122="","⚠ أدخل التاريخ","✓ سليم"))))))))</f>
        <v/>
      </c>
    </row>
    <row r="123" customFormat="false" ht="15" hidden="false" customHeight="false" outlineLevel="0" collapsed="false">
      <c r="A123" s="13"/>
      <c r="B123" s="14"/>
      <c r="C123" s="14"/>
      <c r="D123" s="15" t="str">
        <f aca="false">IF(C123="","",IFERROR(INDEX('دليل الأصناف'!$A$4:$A$203,MATCH(C123,'دليل الأصناف'!$B$4:$B$203,0)),"غير مسجل"))</f>
        <v/>
      </c>
      <c r="E123" s="16"/>
      <c r="F123" s="17"/>
      <c r="G123" s="18"/>
      <c r="H123" s="19" t="n">
        <f aca="false">IF(OR(E123="",F123=""),0,IF(G123="شامل الضريبة",ROUND(ROUND(E123*F123,2)/(1+الإعدادات!$B$5),2),ROUND(E123*F123,2)))</f>
        <v>0</v>
      </c>
      <c r="I123" s="19" t="n">
        <f aca="false">IF(OR(E123="",F123=""),0,IF(G123="شامل الضريبة",ROUND(E123*F123,2)-H123,ROUND(H123*الإعدادات!$B$5,2)))</f>
        <v>0</v>
      </c>
      <c r="J123" s="20" t="n">
        <f aca="false">H123+I123</f>
        <v>0</v>
      </c>
      <c r="K123" s="14"/>
      <c r="L123" s="21" t="str">
        <f aca="false">IF(AND(B123="",C123="",E123="",F123=""),"",IF(B123="","⚠ اختر العميل",IF(COUNTIF('دليل العملاء'!$B$4:$B$203,B123)=0,"⚠ عميل غير مسجل",IF(C123="","⚠ اختر الصنف",IF(COUNTIF('دليل الأصناف'!$B$4:$B$203,C123)=0,"⚠ صنف غير مسجل",IF(E123="","⚠ أدخل الكمية",IF(F123="","⚠ أدخل السعر",IF(A123="","⚠ أدخل التاريخ","✓ سليم"))))))))</f>
        <v/>
      </c>
    </row>
    <row r="124" customFormat="false" ht="15" hidden="false" customHeight="false" outlineLevel="0" collapsed="false">
      <c r="A124" s="13"/>
      <c r="B124" s="14"/>
      <c r="C124" s="14"/>
      <c r="D124" s="15" t="str">
        <f aca="false">IF(C124="","",IFERROR(INDEX('دليل الأصناف'!$A$4:$A$203,MATCH(C124,'دليل الأصناف'!$B$4:$B$203,0)),"غير مسجل"))</f>
        <v/>
      </c>
      <c r="E124" s="16"/>
      <c r="F124" s="17"/>
      <c r="G124" s="18"/>
      <c r="H124" s="19" t="n">
        <f aca="false">IF(OR(E124="",F124=""),0,IF(G124="شامل الضريبة",ROUND(ROUND(E124*F124,2)/(1+الإعدادات!$B$5),2),ROUND(E124*F124,2)))</f>
        <v>0</v>
      </c>
      <c r="I124" s="19" t="n">
        <f aca="false">IF(OR(E124="",F124=""),0,IF(G124="شامل الضريبة",ROUND(E124*F124,2)-H124,ROUND(H124*الإعدادات!$B$5,2)))</f>
        <v>0</v>
      </c>
      <c r="J124" s="20" t="n">
        <f aca="false">H124+I124</f>
        <v>0</v>
      </c>
      <c r="K124" s="14"/>
      <c r="L124" s="21" t="str">
        <f aca="false">IF(AND(B124="",C124="",E124="",F124=""),"",IF(B124="","⚠ اختر العميل",IF(COUNTIF('دليل العملاء'!$B$4:$B$203,B124)=0,"⚠ عميل غير مسجل",IF(C124="","⚠ اختر الصنف",IF(COUNTIF('دليل الأصناف'!$B$4:$B$203,C124)=0,"⚠ صنف غير مسجل",IF(E124="","⚠ أدخل الكمية",IF(F124="","⚠ أدخل السعر",IF(A124="","⚠ أدخل التاريخ","✓ سليم"))))))))</f>
        <v/>
      </c>
    </row>
    <row r="125" customFormat="false" ht="15" hidden="false" customHeight="false" outlineLevel="0" collapsed="false">
      <c r="A125" s="13"/>
      <c r="B125" s="14"/>
      <c r="C125" s="14"/>
      <c r="D125" s="15" t="str">
        <f aca="false">IF(C125="","",IFERROR(INDEX('دليل الأصناف'!$A$4:$A$203,MATCH(C125,'دليل الأصناف'!$B$4:$B$203,0)),"غير مسجل"))</f>
        <v/>
      </c>
      <c r="E125" s="16"/>
      <c r="F125" s="17"/>
      <c r="G125" s="18"/>
      <c r="H125" s="19" t="n">
        <f aca="false">IF(OR(E125="",F125=""),0,IF(G125="شامل الضريبة",ROUND(ROUND(E125*F125,2)/(1+الإعدادات!$B$5),2),ROUND(E125*F125,2)))</f>
        <v>0</v>
      </c>
      <c r="I125" s="19" t="n">
        <f aca="false">IF(OR(E125="",F125=""),0,IF(G125="شامل الضريبة",ROUND(E125*F125,2)-H125,ROUND(H125*الإعدادات!$B$5,2)))</f>
        <v>0</v>
      </c>
      <c r="J125" s="20" t="n">
        <f aca="false">H125+I125</f>
        <v>0</v>
      </c>
      <c r="K125" s="14"/>
      <c r="L125" s="21" t="str">
        <f aca="false">IF(AND(B125="",C125="",E125="",F125=""),"",IF(B125="","⚠ اختر العميل",IF(COUNTIF('دليل العملاء'!$B$4:$B$203,B125)=0,"⚠ عميل غير مسجل",IF(C125="","⚠ اختر الصنف",IF(COUNTIF('دليل الأصناف'!$B$4:$B$203,C125)=0,"⚠ صنف غير مسجل",IF(E125="","⚠ أدخل الكمية",IF(F125="","⚠ أدخل السعر",IF(A125="","⚠ أدخل التاريخ","✓ سليم"))))))))</f>
        <v/>
      </c>
    </row>
    <row r="126" customFormat="false" ht="15" hidden="false" customHeight="false" outlineLevel="0" collapsed="false">
      <c r="A126" s="13"/>
      <c r="B126" s="14"/>
      <c r="C126" s="14"/>
      <c r="D126" s="15" t="str">
        <f aca="false">IF(C126="","",IFERROR(INDEX('دليل الأصناف'!$A$4:$A$203,MATCH(C126,'دليل الأصناف'!$B$4:$B$203,0)),"غير مسجل"))</f>
        <v/>
      </c>
      <c r="E126" s="16"/>
      <c r="F126" s="17"/>
      <c r="G126" s="18"/>
      <c r="H126" s="19" t="n">
        <f aca="false">IF(OR(E126="",F126=""),0,IF(G126="شامل الضريبة",ROUND(ROUND(E126*F126,2)/(1+الإعدادات!$B$5),2),ROUND(E126*F126,2)))</f>
        <v>0</v>
      </c>
      <c r="I126" s="19" t="n">
        <f aca="false">IF(OR(E126="",F126=""),0,IF(G126="شامل الضريبة",ROUND(E126*F126,2)-H126,ROUND(H126*الإعدادات!$B$5,2)))</f>
        <v>0</v>
      </c>
      <c r="J126" s="20" t="n">
        <f aca="false">H126+I126</f>
        <v>0</v>
      </c>
      <c r="K126" s="14"/>
      <c r="L126" s="21" t="str">
        <f aca="false">IF(AND(B126="",C126="",E126="",F126=""),"",IF(B126="","⚠ اختر العميل",IF(COUNTIF('دليل العملاء'!$B$4:$B$203,B126)=0,"⚠ عميل غير مسجل",IF(C126="","⚠ اختر الصنف",IF(COUNTIF('دليل الأصناف'!$B$4:$B$203,C126)=0,"⚠ صنف غير مسجل",IF(E126="","⚠ أدخل الكمية",IF(F126="","⚠ أدخل السعر",IF(A126="","⚠ أدخل التاريخ","✓ سليم"))))))))</f>
        <v/>
      </c>
    </row>
    <row r="127" customFormat="false" ht="15" hidden="false" customHeight="false" outlineLevel="0" collapsed="false">
      <c r="A127" s="13"/>
      <c r="B127" s="14"/>
      <c r="C127" s="14"/>
      <c r="D127" s="15" t="str">
        <f aca="false">IF(C127="","",IFERROR(INDEX('دليل الأصناف'!$A$4:$A$203,MATCH(C127,'دليل الأصناف'!$B$4:$B$203,0)),"غير مسجل"))</f>
        <v/>
      </c>
      <c r="E127" s="16"/>
      <c r="F127" s="17"/>
      <c r="G127" s="18"/>
      <c r="H127" s="19" t="n">
        <f aca="false">IF(OR(E127="",F127=""),0,IF(G127="شامل الضريبة",ROUND(ROUND(E127*F127,2)/(1+الإعدادات!$B$5),2),ROUND(E127*F127,2)))</f>
        <v>0</v>
      </c>
      <c r="I127" s="19" t="n">
        <f aca="false">IF(OR(E127="",F127=""),0,IF(G127="شامل الضريبة",ROUND(E127*F127,2)-H127,ROUND(H127*الإعدادات!$B$5,2)))</f>
        <v>0</v>
      </c>
      <c r="J127" s="20" t="n">
        <f aca="false">H127+I127</f>
        <v>0</v>
      </c>
      <c r="K127" s="14"/>
      <c r="L127" s="21" t="str">
        <f aca="false">IF(AND(B127="",C127="",E127="",F127=""),"",IF(B127="","⚠ اختر العميل",IF(COUNTIF('دليل العملاء'!$B$4:$B$203,B127)=0,"⚠ عميل غير مسجل",IF(C127="","⚠ اختر الصنف",IF(COUNTIF('دليل الأصناف'!$B$4:$B$203,C127)=0,"⚠ صنف غير مسجل",IF(E127="","⚠ أدخل الكمية",IF(F127="","⚠ أدخل السعر",IF(A127="","⚠ أدخل التاريخ","✓ سليم"))))))))</f>
        <v/>
      </c>
    </row>
    <row r="128" customFormat="false" ht="15" hidden="false" customHeight="false" outlineLevel="0" collapsed="false">
      <c r="A128" s="13"/>
      <c r="B128" s="14"/>
      <c r="C128" s="14"/>
      <c r="D128" s="15" t="str">
        <f aca="false">IF(C128="","",IFERROR(INDEX('دليل الأصناف'!$A$4:$A$203,MATCH(C128,'دليل الأصناف'!$B$4:$B$203,0)),"غير مسجل"))</f>
        <v/>
      </c>
      <c r="E128" s="16"/>
      <c r="F128" s="17"/>
      <c r="G128" s="18"/>
      <c r="H128" s="19" t="n">
        <f aca="false">IF(OR(E128="",F128=""),0,IF(G128="شامل الضريبة",ROUND(ROUND(E128*F128,2)/(1+الإعدادات!$B$5),2),ROUND(E128*F128,2)))</f>
        <v>0</v>
      </c>
      <c r="I128" s="19" t="n">
        <f aca="false">IF(OR(E128="",F128=""),0,IF(G128="شامل الضريبة",ROUND(E128*F128,2)-H128,ROUND(H128*الإعدادات!$B$5,2)))</f>
        <v>0</v>
      </c>
      <c r="J128" s="20" t="n">
        <f aca="false">H128+I128</f>
        <v>0</v>
      </c>
      <c r="K128" s="14"/>
      <c r="L128" s="21" t="str">
        <f aca="false">IF(AND(B128="",C128="",E128="",F128=""),"",IF(B128="","⚠ اختر العميل",IF(COUNTIF('دليل العملاء'!$B$4:$B$203,B128)=0,"⚠ عميل غير مسجل",IF(C128="","⚠ اختر الصنف",IF(COUNTIF('دليل الأصناف'!$B$4:$B$203,C128)=0,"⚠ صنف غير مسجل",IF(E128="","⚠ أدخل الكمية",IF(F128="","⚠ أدخل السعر",IF(A128="","⚠ أدخل التاريخ","✓ سليم"))))))))</f>
        <v/>
      </c>
    </row>
    <row r="129" customFormat="false" ht="15" hidden="false" customHeight="false" outlineLevel="0" collapsed="false">
      <c r="A129" s="13"/>
      <c r="B129" s="14"/>
      <c r="C129" s="14"/>
      <c r="D129" s="15" t="str">
        <f aca="false">IF(C129="","",IFERROR(INDEX('دليل الأصناف'!$A$4:$A$203,MATCH(C129,'دليل الأصناف'!$B$4:$B$203,0)),"غير مسجل"))</f>
        <v/>
      </c>
      <c r="E129" s="16"/>
      <c r="F129" s="17"/>
      <c r="G129" s="18"/>
      <c r="H129" s="19" t="n">
        <f aca="false">IF(OR(E129="",F129=""),0,IF(G129="شامل الضريبة",ROUND(ROUND(E129*F129,2)/(1+الإعدادات!$B$5),2),ROUND(E129*F129,2)))</f>
        <v>0</v>
      </c>
      <c r="I129" s="19" t="n">
        <f aca="false">IF(OR(E129="",F129=""),0,IF(G129="شامل الضريبة",ROUND(E129*F129,2)-H129,ROUND(H129*الإعدادات!$B$5,2)))</f>
        <v>0</v>
      </c>
      <c r="J129" s="20" t="n">
        <f aca="false">H129+I129</f>
        <v>0</v>
      </c>
      <c r="K129" s="14"/>
      <c r="L129" s="21" t="str">
        <f aca="false">IF(AND(B129="",C129="",E129="",F129=""),"",IF(B129="","⚠ اختر العميل",IF(COUNTIF('دليل العملاء'!$B$4:$B$203,B129)=0,"⚠ عميل غير مسجل",IF(C129="","⚠ اختر الصنف",IF(COUNTIF('دليل الأصناف'!$B$4:$B$203,C129)=0,"⚠ صنف غير مسجل",IF(E129="","⚠ أدخل الكمية",IF(F129="","⚠ أدخل السعر",IF(A129="","⚠ أدخل التاريخ","✓ سليم"))))))))</f>
        <v/>
      </c>
    </row>
    <row r="130" customFormat="false" ht="15" hidden="false" customHeight="false" outlineLevel="0" collapsed="false">
      <c r="A130" s="13"/>
      <c r="B130" s="14"/>
      <c r="C130" s="14"/>
      <c r="D130" s="15" t="str">
        <f aca="false">IF(C130="","",IFERROR(INDEX('دليل الأصناف'!$A$4:$A$203,MATCH(C130,'دليل الأصناف'!$B$4:$B$203,0)),"غير مسجل"))</f>
        <v/>
      </c>
      <c r="E130" s="16"/>
      <c r="F130" s="17"/>
      <c r="G130" s="18"/>
      <c r="H130" s="19" t="n">
        <f aca="false">IF(OR(E130="",F130=""),0,IF(G130="شامل الضريبة",ROUND(ROUND(E130*F130,2)/(1+الإعدادات!$B$5),2),ROUND(E130*F130,2)))</f>
        <v>0</v>
      </c>
      <c r="I130" s="19" t="n">
        <f aca="false">IF(OR(E130="",F130=""),0,IF(G130="شامل الضريبة",ROUND(E130*F130,2)-H130,ROUND(H130*الإعدادات!$B$5,2)))</f>
        <v>0</v>
      </c>
      <c r="J130" s="20" t="n">
        <f aca="false">H130+I130</f>
        <v>0</v>
      </c>
      <c r="K130" s="14"/>
      <c r="L130" s="21" t="str">
        <f aca="false">IF(AND(B130="",C130="",E130="",F130=""),"",IF(B130="","⚠ اختر العميل",IF(COUNTIF('دليل العملاء'!$B$4:$B$203,B130)=0,"⚠ عميل غير مسجل",IF(C130="","⚠ اختر الصنف",IF(COUNTIF('دليل الأصناف'!$B$4:$B$203,C130)=0,"⚠ صنف غير مسجل",IF(E130="","⚠ أدخل الكمية",IF(F130="","⚠ أدخل السعر",IF(A130="","⚠ أدخل التاريخ","✓ سليم"))))))))</f>
        <v/>
      </c>
    </row>
    <row r="131" customFormat="false" ht="15" hidden="false" customHeight="false" outlineLevel="0" collapsed="false">
      <c r="A131" s="13"/>
      <c r="B131" s="14"/>
      <c r="C131" s="14"/>
      <c r="D131" s="15" t="str">
        <f aca="false">IF(C131="","",IFERROR(INDEX('دليل الأصناف'!$A$4:$A$203,MATCH(C131,'دليل الأصناف'!$B$4:$B$203,0)),"غير مسجل"))</f>
        <v/>
      </c>
      <c r="E131" s="16"/>
      <c r="F131" s="17"/>
      <c r="G131" s="18"/>
      <c r="H131" s="19" t="n">
        <f aca="false">IF(OR(E131="",F131=""),0,IF(G131="شامل الضريبة",ROUND(ROUND(E131*F131,2)/(1+الإعدادات!$B$5),2),ROUND(E131*F131,2)))</f>
        <v>0</v>
      </c>
      <c r="I131" s="19" t="n">
        <f aca="false">IF(OR(E131="",F131=""),0,IF(G131="شامل الضريبة",ROUND(E131*F131,2)-H131,ROUND(H131*الإعدادات!$B$5,2)))</f>
        <v>0</v>
      </c>
      <c r="J131" s="20" t="n">
        <f aca="false">H131+I131</f>
        <v>0</v>
      </c>
      <c r="K131" s="14"/>
      <c r="L131" s="21" t="str">
        <f aca="false">IF(AND(B131="",C131="",E131="",F131=""),"",IF(B131="","⚠ اختر العميل",IF(COUNTIF('دليل العملاء'!$B$4:$B$203,B131)=0,"⚠ عميل غير مسجل",IF(C131="","⚠ اختر الصنف",IF(COUNTIF('دليل الأصناف'!$B$4:$B$203,C131)=0,"⚠ صنف غير مسجل",IF(E131="","⚠ أدخل الكمية",IF(F131="","⚠ أدخل السعر",IF(A131="","⚠ أدخل التاريخ","✓ سليم"))))))))</f>
        <v/>
      </c>
    </row>
    <row r="132" customFormat="false" ht="15" hidden="false" customHeight="false" outlineLevel="0" collapsed="false">
      <c r="A132" s="13"/>
      <c r="B132" s="14"/>
      <c r="C132" s="14"/>
      <c r="D132" s="15" t="str">
        <f aca="false">IF(C132="","",IFERROR(INDEX('دليل الأصناف'!$A$4:$A$203,MATCH(C132,'دليل الأصناف'!$B$4:$B$203,0)),"غير مسجل"))</f>
        <v/>
      </c>
      <c r="E132" s="16"/>
      <c r="F132" s="17"/>
      <c r="G132" s="18"/>
      <c r="H132" s="19" t="n">
        <f aca="false">IF(OR(E132="",F132=""),0,IF(G132="شامل الضريبة",ROUND(ROUND(E132*F132,2)/(1+الإعدادات!$B$5),2),ROUND(E132*F132,2)))</f>
        <v>0</v>
      </c>
      <c r="I132" s="19" t="n">
        <f aca="false">IF(OR(E132="",F132=""),0,IF(G132="شامل الضريبة",ROUND(E132*F132,2)-H132,ROUND(H132*الإعدادات!$B$5,2)))</f>
        <v>0</v>
      </c>
      <c r="J132" s="20" t="n">
        <f aca="false">H132+I132</f>
        <v>0</v>
      </c>
      <c r="K132" s="14"/>
      <c r="L132" s="21" t="str">
        <f aca="false">IF(AND(B132="",C132="",E132="",F132=""),"",IF(B132="","⚠ اختر العميل",IF(COUNTIF('دليل العملاء'!$B$4:$B$203,B132)=0,"⚠ عميل غير مسجل",IF(C132="","⚠ اختر الصنف",IF(COUNTIF('دليل الأصناف'!$B$4:$B$203,C132)=0,"⚠ صنف غير مسجل",IF(E132="","⚠ أدخل الكمية",IF(F132="","⚠ أدخل السعر",IF(A132="","⚠ أدخل التاريخ","✓ سليم"))))))))</f>
        <v/>
      </c>
    </row>
    <row r="133" customFormat="false" ht="15" hidden="false" customHeight="false" outlineLevel="0" collapsed="false">
      <c r="A133" s="13"/>
      <c r="B133" s="14"/>
      <c r="C133" s="14"/>
      <c r="D133" s="15" t="str">
        <f aca="false">IF(C133="","",IFERROR(INDEX('دليل الأصناف'!$A$4:$A$203,MATCH(C133,'دليل الأصناف'!$B$4:$B$203,0)),"غير مسجل"))</f>
        <v/>
      </c>
      <c r="E133" s="16"/>
      <c r="F133" s="17"/>
      <c r="G133" s="18"/>
      <c r="H133" s="19" t="n">
        <f aca="false">IF(OR(E133="",F133=""),0,IF(G133="شامل الضريبة",ROUND(ROUND(E133*F133,2)/(1+الإعدادات!$B$5),2),ROUND(E133*F133,2)))</f>
        <v>0</v>
      </c>
      <c r="I133" s="19" t="n">
        <f aca="false">IF(OR(E133="",F133=""),0,IF(G133="شامل الضريبة",ROUND(E133*F133,2)-H133,ROUND(H133*الإعدادات!$B$5,2)))</f>
        <v>0</v>
      </c>
      <c r="J133" s="20" t="n">
        <f aca="false">H133+I133</f>
        <v>0</v>
      </c>
      <c r="K133" s="14"/>
      <c r="L133" s="21" t="str">
        <f aca="false">IF(AND(B133="",C133="",E133="",F133=""),"",IF(B133="","⚠ اختر العميل",IF(COUNTIF('دليل العملاء'!$B$4:$B$203,B133)=0,"⚠ عميل غير مسجل",IF(C133="","⚠ اختر الصنف",IF(COUNTIF('دليل الأصناف'!$B$4:$B$203,C133)=0,"⚠ صنف غير مسجل",IF(E133="","⚠ أدخل الكمية",IF(F133="","⚠ أدخل السعر",IF(A133="","⚠ أدخل التاريخ","✓ سليم"))))))))</f>
        <v/>
      </c>
    </row>
    <row r="134" customFormat="false" ht="15" hidden="false" customHeight="false" outlineLevel="0" collapsed="false">
      <c r="A134" s="13"/>
      <c r="B134" s="14"/>
      <c r="C134" s="14"/>
      <c r="D134" s="15" t="str">
        <f aca="false">IF(C134="","",IFERROR(INDEX('دليل الأصناف'!$A$4:$A$203,MATCH(C134,'دليل الأصناف'!$B$4:$B$203,0)),"غير مسجل"))</f>
        <v/>
      </c>
      <c r="E134" s="16"/>
      <c r="F134" s="17"/>
      <c r="G134" s="18"/>
      <c r="H134" s="19" t="n">
        <f aca="false">IF(OR(E134="",F134=""),0,IF(G134="شامل الضريبة",ROUND(ROUND(E134*F134,2)/(1+الإعدادات!$B$5),2),ROUND(E134*F134,2)))</f>
        <v>0</v>
      </c>
      <c r="I134" s="19" t="n">
        <f aca="false">IF(OR(E134="",F134=""),0,IF(G134="شامل الضريبة",ROUND(E134*F134,2)-H134,ROUND(H134*الإعدادات!$B$5,2)))</f>
        <v>0</v>
      </c>
      <c r="J134" s="20" t="n">
        <f aca="false">H134+I134</f>
        <v>0</v>
      </c>
      <c r="K134" s="14"/>
      <c r="L134" s="21" t="str">
        <f aca="false">IF(AND(B134="",C134="",E134="",F134=""),"",IF(B134="","⚠ اختر العميل",IF(COUNTIF('دليل العملاء'!$B$4:$B$203,B134)=0,"⚠ عميل غير مسجل",IF(C134="","⚠ اختر الصنف",IF(COUNTIF('دليل الأصناف'!$B$4:$B$203,C134)=0,"⚠ صنف غير مسجل",IF(E134="","⚠ أدخل الكمية",IF(F134="","⚠ أدخل السعر",IF(A134="","⚠ أدخل التاريخ","✓ سليم"))))))))</f>
        <v/>
      </c>
    </row>
    <row r="135" customFormat="false" ht="15" hidden="false" customHeight="false" outlineLevel="0" collapsed="false">
      <c r="A135" s="13"/>
      <c r="B135" s="14"/>
      <c r="C135" s="14"/>
      <c r="D135" s="15" t="str">
        <f aca="false">IF(C135="","",IFERROR(INDEX('دليل الأصناف'!$A$4:$A$203,MATCH(C135,'دليل الأصناف'!$B$4:$B$203,0)),"غير مسجل"))</f>
        <v/>
      </c>
      <c r="E135" s="16"/>
      <c r="F135" s="17"/>
      <c r="G135" s="18"/>
      <c r="H135" s="19" t="n">
        <f aca="false">IF(OR(E135="",F135=""),0,IF(G135="شامل الضريبة",ROUND(ROUND(E135*F135,2)/(1+الإعدادات!$B$5),2),ROUND(E135*F135,2)))</f>
        <v>0</v>
      </c>
      <c r="I135" s="19" t="n">
        <f aca="false">IF(OR(E135="",F135=""),0,IF(G135="شامل الضريبة",ROUND(E135*F135,2)-H135,ROUND(H135*الإعدادات!$B$5,2)))</f>
        <v>0</v>
      </c>
      <c r="J135" s="20" t="n">
        <f aca="false">H135+I135</f>
        <v>0</v>
      </c>
      <c r="K135" s="14"/>
      <c r="L135" s="21" t="str">
        <f aca="false">IF(AND(B135="",C135="",E135="",F135=""),"",IF(B135="","⚠ اختر العميل",IF(COUNTIF('دليل العملاء'!$B$4:$B$203,B135)=0,"⚠ عميل غير مسجل",IF(C135="","⚠ اختر الصنف",IF(COUNTIF('دليل الأصناف'!$B$4:$B$203,C135)=0,"⚠ صنف غير مسجل",IF(E135="","⚠ أدخل الكمية",IF(F135="","⚠ أدخل السعر",IF(A135="","⚠ أدخل التاريخ","✓ سليم"))))))))</f>
        <v/>
      </c>
    </row>
    <row r="136" customFormat="false" ht="15" hidden="false" customHeight="false" outlineLevel="0" collapsed="false">
      <c r="A136" s="13"/>
      <c r="B136" s="14"/>
      <c r="C136" s="14"/>
      <c r="D136" s="15" t="str">
        <f aca="false">IF(C136="","",IFERROR(INDEX('دليل الأصناف'!$A$4:$A$203,MATCH(C136,'دليل الأصناف'!$B$4:$B$203,0)),"غير مسجل"))</f>
        <v/>
      </c>
      <c r="E136" s="16"/>
      <c r="F136" s="17"/>
      <c r="G136" s="18"/>
      <c r="H136" s="19" t="n">
        <f aca="false">IF(OR(E136="",F136=""),0,IF(G136="شامل الضريبة",ROUND(ROUND(E136*F136,2)/(1+الإعدادات!$B$5),2),ROUND(E136*F136,2)))</f>
        <v>0</v>
      </c>
      <c r="I136" s="19" t="n">
        <f aca="false">IF(OR(E136="",F136=""),0,IF(G136="شامل الضريبة",ROUND(E136*F136,2)-H136,ROUND(H136*الإعدادات!$B$5,2)))</f>
        <v>0</v>
      </c>
      <c r="J136" s="20" t="n">
        <f aca="false">H136+I136</f>
        <v>0</v>
      </c>
      <c r="K136" s="14"/>
      <c r="L136" s="21" t="str">
        <f aca="false">IF(AND(B136="",C136="",E136="",F136=""),"",IF(B136="","⚠ اختر العميل",IF(COUNTIF('دليل العملاء'!$B$4:$B$203,B136)=0,"⚠ عميل غير مسجل",IF(C136="","⚠ اختر الصنف",IF(COUNTIF('دليل الأصناف'!$B$4:$B$203,C136)=0,"⚠ صنف غير مسجل",IF(E136="","⚠ أدخل الكمية",IF(F136="","⚠ أدخل السعر",IF(A136="","⚠ أدخل التاريخ","✓ سليم"))))))))</f>
        <v/>
      </c>
    </row>
    <row r="137" customFormat="false" ht="15" hidden="false" customHeight="false" outlineLevel="0" collapsed="false">
      <c r="A137" s="13"/>
      <c r="B137" s="14"/>
      <c r="C137" s="14"/>
      <c r="D137" s="15" t="str">
        <f aca="false">IF(C137="","",IFERROR(INDEX('دليل الأصناف'!$A$4:$A$203,MATCH(C137,'دليل الأصناف'!$B$4:$B$203,0)),"غير مسجل"))</f>
        <v/>
      </c>
      <c r="E137" s="16"/>
      <c r="F137" s="17"/>
      <c r="G137" s="18"/>
      <c r="H137" s="19" t="n">
        <f aca="false">IF(OR(E137="",F137=""),0,IF(G137="شامل الضريبة",ROUND(ROUND(E137*F137,2)/(1+الإعدادات!$B$5),2),ROUND(E137*F137,2)))</f>
        <v>0</v>
      </c>
      <c r="I137" s="19" t="n">
        <f aca="false">IF(OR(E137="",F137=""),0,IF(G137="شامل الضريبة",ROUND(E137*F137,2)-H137,ROUND(H137*الإعدادات!$B$5,2)))</f>
        <v>0</v>
      </c>
      <c r="J137" s="20" t="n">
        <f aca="false">H137+I137</f>
        <v>0</v>
      </c>
      <c r="K137" s="14"/>
      <c r="L137" s="21" t="str">
        <f aca="false">IF(AND(B137="",C137="",E137="",F137=""),"",IF(B137="","⚠ اختر العميل",IF(COUNTIF('دليل العملاء'!$B$4:$B$203,B137)=0,"⚠ عميل غير مسجل",IF(C137="","⚠ اختر الصنف",IF(COUNTIF('دليل الأصناف'!$B$4:$B$203,C137)=0,"⚠ صنف غير مسجل",IF(E137="","⚠ أدخل الكمية",IF(F137="","⚠ أدخل السعر",IF(A137="","⚠ أدخل التاريخ","✓ سليم"))))))))</f>
        <v/>
      </c>
    </row>
    <row r="138" customFormat="false" ht="15" hidden="false" customHeight="false" outlineLevel="0" collapsed="false">
      <c r="A138" s="13"/>
      <c r="B138" s="14"/>
      <c r="C138" s="14"/>
      <c r="D138" s="15" t="str">
        <f aca="false">IF(C138="","",IFERROR(INDEX('دليل الأصناف'!$A$4:$A$203,MATCH(C138,'دليل الأصناف'!$B$4:$B$203,0)),"غير مسجل"))</f>
        <v/>
      </c>
      <c r="E138" s="16"/>
      <c r="F138" s="17"/>
      <c r="G138" s="18"/>
      <c r="H138" s="19" t="n">
        <f aca="false">IF(OR(E138="",F138=""),0,IF(G138="شامل الضريبة",ROUND(ROUND(E138*F138,2)/(1+الإعدادات!$B$5),2),ROUND(E138*F138,2)))</f>
        <v>0</v>
      </c>
      <c r="I138" s="19" t="n">
        <f aca="false">IF(OR(E138="",F138=""),0,IF(G138="شامل الضريبة",ROUND(E138*F138,2)-H138,ROUND(H138*الإعدادات!$B$5,2)))</f>
        <v>0</v>
      </c>
      <c r="J138" s="20" t="n">
        <f aca="false">H138+I138</f>
        <v>0</v>
      </c>
      <c r="K138" s="14"/>
      <c r="L138" s="21" t="str">
        <f aca="false">IF(AND(B138="",C138="",E138="",F138=""),"",IF(B138="","⚠ اختر العميل",IF(COUNTIF('دليل العملاء'!$B$4:$B$203,B138)=0,"⚠ عميل غير مسجل",IF(C138="","⚠ اختر الصنف",IF(COUNTIF('دليل الأصناف'!$B$4:$B$203,C138)=0,"⚠ صنف غير مسجل",IF(E138="","⚠ أدخل الكمية",IF(F138="","⚠ أدخل السعر",IF(A138="","⚠ أدخل التاريخ","✓ سليم"))))))))</f>
        <v/>
      </c>
    </row>
    <row r="139" customFormat="false" ht="15" hidden="false" customHeight="false" outlineLevel="0" collapsed="false">
      <c r="A139" s="13"/>
      <c r="B139" s="14"/>
      <c r="C139" s="14"/>
      <c r="D139" s="15" t="str">
        <f aca="false">IF(C139="","",IFERROR(INDEX('دليل الأصناف'!$A$4:$A$203,MATCH(C139,'دليل الأصناف'!$B$4:$B$203,0)),"غير مسجل"))</f>
        <v/>
      </c>
      <c r="E139" s="16"/>
      <c r="F139" s="17"/>
      <c r="G139" s="18"/>
      <c r="H139" s="19" t="n">
        <f aca="false">IF(OR(E139="",F139=""),0,IF(G139="شامل الضريبة",ROUND(ROUND(E139*F139,2)/(1+الإعدادات!$B$5),2),ROUND(E139*F139,2)))</f>
        <v>0</v>
      </c>
      <c r="I139" s="19" t="n">
        <f aca="false">IF(OR(E139="",F139=""),0,IF(G139="شامل الضريبة",ROUND(E139*F139,2)-H139,ROUND(H139*الإعدادات!$B$5,2)))</f>
        <v>0</v>
      </c>
      <c r="J139" s="20" t="n">
        <f aca="false">H139+I139</f>
        <v>0</v>
      </c>
      <c r="K139" s="14"/>
      <c r="L139" s="21" t="str">
        <f aca="false">IF(AND(B139="",C139="",E139="",F139=""),"",IF(B139="","⚠ اختر العميل",IF(COUNTIF('دليل العملاء'!$B$4:$B$203,B139)=0,"⚠ عميل غير مسجل",IF(C139="","⚠ اختر الصنف",IF(COUNTIF('دليل الأصناف'!$B$4:$B$203,C139)=0,"⚠ صنف غير مسجل",IF(E139="","⚠ أدخل الكمية",IF(F139="","⚠ أدخل السعر",IF(A139="","⚠ أدخل التاريخ","✓ سليم"))))))))</f>
        <v/>
      </c>
    </row>
    <row r="140" customFormat="false" ht="15" hidden="false" customHeight="false" outlineLevel="0" collapsed="false">
      <c r="A140" s="13"/>
      <c r="B140" s="14"/>
      <c r="C140" s="14"/>
      <c r="D140" s="15" t="str">
        <f aca="false">IF(C140="","",IFERROR(INDEX('دليل الأصناف'!$A$4:$A$203,MATCH(C140,'دليل الأصناف'!$B$4:$B$203,0)),"غير مسجل"))</f>
        <v/>
      </c>
      <c r="E140" s="16"/>
      <c r="F140" s="17"/>
      <c r="G140" s="18"/>
      <c r="H140" s="19" t="n">
        <f aca="false">IF(OR(E140="",F140=""),0,IF(G140="شامل الضريبة",ROUND(ROUND(E140*F140,2)/(1+الإعدادات!$B$5),2),ROUND(E140*F140,2)))</f>
        <v>0</v>
      </c>
      <c r="I140" s="19" t="n">
        <f aca="false">IF(OR(E140="",F140=""),0,IF(G140="شامل الضريبة",ROUND(E140*F140,2)-H140,ROUND(H140*الإعدادات!$B$5,2)))</f>
        <v>0</v>
      </c>
      <c r="J140" s="20" t="n">
        <f aca="false">H140+I140</f>
        <v>0</v>
      </c>
      <c r="K140" s="14"/>
      <c r="L140" s="21" t="str">
        <f aca="false">IF(AND(B140="",C140="",E140="",F140=""),"",IF(B140="","⚠ اختر العميل",IF(COUNTIF('دليل العملاء'!$B$4:$B$203,B140)=0,"⚠ عميل غير مسجل",IF(C140="","⚠ اختر الصنف",IF(COUNTIF('دليل الأصناف'!$B$4:$B$203,C140)=0,"⚠ صنف غير مسجل",IF(E140="","⚠ أدخل الكمية",IF(F140="","⚠ أدخل السعر",IF(A140="","⚠ أدخل التاريخ","✓ سليم"))))))))</f>
        <v/>
      </c>
    </row>
    <row r="141" customFormat="false" ht="15" hidden="false" customHeight="false" outlineLevel="0" collapsed="false">
      <c r="A141" s="13"/>
      <c r="B141" s="14"/>
      <c r="C141" s="14"/>
      <c r="D141" s="15" t="str">
        <f aca="false">IF(C141="","",IFERROR(INDEX('دليل الأصناف'!$A$4:$A$203,MATCH(C141,'دليل الأصناف'!$B$4:$B$203,0)),"غير مسجل"))</f>
        <v/>
      </c>
      <c r="E141" s="16"/>
      <c r="F141" s="17"/>
      <c r="G141" s="18"/>
      <c r="H141" s="19" t="n">
        <f aca="false">IF(OR(E141="",F141=""),0,IF(G141="شامل الضريبة",ROUND(ROUND(E141*F141,2)/(1+الإعدادات!$B$5),2),ROUND(E141*F141,2)))</f>
        <v>0</v>
      </c>
      <c r="I141" s="19" t="n">
        <f aca="false">IF(OR(E141="",F141=""),0,IF(G141="شامل الضريبة",ROUND(E141*F141,2)-H141,ROUND(H141*الإعدادات!$B$5,2)))</f>
        <v>0</v>
      </c>
      <c r="J141" s="20" t="n">
        <f aca="false">H141+I141</f>
        <v>0</v>
      </c>
      <c r="K141" s="14"/>
      <c r="L141" s="21" t="str">
        <f aca="false">IF(AND(B141="",C141="",E141="",F141=""),"",IF(B141="","⚠ اختر العميل",IF(COUNTIF('دليل العملاء'!$B$4:$B$203,B141)=0,"⚠ عميل غير مسجل",IF(C141="","⚠ اختر الصنف",IF(COUNTIF('دليل الأصناف'!$B$4:$B$203,C141)=0,"⚠ صنف غير مسجل",IF(E141="","⚠ أدخل الكمية",IF(F141="","⚠ أدخل السعر",IF(A141="","⚠ أدخل التاريخ","✓ سليم"))))))))</f>
        <v/>
      </c>
    </row>
    <row r="142" customFormat="false" ht="15" hidden="false" customHeight="false" outlineLevel="0" collapsed="false">
      <c r="A142" s="13"/>
      <c r="B142" s="14"/>
      <c r="C142" s="14"/>
      <c r="D142" s="15" t="str">
        <f aca="false">IF(C142="","",IFERROR(INDEX('دليل الأصناف'!$A$4:$A$203,MATCH(C142,'دليل الأصناف'!$B$4:$B$203,0)),"غير مسجل"))</f>
        <v/>
      </c>
      <c r="E142" s="16"/>
      <c r="F142" s="17"/>
      <c r="G142" s="18"/>
      <c r="H142" s="19" t="n">
        <f aca="false">IF(OR(E142="",F142=""),0,IF(G142="شامل الضريبة",ROUND(ROUND(E142*F142,2)/(1+الإعدادات!$B$5),2),ROUND(E142*F142,2)))</f>
        <v>0</v>
      </c>
      <c r="I142" s="19" t="n">
        <f aca="false">IF(OR(E142="",F142=""),0,IF(G142="شامل الضريبة",ROUND(E142*F142,2)-H142,ROUND(H142*الإعدادات!$B$5,2)))</f>
        <v>0</v>
      </c>
      <c r="J142" s="20" t="n">
        <f aca="false">H142+I142</f>
        <v>0</v>
      </c>
      <c r="K142" s="14"/>
      <c r="L142" s="21" t="str">
        <f aca="false">IF(AND(B142="",C142="",E142="",F142=""),"",IF(B142="","⚠ اختر العميل",IF(COUNTIF('دليل العملاء'!$B$4:$B$203,B142)=0,"⚠ عميل غير مسجل",IF(C142="","⚠ اختر الصنف",IF(COUNTIF('دليل الأصناف'!$B$4:$B$203,C142)=0,"⚠ صنف غير مسجل",IF(E142="","⚠ أدخل الكمية",IF(F142="","⚠ أدخل السعر",IF(A142="","⚠ أدخل التاريخ","✓ سليم"))))))))</f>
        <v/>
      </c>
    </row>
    <row r="143" customFormat="false" ht="15" hidden="false" customHeight="false" outlineLevel="0" collapsed="false">
      <c r="A143" s="13"/>
      <c r="B143" s="14"/>
      <c r="C143" s="14"/>
      <c r="D143" s="15" t="str">
        <f aca="false">IF(C143="","",IFERROR(INDEX('دليل الأصناف'!$A$4:$A$203,MATCH(C143,'دليل الأصناف'!$B$4:$B$203,0)),"غير مسجل"))</f>
        <v/>
      </c>
      <c r="E143" s="16"/>
      <c r="F143" s="17"/>
      <c r="G143" s="18"/>
      <c r="H143" s="19" t="n">
        <f aca="false">IF(OR(E143="",F143=""),0,IF(G143="شامل الضريبة",ROUND(ROUND(E143*F143,2)/(1+الإعدادات!$B$5),2),ROUND(E143*F143,2)))</f>
        <v>0</v>
      </c>
      <c r="I143" s="19" t="n">
        <f aca="false">IF(OR(E143="",F143=""),0,IF(G143="شامل الضريبة",ROUND(E143*F143,2)-H143,ROUND(H143*الإعدادات!$B$5,2)))</f>
        <v>0</v>
      </c>
      <c r="J143" s="20" t="n">
        <f aca="false">H143+I143</f>
        <v>0</v>
      </c>
      <c r="K143" s="14"/>
      <c r="L143" s="21" t="str">
        <f aca="false">IF(AND(B143="",C143="",E143="",F143=""),"",IF(B143="","⚠ اختر العميل",IF(COUNTIF('دليل العملاء'!$B$4:$B$203,B143)=0,"⚠ عميل غير مسجل",IF(C143="","⚠ اختر الصنف",IF(COUNTIF('دليل الأصناف'!$B$4:$B$203,C143)=0,"⚠ صنف غير مسجل",IF(E143="","⚠ أدخل الكمية",IF(F143="","⚠ أدخل السعر",IF(A143="","⚠ أدخل التاريخ","✓ سليم"))))))))</f>
        <v/>
      </c>
    </row>
    <row r="144" customFormat="false" ht="15" hidden="false" customHeight="false" outlineLevel="0" collapsed="false">
      <c r="A144" s="13"/>
      <c r="B144" s="14"/>
      <c r="C144" s="14"/>
      <c r="D144" s="15" t="str">
        <f aca="false">IF(C144="","",IFERROR(INDEX('دليل الأصناف'!$A$4:$A$203,MATCH(C144,'دليل الأصناف'!$B$4:$B$203,0)),"غير مسجل"))</f>
        <v/>
      </c>
      <c r="E144" s="16"/>
      <c r="F144" s="17"/>
      <c r="G144" s="18"/>
      <c r="H144" s="19" t="n">
        <f aca="false">IF(OR(E144="",F144=""),0,IF(G144="شامل الضريبة",ROUND(ROUND(E144*F144,2)/(1+الإعدادات!$B$5),2),ROUND(E144*F144,2)))</f>
        <v>0</v>
      </c>
      <c r="I144" s="19" t="n">
        <f aca="false">IF(OR(E144="",F144=""),0,IF(G144="شامل الضريبة",ROUND(E144*F144,2)-H144,ROUND(H144*الإعدادات!$B$5,2)))</f>
        <v>0</v>
      </c>
      <c r="J144" s="20" t="n">
        <f aca="false">H144+I144</f>
        <v>0</v>
      </c>
      <c r="K144" s="14"/>
      <c r="L144" s="21" t="str">
        <f aca="false">IF(AND(B144="",C144="",E144="",F144=""),"",IF(B144="","⚠ اختر العميل",IF(COUNTIF('دليل العملاء'!$B$4:$B$203,B144)=0,"⚠ عميل غير مسجل",IF(C144="","⚠ اختر الصنف",IF(COUNTIF('دليل الأصناف'!$B$4:$B$203,C144)=0,"⚠ صنف غير مسجل",IF(E144="","⚠ أدخل الكمية",IF(F144="","⚠ أدخل السعر",IF(A144="","⚠ أدخل التاريخ","✓ سليم"))))))))</f>
        <v/>
      </c>
    </row>
    <row r="145" customFormat="false" ht="15" hidden="false" customHeight="false" outlineLevel="0" collapsed="false">
      <c r="A145" s="13"/>
      <c r="B145" s="14"/>
      <c r="C145" s="14"/>
      <c r="D145" s="15" t="str">
        <f aca="false">IF(C145="","",IFERROR(INDEX('دليل الأصناف'!$A$4:$A$203,MATCH(C145,'دليل الأصناف'!$B$4:$B$203,0)),"غير مسجل"))</f>
        <v/>
      </c>
      <c r="E145" s="16"/>
      <c r="F145" s="17"/>
      <c r="G145" s="18"/>
      <c r="H145" s="19" t="n">
        <f aca="false">IF(OR(E145="",F145=""),0,IF(G145="شامل الضريبة",ROUND(ROUND(E145*F145,2)/(1+الإعدادات!$B$5),2),ROUND(E145*F145,2)))</f>
        <v>0</v>
      </c>
      <c r="I145" s="19" t="n">
        <f aca="false">IF(OR(E145="",F145=""),0,IF(G145="شامل الضريبة",ROUND(E145*F145,2)-H145,ROUND(H145*الإعدادات!$B$5,2)))</f>
        <v>0</v>
      </c>
      <c r="J145" s="20" t="n">
        <f aca="false">H145+I145</f>
        <v>0</v>
      </c>
      <c r="K145" s="14"/>
      <c r="L145" s="21" t="str">
        <f aca="false">IF(AND(B145="",C145="",E145="",F145=""),"",IF(B145="","⚠ اختر العميل",IF(COUNTIF('دليل العملاء'!$B$4:$B$203,B145)=0,"⚠ عميل غير مسجل",IF(C145="","⚠ اختر الصنف",IF(COUNTIF('دليل الأصناف'!$B$4:$B$203,C145)=0,"⚠ صنف غير مسجل",IF(E145="","⚠ أدخل الكمية",IF(F145="","⚠ أدخل السعر",IF(A145="","⚠ أدخل التاريخ","✓ سليم"))))))))</f>
        <v/>
      </c>
    </row>
    <row r="146" customFormat="false" ht="15" hidden="false" customHeight="false" outlineLevel="0" collapsed="false">
      <c r="A146" s="13"/>
      <c r="B146" s="14"/>
      <c r="C146" s="14"/>
      <c r="D146" s="15" t="str">
        <f aca="false">IF(C146="","",IFERROR(INDEX('دليل الأصناف'!$A$4:$A$203,MATCH(C146,'دليل الأصناف'!$B$4:$B$203,0)),"غير مسجل"))</f>
        <v/>
      </c>
      <c r="E146" s="16"/>
      <c r="F146" s="17"/>
      <c r="G146" s="18"/>
      <c r="H146" s="19" t="n">
        <f aca="false">IF(OR(E146="",F146=""),0,IF(G146="شامل الضريبة",ROUND(ROUND(E146*F146,2)/(1+الإعدادات!$B$5),2),ROUND(E146*F146,2)))</f>
        <v>0</v>
      </c>
      <c r="I146" s="19" t="n">
        <f aca="false">IF(OR(E146="",F146=""),0,IF(G146="شامل الضريبة",ROUND(E146*F146,2)-H146,ROUND(H146*الإعدادات!$B$5,2)))</f>
        <v>0</v>
      </c>
      <c r="J146" s="20" t="n">
        <f aca="false">H146+I146</f>
        <v>0</v>
      </c>
      <c r="K146" s="14"/>
      <c r="L146" s="21" t="str">
        <f aca="false">IF(AND(B146="",C146="",E146="",F146=""),"",IF(B146="","⚠ اختر العميل",IF(COUNTIF('دليل العملاء'!$B$4:$B$203,B146)=0,"⚠ عميل غير مسجل",IF(C146="","⚠ اختر الصنف",IF(COUNTIF('دليل الأصناف'!$B$4:$B$203,C146)=0,"⚠ صنف غير مسجل",IF(E146="","⚠ أدخل الكمية",IF(F146="","⚠ أدخل السعر",IF(A146="","⚠ أدخل التاريخ","✓ سليم"))))))))</f>
        <v/>
      </c>
    </row>
    <row r="147" customFormat="false" ht="15" hidden="false" customHeight="false" outlineLevel="0" collapsed="false">
      <c r="A147" s="13"/>
      <c r="B147" s="14"/>
      <c r="C147" s="14"/>
      <c r="D147" s="15" t="str">
        <f aca="false">IF(C147="","",IFERROR(INDEX('دليل الأصناف'!$A$4:$A$203,MATCH(C147,'دليل الأصناف'!$B$4:$B$203,0)),"غير مسجل"))</f>
        <v/>
      </c>
      <c r="E147" s="16"/>
      <c r="F147" s="17"/>
      <c r="G147" s="18"/>
      <c r="H147" s="19" t="n">
        <f aca="false">IF(OR(E147="",F147=""),0,IF(G147="شامل الضريبة",ROUND(ROUND(E147*F147,2)/(1+الإعدادات!$B$5),2),ROUND(E147*F147,2)))</f>
        <v>0</v>
      </c>
      <c r="I147" s="19" t="n">
        <f aca="false">IF(OR(E147="",F147=""),0,IF(G147="شامل الضريبة",ROUND(E147*F147,2)-H147,ROUND(H147*الإعدادات!$B$5,2)))</f>
        <v>0</v>
      </c>
      <c r="J147" s="20" t="n">
        <f aca="false">H147+I147</f>
        <v>0</v>
      </c>
      <c r="K147" s="14"/>
      <c r="L147" s="21" t="str">
        <f aca="false">IF(AND(B147="",C147="",E147="",F147=""),"",IF(B147="","⚠ اختر العميل",IF(COUNTIF('دليل العملاء'!$B$4:$B$203,B147)=0,"⚠ عميل غير مسجل",IF(C147="","⚠ اختر الصنف",IF(COUNTIF('دليل الأصناف'!$B$4:$B$203,C147)=0,"⚠ صنف غير مسجل",IF(E147="","⚠ أدخل الكمية",IF(F147="","⚠ أدخل السعر",IF(A147="","⚠ أدخل التاريخ","✓ سليم"))))))))</f>
        <v/>
      </c>
    </row>
    <row r="148" customFormat="false" ht="15" hidden="false" customHeight="false" outlineLevel="0" collapsed="false">
      <c r="A148" s="13"/>
      <c r="B148" s="14"/>
      <c r="C148" s="14"/>
      <c r="D148" s="15" t="str">
        <f aca="false">IF(C148="","",IFERROR(INDEX('دليل الأصناف'!$A$4:$A$203,MATCH(C148,'دليل الأصناف'!$B$4:$B$203,0)),"غير مسجل"))</f>
        <v/>
      </c>
      <c r="E148" s="16"/>
      <c r="F148" s="17"/>
      <c r="G148" s="18"/>
      <c r="H148" s="19" t="n">
        <f aca="false">IF(OR(E148="",F148=""),0,IF(G148="شامل الضريبة",ROUND(ROUND(E148*F148,2)/(1+الإعدادات!$B$5),2),ROUND(E148*F148,2)))</f>
        <v>0</v>
      </c>
      <c r="I148" s="19" t="n">
        <f aca="false">IF(OR(E148="",F148=""),0,IF(G148="شامل الضريبة",ROUND(E148*F148,2)-H148,ROUND(H148*الإعدادات!$B$5,2)))</f>
        <v>0</v>
      </c>
      <c r="J148" s="20" t="n">
        <f aca="false">H148+I148</f>
        <v>0</v>
      </c>
      <c r="K148" s="14"/>
      <c r="L148" s="21" t="str">
        <f aca="false">IF(AND(B148="",C148="",E148="",F148=""),"",IF(B148="","⚠ اختر العميل",IF(COUNTIF('دليل العملاء'!$B$4:$B$203,B148)=0,"⚠ عميل غير مسجل",IF(C148="","⚠ اختر الصنف",IF(COUNTIF('دليل الأصناف'!$B$4:$B$203,C148)=0,"⚠ صنف غير مسجل",IF(E148="","⚠ أدخل الكمية",IF(F148="","⚠ أدخل السعر",IF(A148="","⚠ أدخل التاريخ","✓ سليم"))))))))</f>
        <v/>
      </c>
    </row>
    <row r="149" customFormat="false" ht="15" hidden="false" customHeight="false" outlineLevel="0" collapsed="false">
      <c r="A149" s="13"/>
      <c r="B149" s="14"/>
      <c r="C149" s="14"/>
      <c r="D149" s="15" t="str">
        <f aca="false">IF(C149="","",IFERROR(INDEX('دليل الأصناف'!$A$4:$A$203,MATCH(C149,'دليل الأصناف'!$B$4:$B$203,0)),"غير مسجل"))</f>
        <v/>
      </c>
      <c r="E149" s="16"/>
      <c r="F149" s="17"/>
      <c r="G149" s="18"/>
      <c r="H149" s="19" t="n">
        <f aca="false">IF(OR(E149="",F149=""),0,IF(G149="شامل الضريبة",ROUND(ROUND(E149*F149,2)/(1+الإعدادات!$B$5),2),ROUND(E149*F149,2)))</f>
        <v>0</v>
      </c>
      <c r="I149" s="19" t="n">
        <f aca="false">IF(OR(E149="",F149=""),0,IF(G149="شامل الضريبة",ROUND(E149*F149,2)-H149,ROUND(H149*الإعدادات!$B$5,2)))</f>
        <v>0</v>
      </c>
      <c r="J149" s="20" t="n">
        <f aca="false">H149+I149</f>
        <v>0</v>
      </c>
      <c r="K149" s="14"/>
      <c r="L149" s="21" t="str">
        <f aca="false">IF(AND(B149="",C149="",E149="",F149=""),"",IF(B149="","⚠ اختر العميل",IF(COUNTIF('دليل العملاء'!$B$4:$B$203,B149)=0,"⚠ عميل غير مسجل",IF(C149="","⚠ اختر الصنف",IF(COUNTIF('دليل الأصناف'!$B$4:$B$203,C149)=0,"⚠ صنف غير مسجل",IF(E149="","⚠ أدخل الكمية",IF(F149="","⚠ أدخل السعر",IF(A149="","⚠ أدخل التاريخ","✓ سليم"))))))))</f>
        <v/>
      </c>
    </row>
    <row r="150" customFormat="false" ht="15" hidden="false" customHeight="false" outlineLevel="0" collapsed="false">
      <c r="A150" s="13"/>
      <c r="B150" s="14"/>
      <c r="C150" s="14"/>
      <c r="D150" s="15" t="str">
        <f aca="false">IF(C150="","",IFERROR(INDEX('دليل الأصناف'!$A$4:$A$203,MATCH(C150,'دليل الأصناف'!$B$4:$B$203,0)),"غير مسجل"))</f>
        <v/>
      </c>
      <c r="E150" s="16"/>
      <c r="F150" s="17"/>
      <c r="G150" s="18"/>
      <c r="H150" s="19" t="n">
        <f aca="false">IF(OR(E150="",F150=""),0,IF(G150="شامل الضريبة",ROUND(ROUND(E150*F150,2)/(1+الإعدادات!$B$5),2),ROUND(E150*F150,2)))</f>
        <v>0</v>
      </c>
      <c r="I150" s="19" t="n">
        <f aca="false">IF(OR(E150="",F150=""),0,IF(G150="شامل الضريبة",ROUND(E150*F150,2)-H150,ROUND(H150*الإعدادات!$B$5,2)))</f>
        <v>0</v>
      </c>
      <c r="J150" s="20" t="n">
        <f aca="false">H150+I150</f>
        <v>0</v>
      </c>
      <c r="K150" s="14"/>
      <c r="L150" s="21" t="str">
        <f aca="false">IF(AND(B150="",C150="",E150="",F150=""),"",IF(B150="","⚠ اختر العميل",IF(COUNTIF('دليل العملاء'!$B$4:$B$203,B150)=0,"⚠ عميل غير مسجل",IF(C150="","⚠ اختر الصنف",IF(COUNTIF('دليل الأصناف'!$B$4:$B$203,C150)=0,"⚠ صنف غير مسجل",IF(E150="","⚠ أدخل الكمية",IF(F150="","⚠ أدخل السعر",IF(A150="","⚠ أدخل التاريخ","✓ سليم"))))))))</f>
        <v/>
      </c>
    </row>
    <row r="151" customFormat="false" ht="15" hidden="false" customHeight="false" outlineLevel="0" collapsed="false">
      <c r="A151" s="13"/>
      <c r="B151" s="14"/>
      <c r="C151" s="14"/>
      <c r="D151" s="15" t="str">
        <f aca="false">IF(C151="","",IFERROR(INDEX('دليل الأصناف'!$A$4:$A$203,MATCH(C151,'دليل الأصناف'!$B$4:$B$203,0)),"غير مسجل"))</f>
        <v/>
      </c>
      <c r="E151" s="16"/>
      <c r="F151" s="17"/>
      <c r="G151" s="18"/>
      <c r="H151" s="19" t="n">
        <f aca="false">IF(OR(E151="",F151=""),0,IF(G151="شامل الضريبة",ROUND(ROUND(E151*F151,2)/(1+الإعدادات!$B$5),2),ROUND(E151*F151,2)))</f>
        <v>0</v>
      </c>
      <c r="I151" s="19" t="n">
        <f aca="false">IF(OR(E151="",F151=""),0,IF(G151="شامل الضريبة",ROUND(E151*F151,2)-H151,ROUND(H151*الإعدادات!$B$5,2)))</f>
        <v>0</v>
      </c>
      <c r="J151" s="20" t="n">
        <f aca="false">H151+I151</f>
        <v>0</v>
      </c>
      <c r="K151" s="14"/>
      <c r="L151" s="21" t="str">
        <f aca="false">IF(AND(B151="",C151="",E151="",F151=""),"",IF(B151="","⚠ اختر العميل",IF(COUNTIF('دليل العملاء'!$B$4:$B$203,B151)=0,"⚠ عميل غير مسجل",IF(C151="","⚠ اختر الصنف",IF(COUNTIF('دليل الأصناف'!$B$4:$B$203,C151)=0,"⚠ صنف غير مسجل",IF(E151="","⚠ أدخل الكمية",IF(F151="","⚠ أدخل السعر",IF(A151="","⚠ أدخل التاريخ","✓ سليم"))))))))</f>
        <v/>
      </c>
    </row>
    <row r="152" customFormat="false" ht="15" hidden="false" customHeight="false" outlineLevel="0" collapsed="false">
      <c r="A152" s="13"/>
      <c r="B152" s="14"/>
      <c r="C152" s="14"/>
      <c r="D152" s="15" t="str">
        <f aca="false">IF(C152="","",IFERROR(INDEX('دليل الأصناف'!$A$4:$A$203,MATCH(C152,'دليل الأصناف'!$B$4:$B$203,0)),"غير مسجل"))</f>
        <v/>
      </c>
      <c r="E152" s="16"/>
      <c r="F152" s="17"/>
      <c r="G152" s="18"/>
      <c r="H152" s="19" t="n">
        <f aca="false">IF(OR(E152="",F152=""),0,IF(G152="شامل الضريبة",ROUND(ROUND(E152*F152,2)/(1+الإعدادات!$B$5),2),ROUND(E152*F152,2)))</f>
        <v>0</v>
      </c>
      <c r="I152" s="19" t="n">
        <f aca="false">IF(OR(E152="",F152=""),0,IF(G152="شامل الضريبة",ROUND(E152*F152,2)-H152,ROUND(H152*الإعدادات!$B$5,2)))</f>
        <v>0</v>
      </c>
      <c r="J152" s="20" t="n">
        <f aca="false">H152+I152</f>
        <v>0</v>
      </c>
      <c r="K152" s="14"/>
      <c r="L152" s="21" t="str">
        <f aca="false">IF(AND(B152="",C152="",E152="",F152=""),"",IF(B152="","⚠ اختر العميل",IF(COUNTIF('دليل العملاء'!$B$4:$B$203,B152)=0,"⚠ عميل غير مسجل",IF(C152="","⚠ اختر الصنف",IF(COUNTIF('دليل الأصناف'!$B$4:$B$203,C152)=0,"⚠ صنف غير مسجل",IF(E152="","⚠ أدخل الكمية",IF(F152="","⚠ أدخل السعر",IF(A152="","⚠ أدخل التاريخ","✓ سليم"))))))))</f>
        <v/>
      </c>
    </row>
    <row r="153" customFormat="false" ht="15" hidden="false" customHeight="false" outlineLevel="0" collapsed="false">
      <c r="A153" s="13"/>
      <c r="B153" s="14"/>
      <c r="C153" s="14"/>
      <c r="D153" s="15" t="str">
        <f aca="false">IF(C153="","",IFERROR(INDEX('دليل الأصناف'!$A$4:$A$203,MATCH(C153,'دليل الأصناف'!$B$4:$B$203,0)),"غير مسجل"))</f>
        <v/>
      </c>
      <c r="E153" s="16"/>
      <c r="F153" s="17"/>
      <c r="G153" s="18"/>
      <c r="H153" s="19" t="n">
        <f aca="false">IF(OR(E153="",F153=""),0,IF(G153="شامل الضريبة",ROUND(ROUND(E153*F153,2)/(1+الإعدادات!$B$5),2),ROUND(E153*F153,2)))</f>
        <v>0</v>
      </c>
      <c r="I153" s="19" t="n">
        <f aca="false">IF(OR(E153="",F153=""),0,IF(G153="شامل الضريبة",ROUND(E153*F153,2)-H153,ROUND(H153*الإعدادات!$B$5,2)))</f>
        <v>0</v>
      </c>
      <c r="J153" s="20" t="n">
        <f aca="false">H153+I153</f>
        <v>0</v>
      </c>
      <c r="K153" s="14"/>
      <c r="L153" s="21" t="str">
        <f aca="false">IF(AND(B153="",C153="",E153="",F153=""),"",IF(B153="","⚠ اختر العميل",IF(COUNTIF('دليل العملاء'!$B$4:$B$203,B153)=0,"⚠ عميل غير مسجل",IF(C153="","⚠ اختر الصنف",IF(COUNTIF('دليل الأصناف'!$B$4:$B$203,C153)=0,"⚠ صنف غير مسجل",IF(E153="","⚠ أدخل الكمية",IF(F153="","⚠ أدخل السعر",IF(A153="","⚠ أدخل التاريخ","✓ سليم"))))))))</f>
        <v/>
      </c>
    </row>
    <row r="154" customFormat="false" ht="15" hidden="false" customHeight="false" outlineLevel="0" collapsed="false">
      <c r="A154" s="13"/>
      <c r="B154" s="14"/>
      <c r="C154" s="14"/>
      <c r="D154" s="15" t="str">
        <f aca="false">IF(C154="","",IFERROR(INDEX('دليل الأصناف'!$A$4:$A$203,MATCH(C154,'دليل الأصناف'!$B$4:$B$203,0)),"غير مسجل"))</f>
        <v/>
      </c>
      <c r="E154" s="16"/>
      <c r="F154" s="17"/>
      <c r="G154" s="18"/>
      <c r="H154" s="19" t="n">
        <f aca="false">IF(OR(E154="",F154=""),0,IF(G154="شامل الضريبة",ROUND(ROUND(E154*F154,2)/(1+الإعدادات!$B$5),2),ROUND(E154*F154,2)))</f>
        <v>0</v>
      </c>
      <c r="I154" s="19" t="n">
        <f aca="false">IF(OR(E154="",F154=""),0,IF(G154="شامل الضريبة",ROUND(E154*F154,2)-H154,ROUND(H154*الإعدادات!$B$5,2)))</f>
        <v>0</v>
      </c>
      <c r="J154" s="20" t="n">
        <f aca="false">H154+I154</f>
        <v>0</v>
      </c>
      <c r="K154" s="14"/>
      <c r="L154" s="21" t="str">
        <f aca="false">IF(AND(B154="",C154="",E154="",F154=""),"",IF(B154="","⚠ اختر العميل",IF(COUNTIF('دليل العملاء'!$B$4:$B$203,B154)=0,"⚠ عميل غير مسجل",IF(C154="","⚠ اختر الصنف",IF(COUNTIF('دليل الأصناف'!$B$4:$B$203,C154)=0,"⚠ صنف غير مسجل",IF(E154="","⚠ أدخل الكمية",IF(F154="","⚠ أدخل السعر",IF(A154="","⚠ أدخل التاريخ","✓ سليم"))))))))</f>
        <v/>
      </c>
    </row>
    <row r="155" customFormat="false" ht="15" hidden="false" customHeight="false" outlineLevel="0" collapsed="false">
      <c r="A155" s="13"/>
      <c r="B155" s="14"/>
      <c r="C155" s="14"/>
      <c r="D155" s="15" t="str">
        <f aca="false">IF(C155="","",IFERROR(INDEX('دليل الأصناف'!$A$4:$A$203,MATCH(C155,'دليل الأصناف'!$B$4:$B$203,0)),"غير مسجل"))</f>
        <v/>
      </c>
      <c r="E155" s="16"/>
      <c r="F155" s="17"/>
      <c r="G155" s="18"/>
      <c r="H155" s="19" t="n">
        <f aca="false">IF(OR(E155="",F155=""),0,IF(G155="شامل الضريبة",ROUND(ROUND(E155*F155,2)/(1+الإعدادات!$B$5),2),ROUND(E155*F155,2)))</f>
        <v>0</v>
      </c>
      <c r="I155" s="19" t="n">
        <f aca="false">IF(OR(E155="",F155=""),0,IF(G155="شامل الضريبة",ROUND(E155*F155,2)-H155,ROUND(H155*الإعدادات!$B$5,2)))</f>
        <v>0</v>
      </c>
      <c r="J155" s="20" t="n">
        <f aca="false">H155+I155</f>
        <v>0</v>
      </c>
      <c r="K155" s="14"/>
      <c r="L155" s="21" t="str">
        <f aca="false">IF(AND(B155="",C155="",E155="",F155=""),"",IF(B155="","⚠ اختر العميل",IF(COUNTIF('دليل العملاء'!$B$4:$B$203,B155)=0,"⚠ عميل غير مسجل",IF(C155="","⚠ اختر الصنف",IF(COUNTIF('دليل الأصناف'!$B$4:$B$203,C155)=0,"⚠ صنف غير مسجل",IF(E155="","⚠ أدخل الكمية",IF(F155="","⚠ أدخل السعر",IF(A155="","⚠ أدخل التاريخ","✓ سليم"))))))))</f>
        <v/>
      </c>
    </row>
    <row r="156" customFormat="false" ht="15" hidden="false" customHeight="false" outlineLevel="0" collapsed="false">
      <c r="A156" s="13"/>
      <c r="B156" s="14"/>
      <c r="C156" s="14"/>
      <c r="D156" s="15" t="str">
        <f aca="false">IF(C156="","",IFERROR(INDEX('دليل الأصناف'!$A$4:$A$203,MATCH(C156,'دليل الأصناف'!$B$4:$B$203,0)),"غير مسجل"))</f>
        <v/>
      </c>
      <c r="E156" s="16"/>
      <c r="F156" s="17"/>
      <c r="G156" s="18"/>
      <c r="H156" s="19" t="n">
        <f aca="false">IF(OR(E156="",F156=""),0,IF(G156="شامل الضريبة",ROUND(ROUND(E156*F156,2)/(1+الإعدادات!$B$5),2),ROUND(E156*F156,2)))</f>
        <v>0</v>
      </c>
      <c r="I156" s="19" t="n">
        <f aca="false">IF(OR(E156="",F156=""),0,IF(G156="شامل الضريبة",ROUND(E156*F156,2)-H156,ROUND(H156*الإعدادات!$B$5,2)))</f>
        <v>0</v>
      </c>
      <c r="J156" s="20" t="n">
        <f aca="false">H156+I156</f>
        <v>0</v>
      </c>
      <c r="K156" s="14"/>
      <c r="L156" s="21" t="str">
        <f aca="false">IF(AND(B156="",C156="",E156="",F156=""),"",IF(B156="","⚠ اختر العميل",IF(COUNTIF('دليل العملاء'!$B$4:$B$203,B156)=0,"⚠ عميل غير مسجل",IF(C156="","⚠ اختر الصنف",IF(COUNTIF('دليل الأصناف'!$B$4:$B$203,C156)=0,"⚠ صنف غير مسجل",IF(E156="","⚠ أدخل الكمية",IF(F156="","⚠ أدخل السعر",IF(A156="","⚠ أدخل التاريخ","✓ سليم"))))))))</f>
        <v/>
      </c>
    </row>
    <row r="157" customFormat="false" ht="15" hidden="false" customHeight="false" outlineLevel="0" collapsed="false">
      <c r="A157" s="13"/>
      <c r="B157" s="14"/>
      <c r="C157" s="14"/>
      <c r="D157" s="15" t="str">
        <f aca="false">IF(C157="","",IFERROR(INDEX('دليل الأصناف'!$A$4:$A$203,MATCH(C157,'دليل الأصناف'!$B$4:$B$203,0)),"غير مسجل"))</f>
        <v/>
      </c>
      <c r="E157" s="16"/>
      <c r="F157" s="17"/>
      <c r="G157" s="18"/>
      <c r="H157" s="19" t="n">
        <f aca="false">IF(OR(E157="",F157=""),0,IF(G157="شامل الضريبة",ROUND(ROUND(E157*F157,2)/(1+الإعدادات!$B$5),2),ROUND(E157*F157,2)))</f>
        <v>0</v>
      </c>
      <c r="I157" s="19" t="n">
        <f aca="false">IF(OR(E157="",F157=""),0,IF(G157="شامل الضريبة",ROUND(E157*F157,2)-H157,ROUND(H157*الإعدادات!$B$5,2)))</f>
        <v>0</v>
      </c>
      <c r="J157" s="20" t="n">
        <f aca="false">H157+I157</f>
        <v>0</v>
      </c>
      <c r="K157" s="14"/>
      <c r="L157" s="21" t="str">
        <f aca="false">IF(AND(B157="",C157="",E157="",F157=""),"",IF(B157="","⚠ اختر العميل",IF(COUNTIF('دليل العملاء'!$B$4:$B$203,B157)=0,"⚠ عميل غير مسجل",IF(C157="","⚠ اختر الصنف",IF(COUNTIF('دليل الأصناف'!$B$4:$B$203,C157)=0,"⚠ صنف غير مسجل",IF(E157="","⚠ أدخل الكمية",IF(F157="","⚠ أدخل السعر",IF(A157="","⚠ أدخل التاريخ","✓ سليم"))))))))</f>
        <v/>
      </c>
    </row>
    <row r="158" customFormat="false" ht="15" hidden="false" customHeight="false" outlineLevel="0" collapsed="false">
      <c r="A158" s="13"/>
      <c r="B158" s="14"/>
      <c r="C158" s="14"/>
      <c r="D158" s="15" t="str">
        <f aca="false">IF(C158="","",IFERROR(INDEX('دليل الأصناف'!$A$4:$A$203,MATCH(C158,'دليل الأصناف'!$B$4:$B$203,0)),"غير مسجل"))</f>
        <v/>
      </c>
      <c r="E158" s="16"/>
      <c r="F158" s="17"/>
      <c r="G158" s="18"/>
      <c r="H158" s="19" t="n">
        <f aca="false">IF(OR(E158="",F158=""),0,IF(G158="شامل الضريبة",ROUND(ROUND(E158*F158,2)/(1+الإعدادات!$B$5),2),ROUND(E158*F158,2)))</f>
        <v>0</v>
      </c>
      <c r="I158" s="19" t="n">
        <f aca="false">IF(OR(E158="",F158=""),0,IF(G158="شامل الضريبة",ROUND(E158*F158,2)-H158,ROUND(H158*الإعدادات!$B$5,2)))</f>
        <v>0</v>
      </c>
      <c r="J158" s="20" t="n">
        <f aca="false">H158+I158</f>
        <v>0</v>
      </c>
      <c r="K158" s="14"/>
      <c r="L158" s="21" t="str">
        <f aca="false">IF(AND(B158="",C158="",E158="",F158=""),"",IF(B158="","⚠ اختر العميل",IF(COUNTIF('دليل العملاء'!$B$4:$B$203,B158)=0,"⚠ عميل غير مسجل",IF(C158="","⚠ اختر الصنف",IF(COUNTIF('دليل الأصناف'!$B$4:$B$203,C158)=0,"⚠ صنف غير مسجل",IF(E158="","⚠ أدخل الكمية",IF(F158="","⚠ أدخل السعر",IF(A158="","⚠ أدخل التاريخ","✓ سليم"))))))))</f>
        <v/>
      </c>
    </row>
    <row r="159" customFormat="false" ht="15" hidden="false" customHeight="false" outlineLevel="0" collapsed="false">
      <c r="A159" s="13"/>
      <c r="B159" s="14"/>
      <c r="C159" s="14"/>
      <c r="D159" s="15" t="str">
        <f aca="false">IF(C159="","",IFERROR(INDEX('دليل الأصناف'!$A$4:$A$203,MATCH(C159,'دليل الأصناف'!$B$4:$B$203,0)),"غير مسجل"))</f>
        <v/>
      </c>
      <c r="E159" s="16"/>
      <c r="F159" s="17"/>
      <c r="G159" s="18"/>
      <c r="H159" s="19" t="n">
        <f aca="false">IF(OR(E159="",F159=""),0,IF(G159="شامل الضريبة",ROUND(ROUND(E159*F159,2)/(1+الإعدادات!$B$5),2),ROUND(E159*F159,2)))</f>
        <v>0</v>
      </c>
      <c r="I159" s="19" t="n">
        <f aca="false">IF(OR(E159="",F159=""),0,IF(G159="شامل الضريبة",ROUND(E159*F159,2)-H159,ROUND(H159*الإعدادات!$B$5,2)))</f>
        <v>0</v>
      </c>
      <c r="J159" s="20" t="n">
        <f aca="false">H159+I159</f>
        <v>0</v>
      </c>
      <c r="K159" s="14"/>
      <c r="L159" s="21" t="str">
        <f aca="false">IF(AND(B159="",C159="",E159="",F159=""),"",IF(B159="","⚠ اختر العميل",IF(COUNTIF('دليل العملاء'!$B$4:$B$203,B159)=0,"⚠ عميل غير مسجل",IF(C159="","⚠ اختر الصنف",IF(COUNTIF('دليل الأصناف'!$B$4:$B$203,C159)=0,"⚠ صنف غير مسجل",IF(E159="","⚠ أدخل الكمية",IF(F159="","⚠ أدخل السعر",IF(A159="","⚠ أدخل التاريخ","✓ سليم"))))))))</f>
        <v/>
      </c>
    </row>
    <row r="160" customFormat="false" ht="15" hidden="false" customHeight="false" outlineLevel="0" collapsed="false">
      <c r="A160" s="13"/>
      <c r="B160" s="14"/>
      <c r="C160" s="14"/>
      <c r="D160" s="15" t="str">
        <f aca="false">IF(C160="","",IFERROR(INDEX('دليل الأصناف'!$A$4:$A$203,MATCH(C160,'دليل الأصناف'!$B$4:$B$203,0)),"غير مسجل"))</f>
        <v/>
      </c>
      <c r="E160" s="16"/>
      <c r="F160" s="17"/>
      <c r="G160" s="18"/>
      <c r="H160" s="19" t="n">
        <f aca="false">IF(OR(E160="",F160=""),0,IF(G160="شامل الضريبة",ROUND(ROUND(E160*F160,2)/(1+الإعدادات!$B$5),2),ROUND(E160*F160,2)))</f>
        <v>0</v>
      </c>
      <c r="I160" s="19" t="n">
        <f aca="false">IF(OR(E160="",F160=""),0,IF(G160="شامل الضريبة",ROUND(E160*F160,2)-H160,ROUND(H160*الإعدادات!$B$5,2)))</f>
        <v>0</v>
      </c>
      <c r="J160" s="20" t="n">
        <f aca="false">H160+I160</f>
        <v>0</v>
      </c>
      <c r="K160" s="14"/>
      <c r="L160" s="21" t="str">
        <f aca="false">IF(AND(B160="",C160="",E160="",F160=""),"",IF(B160="","⚠ اختر العميل",IF(COUNTIF('دليل العملاء'!$B$4:$B$203,B160)=0,"⚠ عميل غير مسجل",IF(C160="","⚠ اختر الصنف",IF(COUNTIF('دليل الأصناف'!$B$4:$B$203,C160)=0,"⚠ صنف غير مسجل",IF(E160="","⚠ أدخل الكمية",IF(F160="","⚠ أدخل السعر",IF(A160="","⚠ أدخل التاريخ","✓ سليم"))))))))</f>
        <v/>
      </c>
    </row>
    <row r="161" customFormat="false" ht="15" hidden="false" customHeight="false" outlineLevel="0" collapsed="false">
      <c r="A161" s="13"/>
      <c r="B161" s="14"/>
      <c r="C161" s="14"/>
      <c r="D161" s="15" t="str">
        <f aca="false">IF(C161="","",IFERROR(INDEX('دليل الأصناف'!$A$4:$A$203,MATCH(C161,'دليل الأصناف'!$B$4:$B$203,0)),"غير مسجل"))</f>
        <v/>
      </c>
      <c r="E161" s="16"/>
      <c r="F161" s="17"/>
      <c r="G161" s="18"/>
      <c r="H161" s="19" t="n">
        <f aca="false">IF(OR(E161="",F161=""),0,IF(G161="شامل الضريبة",ROUND(ROUND(E161*F161,2)/(1+الإعدادات!$B$5),2),ROUND(E161*F161,2)))</f>
        <v>0</v>
      </c>
      <c r="I161" s="19" t="n">
        <f aca="false">IF(OR(E161="",F161=""),0,IF(G161="شامل الضريبة",ROUND(E161*F161,2)-H161,ROUND(H161*الإعدادات!$B$5,2)))</f>
        <v>0</v>
      </c>
      <c r="J161" s="20" t="n">
        <f aca="false">H161+I161</f>
        <v>0</v>
      </c>
      <c r="K161" s="14"/>
      <c r="L161" s="21" t="str">
        <f aca="false">IF(AND(B161="",C161="",E161="",F161=""),"",IF(B161="","⚠ اختر العميل",IF(COUNTIF('دليل العملاء'!$B$4:$B$203,B161)=0,"⚠ عميل غير مسجل",IF(C161="","⚠ اختر الصنف",IF(COUNTIF('دليل الأصناف'!$B$4:$B$203,C161)=0,"⚠ صنف غير مسجل",IF(E161="","⚠ أدخل الكمية",IF(F161="","⚠ أدخل السعر",IF(A161="","⚠ أدخل التاريخ","✓ سليم"))))))))</f>
        <v/>
      </c>
    </row>
    <row r="162" customFormat="false" ht="15" hidden="false" customHeight="false" outlineLevel="0" collapsed="false">
      <c r="A162" s="13"/>
      <c r="B162" s="14"/>
      <c r="C162" s="14"/>
      <c r="D162" s="15" t="str">
        <f aca="false">IF(C162="","",IFERROR(INDEX('دليل الأصناف'!$A$4:$A$203,MATCH(C162,'دليل الأصناف'!$B$4:$B$203,0)),"غير مسجل"))</f>
        <v/>
      </c>
      <c r="E162" s="16"/>
      <c r="F162" s="17"/>
      <c r="G162" s="18"/>
      <c r="H162" s="19" t="n">
        <f aca="false">IF(OR(E162="",F162=""),0,IF(G162="شامل الضريبة",ROUND(ROUND(E162*F162,2)/(1+الإعدادات!$B$5),2),ROUND(E162*F162,2)))</f>
        <v>0</v>
      </c>
      <c r="I162" s="19" t="n">
        <f aca="false">IF(OR(E162="",F162=""),0,IF(G162="شامل الضريبة",ROUND(E162*F162,2)-H162,ROUND(H162*الإعدادات!$B$5,2)))</f>
        <v>0</v>
      </c>
      <c r="J162" s="20" t="n">
        <f aca="false">H162+I162</f>
        <v>0</v>
      </c>
      <c r="K162" s="14"/>
      <c r="L162" s="21" t="str">
        <f aca="false">IF(AND(B162="",C162="",E162="",F162=""),"",IF(B162="","⚠ اختر العميل",IF(COUNTIF('دليل العملاء'!$B$4:$B$203,B162)=0,"⚠ عميل غير مسجل",IF(C162="","⚠ اختر الصنف",IF(COUNTIF('دليل الأصناف'!$B$4:$B$203,C162)=0,"⚠ صنف غير مسجل",IF(E162="","⚠ أدخل الكمية",IF(F162="","⚠ أدخل السعر",IF(A162="","⚠ أدخل التاريخ","✓ سليم"))))))))</f>
        <v/>
      </c>
    </row>
    <row r="163" customFormat="false" ht="15" hidden="false" customHeight="false" outlineLevel="0" collapsed="false">
      <c r="A163" s="13"/>
      <c r="B163" s="14"/>
      <c r="C163" s="14"/>
      <c r="D163" s="15" t="str">
        <f aca="false">IF(C163="","",IFERROR(INDEX('دليل الأصناف'!$A$4:$A$203,MATCH(C163,'دليل الأصناف'!$B$4:$B$203,0)),"غير مسجل"))</f>
        <v/>
      </c>
      <c r="E163" s="16"/>
      <c r="F163" s="17"/>
      <c r="G163" s="18"/>
      <c r="H163" s="19" t="n">
        <f aca="false">IF(OR(E163="",F163=""),0,IF(G163="شامل الضريبة",ROUND(ROUND(E163*F163,2)/(1+الإعدادات!$B$5),2),ROUND(E163*F163,2)))</f>
        <v>0</v>
      </c>
      <c r="I163" s="19" t="n">
        <f aca="false">IF(OR(E163="",F163=""),0,IF(G163="شامل الضريبة",ROUND(E163*F163,2)-H163,ROUND(H163*الإعدادات!$B$5,2)))</f>
        <v>0</v>
      </c>
      <c r="J163" s="20" t="n">
        <f aca="false">H163+I163</f>
        <v>0</v>
      </c>
      <c r="K163" s="14"/>
      <c r="L163" s="21" t="str">
        <f aca="false">IF(AND(B163="",C163="",E163="",F163=""),"",IF(B163="","⚠ اختر العميل",IF(COUNTIF('دليل العملاء'!$B$4:$B$203,B163)=0,"⚠ عميل غير مسجل",IF(C163="","⚠ اختر الصنف",IF(COUNTIF('دليل الأصناف'!$B$4:$B$203,C163)=0,"⚠ صنف غير مسجل",IF(E163="","⚠ أدخل الكمية",IF(F163="","⚠ أدخل السعر",IF(A163="","⚠ أدخل التاريخ","✓ سليم"))))))))</f>
        <v/>
      </c>
    </row>
    <row r="164" customFormat="false" ht="15" hidden="false" customHeight="false" outlineLevel="0" collapsed="false">
      <c r="A164" s="13"/>
      <c r="B164" s="14"/>
      <c r="C164" s="14"/>
      <c r="D164" s="15" t="str">
        <f aca="false">IF(C164="","",IFERROR(INDEX('دليل الأصناف'!$A$4:$A$203,MATCH(C164,'دليل الأصناف'!$B$4:$B$203,0)),"غير مسجل"))</f>
        <v/>
      </c>
      <c r="E164" s="16"/>
      <c r="F164" s="17"/>
      <c r="G164" s="18"/>
      <c r="H164" s="19" t="n">
        <f aca="false">IF(OR(E164="",F164=""),0,IF(G164="شامل الضريبة",ROUND(ROUND(E164*F164,2)/(1+الإعدادات!$B$5),2),ROUND(E164*F164,2)))</f>
        <v>0</v>
      </c>
      <c r="I164" s="19" t="n">
        <f aca="false">IF(OR(E164="",F164=""),0,IF(G164="شامل الضريبة",ROUND(E164*F164,2)-H164,ROUND(H164*الإعدادات!$B$5,2)))</f>
        <v>0</v>
      </c>
      <c r="J164" s="20" t="n">
        <f aca="false">H164+I164</f>
        <v>0</v>
      </c>
      <c r="K164" s="14"/>
      <c r="L164" s="21" t="str">
        <f aca="false">IF(AND(B164="",C164="",E164="",F164=""),"",IF(B164="","⚠ اختر العميل",IF(COUNTIF('دليل العملاء'!$B$4:$B$203,B164)=0,"⚠ عميل غير مسجل",IF(C164="","⚠ اختر الصنف",IF(COUNTIF('دليل الأصناف'!$B$4:$B$203,C164)=0,"⚠ صنف غير مسجل",IF(E164="","⚠ أدخل الكمية",IF(F164="","⚠ أدخل السعر",IF(A164="","⚠ أدخل التاريخ","✓ سليم"))))))))</f>
        <v/>
      </c>
    </row>
    <row r="165" customFormat="false" ht="15" hidden="false" customHeight="false" outlineLevel="0" collapsed="false">
      <c r="A165" s="13"/>
      <c r="B165" s="14"/>
      <c r="C165" s="14"/>
      <c r="D165" s="15" t="str">
        <f aca="false">IF(C165="","",IFERROR(INDEX('دليل الأصناف'!$A$4:$A$203,MATCH(C165,'دليل الأصناف'!$B$4:$B$203,0)),"غير مسجل"))</f>
        <v/>
      </c>
      <c r="E165" s="16"/>
      <c r="F165" s="17"/>
      <c r="G165" s="18"/>
      <c r="H165" s="19" t="n">
        <f aca="false">IF(OR(E165="",F165=""),0,IF(G165="شامل الضريبة",ROUND(ROUND(E165*F165,2)/(1+الإعدادات!$B$5),2),ROUND(E165*F165,2)))</f>
        <v>0</v>
      </c>
      <c r="I165" s="19" t="n">
        <f aca="false">IF(OR(E165="",F165=""),0,IF(G165="شامل الضريبة",ROUND(E165*F165,2)-H165,ROUND(H165*الإعدادات!$B$5,2)))</f>
        <v>0</v>
      </c>
      <c r="J165" s="20" t="n">
        <f aca="false">H165+I165</f>
        <v>0</v>
      </c>
      <c r="K165" s="14"/>
      <c r="L165" s="21" t="str">
        <f aca="false">IF(AND(B165="",C165="",E165="",F165=""),"",IF(B165="","⚠ اختر العميل",IF(COUNTIF('دليل العملاء'!$B$4:$B$203,B165)=0,"⚠ عميل غير مسجل",IF(C165="","⚠ اختر الصنف",IF(COUNTIF('دليل الأصناف'!$B$4:$B$203,C165)=0,"⚠ صنف غير مسجل",IF(E165="","⚠ أدخل الكمية",IF(F165="","⚠ أدخل السعر",IF(A165="","⚠ أدخل التاريخ","✓ سليم"))))))))</f>
        <v/>
      </c>
    </row>
    <row r="166" customFormat="false" ht="15" hidden="false" customHeight="false" outlineLevel="0" collapsed="false">
      <c r="A166" s="13"/>
      <c r="B166" s="14"/>
      <c r="C166" s="14"/>
      <c r="D166" s="15" t="str">
        <f aca="false">IF(C166="","",IFERROR(INDEX('دليل الأصناف'!$A$4:$A$203,MATCH(C166,'دليل الأصناف'!$B$4:$B$203,0)),"غير مسجل"))</f>
        <v/>
      </c>
      <c r="E166" s="16"/>
      <c r="F166" s="17"/>
      <c r="G166" s="18"/>
      <c r="H166" s="19" t="n">
        <f aca="false">IF(OR(E166="",F166=""),0,IF(G166="شامل الضريبة",ROUND(ROUND(E166*F166,2)/(1+الإعدادات!$B$5),2),ROUND(E166*F166,2)))</f>
        <v>0</v>
      </c>
      <c r="I166" s="19" t="n">
        <f aca="false">IF(OR(E166="",F166=""),0,IF(G166="شامل الضريبة",ROUND(E166*F166,2)-H166,ROUND(H166*الإعدادات!$B$5,2)))</f>
        <v>0</v>
      </c>
      <c r="J166" s="20" t="n">
        <f aca="false">H166+I166</f>
        <v>0</v>
      </c>
      <c r="K166" s="14"/>
      <c r="L166" s="21" t="str">
        <f aca="false">IF(AND(B166="",C166="",E166="",F166=""),"",IF(B166="","⚠ اختر العميل",IF(COUNTIF('دليل العملاء'!$B$4:$B$203,B166)=0,"⚠ عميل غير مسجل",IF(C166="","⚠ اختر الصنف",IF(COUNTIF('دليل الأصناف'!$B$4:$B$203,C166)=0,"⚠ صنف غير مسجل",IF(E166="","⚠ أدخل الكمية",IF(F166="","⚠ أدخل السعر",IF(A166="","⚠ أدخل التاريخ","✓ سليم"))))))))</f>
        <v/>
      </c>
    </row>
    <row r="167" customFormat="false" ht="15" hidden="false" customHeight="false" outlineLevel="0" collapsed="false">
      <c r="A167" s="13"/>
      <c r="B167" s="14"/>
      <c r="C167" s="14"/>
      <c r="D167" s="15" t="str">
        <f aca="false">IF(C167="","",IFERROR(INDEX('دليل الأصناف'!$A$4:$A$203,MATCH(C167,'دليل الأصناف'!$B$4:$B$203,0)),"غير مسجل"))</f>
        <v/>
      </c>
      <c r="E167" s="16"/>
      <c r="F167" s="17"/>
      <c r="G167" s="18"/>
      <c r="H167" s="19" t="n">
        <f aca="false">IF(OR(E167="",F167=""),0,IF(G167="شامل الضريبة",ROUND(ROUND(E167*F167,2)/(1+الإعدادات!$B$5),2),ROUND(E167*F167,2)))</f>
        <v>0</v>
      </c>
      <c r="I167" s="19" t="n">
        <f aca="false">IF(OR(E167="",F167=""),0,IF(G167="شامل الضريبة",ROUND(E167*F167,2)-H167,ROUND(H167*الإعدادات!$B$5,2)))</f>
        <v>0</v>
      </c>
      <c r="J167" s="20" t="n">
        <f aca="false">H167+I167</f>
        <v>0</v>
      </c>
      <c r="K167" s="14"/>
      <c r="L167" s="21" t="str">
        <f aca="false">IF(AND(B167="",C167="",E167="",F167=""),"",IF(B167="","⚠ اختر العميل",IF(COUNTIF('دليل العملاء'!$B$4:$B$203,B167)=0,"⚠ عميل غير مسجل",IF(C167="","⚠ اختر الصنف",IF(COUNTIF('دليل الأصناف'!$B$4:$B$203,C167)=0,"⚠ صنف غير مسجل",IF(E167="","⚠ أدخل الكمية",IF(F167="","⚠ أدخل السعر",IF(A167="","⚠ أدخل التاريخ","✓ سليم"))))))))</f>
        <v/>
      </c>
    </row>
    <row r="168" customFormat="false" ht="15" hidden="false" customHeight="false" outlineLevel="0" collapsed="false">
      <c r="A168" s="13"/>
      <c r="B168" s="14"/>
      <c r="C168" s="14"/>
      <c r="D168" s="15" t="str">
        <f aca="false">IF(C168="","",IFERROR(INDEX('دليل الأصناف'!$A$4:$A$203,MATCH(C168,'دليل الأصناف'!$B$4:$B$203,0)),"غير مسجل"))</f>
        <v/>
      </c>
      <c r="E168" s="16"/>
      <c r="F168" s="17"/>
      <c r="G168" s="18"/>
      <c r="H168" s="19" t="n">
        <f aca="false">IF(OR(E168="",F168=""),0,IF(G168="شامل الضريبة",ROUND(ROUND(E168*F168,2)/(1+الإعدادات!$B$5),2),ROUND(E168*F168,2)))</f>
        <v>0</v>
      </c>
      <c r="I168" s="19" t="n">
        <f aca="false">IF(OR(E168="",F168=""),0,IF(G168="شامل الضريبة",ROUND(E168*F168,2)-H168,ROUND(H168*الإعدادات!$B$5,2)))</f>
        <v>0</v>
      </c>
      <c r="J168" s="20" t="n">
        <f aca="false">H168+I168</f>
        <v>0</v>
      </c>
      <c r="K168" s="14"/>
      <c r="L168" s="21" t="str">
        <f aca="false">IF(AND(B168="",C168="",E168="",F168=""),"",IF(B168="","⚠ اختر العميل",IF(COUNTIF('دليل العملاء'!$B$4:$B$203,B168)=0,"⚠ عميل غير مسجل",IF(C168="","⚠ اختر الصنف",IF(COUNTIF('دليل الأصناف'!$B$4:$B$203,C168)=0,"⚠ صنف غير مسجل",IF(E168="","⚠ أدخل الكمية",IF(F168="","⚠ أدخل السعر",IF(A168="","⚠ أدخل التاريخ","✓ سليم"))))))))</f>
        <v/>
      </c>
    </row>
    <row r="169" customFormat="false" ht="15" hidden="false" customHeight="false" outlineLevel="0" collapsed="false">
      <c r="A169" s="13"/>
      <c r="B169" s="14"/>
      <c r="C169" s="14"/>
      <c r="D169" s="15" t="str">
        <f aca="false">IF(C169="","",IFERROR(INDEX('دليل الأصناف'!$A$4:$A$203,MATCH(C169,'دليل الأصناف'!$B$4:$B$203,0)),"غير مسجل"))</f>
        <v/>
      </c>
      <c r="E169" s="16"/>
      <c r="F169" s="17"/>
      <c r="G169" s="18"/>
      <c r="H169" s="19" t="n">
        <f aca="false">IF(OR(E169="",F169=""),0,IF(G169="شامل الضريبة",ROUND(ROUND(E169*F169,2)/(1+الإعدادات!$B$5),2),ROUND(E169*F169,2)))</f>
        <v>0</v>
      </c>
      <c r="I169" s="19" t="n">
        <f aca="false">IF(OR(E169="",F169=""),0,IF(G169="شامل الضريبة",ROUND(E169*F169,2)-H169,ROUND(H169*الإعدادات!$B$5,2)))</f>
        <v>0</v>
      </c>
      <c r="J169" s="20" t="n">
        <f aca="false">H169+I169</f>
        <v>0</v>
      </c>
      <c r="K169" s="14"/>
      <c r="L169" s="21" t="str">
        <f aca="false">IF(AND(B169="",C169="",E169="",F169=""),"",IF(B169="","⚠ اختر العميل",IF(COUNTIF('دليل العملاء'!$B$4:$B$203,B169)=0,"⚠ عميل غير مسجل",IF(C169="","⚠ اختر الصنف",IF(COUNTIF('دليل الأصناف'!$B$4:$B$203,C169)=0,"⚠ صنف غير مسجل",IF(E169="","⚠ أدخل الكمية",IF(F169="","⚠ أدخل السعر",IF(A169="","⚠ أدخل التاريخ","✓ سليم"))))))))</f>
        <v/>
      </c>
    </row>
    <row r="170" customFormat="false" ht="15" hidden="false" customHeight="false" outlineLevel="0" collapsed="false">
      <c r="A170" s="13"/>
      <c r="B170" s="14"/>
      <c r="C170" s="14"/>
      <c r="D170" s="15" t="str">
        <f aca="false">IF(C170="","",IFERROR(INDEX('دليل الأصناف'!$A$4:$A$203,MATCH(C170,'دليل الأصناف'!$B$4:$B$203,0)),"غير مسجل"))</f>
        <v/>
      </c>
      <c r="E170" s="16"/>
      <c r="F170" s="17"/>
      <c r="G170" s="18"/>
      <c r="H170" s="19" t="n">
        <f aca="false">IF(OR(E170="",F170=""),0,IF(G170="شامل الضريبة",ROUND(ROUND(E170*F170,2)/(1+الإعدادات!$B$5),2),ROUND(E170*F170,2)))</f>
        <v>0</v>
      </c>
      <c r="I170" s="19" t="n">
        <f aca="false">IF(OR(E170="",F170=""),0,IF(G170="شامل الضريبة",ROUND(E170*F170,2)-H170,ROUND(H170*الإعدادات!$B$5,2)))</f>
        <v>0</v>
      </c>
      <c r="J170" s="20" t="n">
        <f aca="false">H170+I170</f>
        <v>0</v>
      </c>
      <c r="K170" s="14"/>
      <c r="L170" s="21" t="str">
        <f aca="false">IF(AND(B170="",C170="",E170="",F170=""),"",IF(B170="","⚠ اختر العميل",IF(COUNTIF('دليل العملاء'!$B$4:$B$203,B170)=0,"⚠ عميل غير مسجل",IF(C170="","⚠ اختر الصنف",IF(COUNTIF('دليل الأصناف'!$B$4:$B$203,C170)=0,"⚠ صنف غير مسجل",IF(E170="","⚠ أدخل الكمية",IF(F170="","⚠ أدخل السعر",IF(A170="","⚠ أدخل التاريخ","✓ سليم"))))))))</f>
        <v/>
      </c>
    </row>
    <row r="171" customFormat="false" ht="15" hidden="false" customHeight="false" outlineLevel="0" collapsed="false">
      <c r="A171" s="13"/>
      <c r="B171" s="14"/>
      <c r="C171" s="14"/>
      <c r="D171" s="15" t="str">
        <f aca="false">IF(C171="","",IFERROR(INDEX('دليل الأصناف'!$A$4:$A$203,MATCH(C171,'دليل الأصناف'!$B$4:$B$203,0)),"غير مسجل"))</f>
        <v/>
      </c>
      <c r="E171" s="16"/>
      <c r="F171" s="17"/>
      <c r="G171" s="18"/>
      <c r="H171" s="19" t="n">
        <f aca="false">IF(OR(E171="",F171=""),0,IF(G171="شامل الضريبة",ROUND(ROUND(E171*F171,2)/(1+الإعدادات!$B$5),2),ROUND(E171*F171,2)))</f>
        <v>0</v>
      </c>
      <c r="I171" s="19" t="n">
        <f aca="false">IF(OR(E171="",F171=""),0,IF(G171="شامل الضريبة",ROUND(E171*F171,2)-H171,ROUND(H171*الإعدادات!$B$5,2)))</f>
        <v>0</v>
      </c>
      <c r="J171" s="20" t="n">
        <f aca="false">H171+I171</f>
        <v>0</v>
      </c>
      <c r="K171" s="14"/>
      <c r="L171" s="21" t="str">
        <f aca="false">IF(AND(B171="",C171="",E171="",F171=""),"",IF(B171="","⚠ اختر العميل",IF(COUNTIF('دليل العملاء'!$B$4:$B$203,B171)=0,"⚠ عميل غير مسجل",IF(C171="","⚠ اختر الصنف",IF(COUNTIF('دليل الأصناف'!$B$4:$B$203,C171)=0,"⚠ صنف غير مسجل",IF(E171="","⚠ أدخل الكمية",IF(F171="","⚠ أدخل السعر",IF(A171="","⚠ أدخل التاريخ","✓ سليم"))))))))</f>
        <v/>
      </c>
    </row>
    <row r="172" customFormat="false" ht="15" hidden="false" customHeight="false" outlineLevel="0" collapsed="false">
      <c r="A172" s="13"/>
      <c r="B172" s="14"/>
      <c r="C172" s="14"/>
      <c r="D172" s="15" t="str">
        <f aca="false">IF(C172="","",IFERROR(INDEX('دليل الأصناف'!$A$4:$A$203,MATCH(C172,'دليل الأصناف'!$B$4:$B$203,0)),"غير مسجل"))</f>
        <v/>
      </c>
      <c r="E172" s="16"/>
      <c r="F172" s="17"/>
      <c r="G172" s="18"/>
      <c r="H172" s="19" t="n">
        <f aca="false">IF(OR(E172="",F172=""),0,IF(G172="شامل الضريبة",ROUND(ROUND(E172*F172,2)/(1+الإعدادات!$B$5),2),ROUND(E172*F172,2)))</f>
        <v>0</v>
      </c>
      <c r="I172" s="19" t="n">
        <f aca="false">IF(OR(E172="",F172=""),0,IF(G172="شامل الضريبة",ROUND(E172*F172,2)-H172,ROUND(H172*الإعدادات!$B$5,2)))</f>
        <v>0</v>
      </c>
      <c r="J172" s="20" t="n">
        <f aca="false">H172+I172</f>
        <v>0</v>
      </c>
      <c r="K172" s="14"/>
      <c r="L172" s="21" t="str">
        <f aca="false">IF(AND(B172="",C172="",E172="",F172=""),"",IF(B172="","⚠ اختر العميل",IF(COUNTIF('دليل العملاء'!$B$4:$B$203,B172)=0,"⚠ عميل غير مسجل",IF(C172="","⚠ اختر الصنف",IF(COUNTIF('دليل الأصناف'!$B$4:$B$203,C172)=0,"⚠ صنف غير مسجل",IF(E172="","⚠ أدخل الكمية",IF(F172="","⚠ أدخل السعر",IF(A172="","⚠ أدخل التاريخ","✓ سليم"))))))))</f>
        <v/>
      </c>
    </row>
    <row r="173" customFormat="false" ht="15" hidden="false" customHeight="false" outlineLevel="0" collapsed="false">
      <c r="A173" s="13"/>
      <c r="B173" s="14"/>
      <c r="C173" s="14"/>
      <c r="D173" s="15" t="str">
        <f aca="false">IF(C173="","",IFERROR(INDEX('دليل الأصناف'!$A$4:$A$203,MATCH(C173,'دليل الأصناف'!$B$4:$B$203,0)),"غير مسجل"))</f>
        <v/>
      </c>
      <c r="E173" s="16"/>
      <c r="F173" s="17"/>
      <c r="G173" s="18"/>
      <c r="H173" s="19" t="n">
        <f aca="false">IF(OR(E173="",F173=""),0,IF(G173="شامل الضريبة",ROUND(ROUND(E173*F173,2)/(1+الإعدادات!$B$5),2),ROUND(E173*F173,2)))</f>
        <v>0</v>
      </c>
      <c r="I173" s="19" t="n">
        <f aca="false">IF(OR(E173="",F173=""),0,IF(G173="شامل الضريبة",ROUND(E173*F173,2)-H173,ROUND(H173*الإعدادات!$B$5,2)))</f>
        <v>0</v>
      </c>
      <c r="J173" s="20" t="n">
        <f aca="false">H173+I173</f>
        <v>0</v>
      </c>
      <c r="K173" s="14"/>
      <c r="L173" s="21" t="str">
        <f aca="false">IF(AND(B173="",C173="",E173="",F173=""),"",IF(B173="","⚠ اختر العميل",IF(COUNTIF('دليل العملاء'!$B$4:$B$203,B173)=0,"⚠ عميل غير مسجل",IF(C173="","⚠ اختر الصنف",IF(COUNTIF('دليل الأصناف'!$B$4:$B$203,C173)=0,"⚠ صنف غير مسجل",IF(E173="","⚠ أدخل الكمية",IF(F173="","⚠ أدخل السعر",IF(A173="","⚠ أدخل التاريخ","✓ سليم"))))))))</f>
        <v/>
      </c>
    </row>
    <row r="174" customFormat="false" ht="15" hidden="false" customHeight="false" outlineLevel="0" collapsed="false">
      <c r="A174" s="13"/>
      <c r="B174" s="14"/>
      <c r="C174" s="14"/>
      <c r="D174" s="15" t="str">
        <f aca="false">IF(C174="","",IFERROR(INDEX('دليل الأصناف'!$A$4:$A$203,MATCH(C174,'دليل الأصناف'!$B$4:$B$203,0)),"غير مسجل"))</f>
        <v/>
      </c>
      <c r="E174" s="16"/>
      <c r="F174" s="17"/>
      <c r="G174" s="18"/>
      <c r="H174" s="19" t="n">
        <f aca="false">IF(OR(E174="",F174=""),0,IF(G174="شامل الضريبة",ROUND(ROUND(E174*F174,2)/(1+الإعدادات!$B$5),2),ROUND(E174*F174,2)))</f>
        <v>0</v>
      </c>
      <c r="I174" s="19" t="n">
        <f aca="false">IF(OR(E174="",F174=""),0,IF(G174="شامل الضريبة",ROUND(E174*F174,2)-H174,ROUND(H174*الإعدادات!$B$5,2)))</f>
        <v>0</v>
      </c>
      <c r="J174" s="20" t="n">
        <f aca="false">H174+I174</f>
        <v>0</v>
      </c>
      <c r="K174" s="14"/>
      <c r="L174" s="21" t="str">
        <f aca="false">IF(AND(B174="",C174="",E174="",F174=""),"",IF(B174="","⚠ اختر العميل",IF(COUNTIF('دليل العملاء'!$B$4:$B$203,B174)=0,"⚠ عميل غير مسجل",IF(C174="","⚠ اختر الصنف",IF(COUNTIF('دليل الأصناف'!$B$4:$B$203,C174)=0,"⚠ صنف غير مسجل",IF(E174="","⚠ أدخل الكمية",IF(F174="","⚠ أدخل السعر",IF(A174="","⚠ أدخل التاريخ","✓ سليم"))))))))</f>
        <v/>
      </c>
    </row>
    <row r="175" customFormat="false" ht="15" hidden="false" customHeight="false" outlineLevel="0" collapsed="false">
      <c r="A175" s="13"/>
      <c r="B175" s="14"/>
      <c r="C175" s="14"/>
      <c r="D175" s="15" t="str">
        <f aca="false">IF(C175="","",IFERROR(INDEX('دليل الأصناف'!$A$4:$A$203,MATCH(C175,'دليل الأصناف'!$B$4:$B$203,0)),"غير مسجل"))</f>
        <v/>
      </c>
      <c r="E175" s="16"/>
      <c r="F175" s="17"/>
      <c r="G175" s="18"/>
      <c r="H175" s="19" t="n">
        <f aca="false">IF(OR(E175="",F175=""),0,IF(G175="شامل الضريبة",ROUND(ROUND(E175*F175,2)/(1+الإعدادات!$B$5),2),ROUND(E175*F175,2)))</f>
        <v>0</v>
      </c>
      <c r="I175" s="19" t="n">
        <f aca="false">IF(OR(E175="",F175=""),0,IF(G175="شامل الضريبة",ROUND(E175*F175,2)-H175,ROUND(H175*الإعدادات!$B$5,2)))</f>
        <v>0</v>
      </c>
      <c r="J175" s="20" t="n">
        <f aca="false">H175+I175</f>
        <v>0</v>
      </c>
      <c r="K175" s="14"/>
      <c r="L175" s="21" t="str">
        <f aca="false">IF(AND(B175="",C175="",E175="",F175=""),"",IF(B175="","⚠ اختر العميل",IF(COUNTIF('دليل العملاء'!$B$4:$B$203,B175)=0,"⚠ عميل غير مسجل",IF(C175="","⚠ اختر الصنف",IF(COUNTIF('دليل الأصناف'!$B$4:$B$203,C175)=0,"⚠ صنف غير مسجل",IF(E175="","⚠ أدخل الكمية",IF(F175="","⚠ أدخل السعر",IF(A175="","⚠ أدخل التاريخ","✓ سليم"))))))))</f>
        <v/>
      </c>
    </row>
    <row r="176" customFormat="false" ht="15" hidden="false" customHeight="false" outlineLevel="0" collapsed="false">
      <c r="A176" s="13"/>
      <c r="B176" s="14"/>
      <c r="C176" s="14"/>
      <c r="D176" s="15" t="str">
        <f aca="false">IF(C176="","",IFERROR(INDEX('دليل الأصناف'!$A$4:$A$203,MATCH(C176,'دليل الأصناف'!$B$4:$B$203,0)),"غير مسجل"))</f>
        <v/>
      </c>
      <c r="E176" s="16"/>
      <c r="F176" s="17"/>
      <c r="G176" s="18"/>
      <c r="H176" s="19" t="n">
        <f aca="false">IF(OR(E176="",F176=""),0,IF(G176="شامل الضريبة",ROUND(ROUND(E176*F176,2)/(1+الإعدادات!$B$5),2),ROUND(E176*F176,2)))</f>
        <v>0</v>
      </c>
      <c r="I176" s="19" t="n">
        <f aca="false">IF(OR(E176="",F176=""),0,IF(G176="شامل الضريبة",ROUND(E176*F176,2)-H176,ROUND(H176*الإعدادات!$B$5,2)))</f>
        <v>0</v>
      </c>
      <c r="J176" s="20" t="n">
        <f aca="false">H176+I176</f>
        <v>0</v>
      </c>
      <c r="K176" s="14"/>
      <c r="L176" s="21" t="str">
        <f aca="false">IF(AND(B176="",C176="",E176="",F176=""),"",IF(B176="","⚠ اختر العميل",IF(COUNTIF('دليل العملاء'!$B$4:$B$203,B176)=0,"⚠ عميل غير مسجل",IF(C176="","⚠ اختر الصنف",IF(COUNTIF('دليل الأصناف'!$B$4:$B$203,C176)=0,"⚠ صنف غير مسجل",IF(E176="","⚠ أدخل الكمية",IF(F176="","⚠ أدخل السعر",IF(A176="","⚠ أدخل التاريخ","✓ سليم"))))))))</f>
        <v/>
      </c>
    </row>
    <row r="177" customFormat="false" ht="15" hidden="false" customHeight="false" outlineLevel="0" collapsed="false">
      <c r="A177" s="13"/>
      <c r="B177" s="14"/>
      <c r="C177" s="14"/>
      <c r="D177" s="15" t="str">
        <f aca="false">IF(C177="","",IFERROR(INDEX('دليل الأصناف'!$A$4:$A$203,MATCH(C177,'دليل الأصناف'!$B$4:$B$203,0)),"غير مسجل"))</f>
        <v/>
      </c>
      <c r="E177" s="16"/>
      <c r="F177" s="17"/>
      <c r="G177" s="18"/>
      <c r="H177" s="19" t="n">
        <f aca="false">IF(OR(E177="",F177=""),0,IF(G177="شامل الضريبة",ROUND(ROUND(E177*F177,2)/(1+الإعدادات!$B$5),2),ROUND(E177*F177,2)))</f>
        <v>0</v>
      </c>
      <c r="I177" s="19" t="n">
        <f aca="false">IF(OR(E177="",F177=""),0,IF(G177="شامل الضريبة",ROUND(E177*F177,2)-H177,ROUND(H177*الإعدادات!$B$5,2)))</f>
        <v>0</v>
      </c>
      <c r="J177" s="20" t="n">
        <f aca="false">H177+I177</f>
        <v>0</v>
      </c>
      <c r="K177" s="14"/>
      <c r="L177" s="21" t="str">
        <f aca="false">IF(AND(B177="",C177="",E177="",F177=""),"",IF(B177="","⚠ اختر العميل",IF(COUNTIF('دليل العملاء'!$B$4:$B$203,B177)=0,"⚠ عميل غير مسجل",IF(C177="","⚠ اختر الصنف",IF(COUNTIF('دليل الأصناف'!$B$4:$B$203,C177)=0,"⚠ صنف غير مسجل",IF(E177="","⚠ أدخل الكمية",IF(F177="","⚠ أدخل السعر",IF(A177="","⚠ أدخل التاريخ","✓ سليم"))))))))</f>
        <v/>
      </c>
    </row>
    <row r="178" customFormat="false" ht="15" hidden="false" customHeight="false" outlineLevel="0" collapsed="false">
      <c r="A178" s="13"/>
      <c r="B178" s="14"/>
      <c r="C178" s="14"/>
      <c r="D178" s="15" t="str">
        <f aca="false">IF(C178="","",IFERROR(INDEX('دليل الأصناف'!$A$4:$A$203,MATCH(C178,'دليل الأصناف'!$B$4:$B$203,0)),"غير مسجل"))</f>
        <v/>
      </c>
      <c r="E178" s="16"/>
      <c r="F178" s="17"/>
      <c r="G178" s="18"/>
      <c r="H178" s="19" t="n">
        <f aca="false">IF(OR(E178="",F178=""),0,IF(G178="شامل الضريبة",ROUND(ROUND(E178*F178,2)/(1+الإعدادات!$B$5),2),ROUND(E178*F178,2)))</f>
        <v>0</v>
      </c>
      <c r="I178" s="19" t="n">
        <f aca="false">IF(OR(E178="",F178=""),0,IF(G178="شامل الضريبة",ROUND(E178*F178,2)-H178,ROUND(H178*الإعدادات!$B$5,2)))</f>
        <v>0</v>
      </c>
      <c r="J178" s="20" t="n">
        <f aca="false">H178+I178</f>
        <v>0</v>
      </c>
      <c r="K178" s="14"/>
      <c r="L178" s="21" t="str">
        <f aca="false">IF(AND(B178="",C178="",E178="",F178=""),"",IF(B178="","⚠ اختر العميل",IF(COUNTIF('دليل العملاء'!$B$4:$B$203,B178)=0,"⚠ عميل غير مسجل",IF(C178="","⚠ اختر الصنف",IF(COUNTIF('دليل الأصناف'!$B$4:$B$203,C178)=0,"⚠ صنف غير مسجل",IF(E178="","⚠ أدخل الكمية",IF(F178="","⚠ أدخل السعر",IF(A178="","⚠ أدخل التاريخ","✓ سليم"))))))))</f>
        <v/>
      </c>
    </row>
    <row r="179" customFormat="false" ht="15" hidden="false" customHeight="false" outlineLevel="0" collapsed="false">
      <c r="A179" s="13"/>
      <c r="B179" s="14"/>
      <c r="C179" s="14"/>
      <c r="D179" s="15" t="str">
        <f aca="false">IF(C179="","",IFERROR(INDEX('دليل الأصناف'!$A$4:$A$203,MATCH(C179,'دليل الأصناف'!$B$4:$B$203,0)),"غير مسجل"))</f>
        <v/>
      </c>
      <c r="E179" s="16"/>
      <c r="F179" s="17"/>
      <c r="G179" s="18"/>
      <c r="H179" s="19" t="n">
        <f aca="false">IF(OR(E179="",F179=""),0,IF(G179="شامل الضريبة",ROUND(ROUND(E179*F179,2)/(1+الإعدادات!$B$5),2),ROUND(E179*F179,2)))</f>
        <v>0</v>
      </c>
      <c r="I179" s="19" t="n">
        <f aca="false">IF(OR(E179="",F179=""),0,IF(G179="شامل الضريبة",ROUND(E179*F179,2)-H179,ROUND(H179*الإعدادات!$B$5,2)))</f>
        <v>0</v>
      </c>
      <c r="J179" s="20" t="n">
        <f aca="false">H179+I179</f>
        <v>0</v>
      </c>
      <c r="K179" s="14"/>
      <c r="L179" s="21" t="str">
        <f aca="false">IF(AND(B179="",C179="",E179="",F179=""),"",IF(B179="","⚠ اختر العميل",IF(COUNTIF('دليل العملاء'!$B$4:$B$203,B179)=0,"⚠ عميل غير مسجل",IF(C179="","⚠ اختر الصنف",IF(COUNTIF('دليل الأصناف'!$B$4:$B$203,C179)=0,"⚠ صنف غير مسجل",IF(E179="","⚠ أدخل الكمية",IF(F179="","⚠ أدخل السعر",IF(A179="","⚠ أدخل التاريخ","✓ سليم"))))))))</f>
        <v/>
      </c>
    </row>
    <row r="180" customFormat="false" ht="15" hidden="false" customHeight="false" outlineLevel="0" collapsed="false">
      <c r="A180" s="13"/>
      <c r="B180" s="14"/>
      <c r="C180" s="14"/>
      <c r="D180" s="15" t="str">
        <f aca="false">IF(C180="","",IFERROR(INDEX('دليل الأصناف'!$A$4:$A$203,MATCH(C180,'دليل الأصناف'!$B$4:$B$203,0)),"غير مسجل"))</f>
        <v/>
      </c>
      <c r="E180" s="16"/>
      <c r="F180" s="17"/>
      <c r="G180" s="18"/>
      <c r="H180" s="19" t="n">
        <f aca="false">IF(OR(E180="",F180=""),0,IF(G180="شامل الضريبة",ROUND(ROUND(E180*F180,2)/(1+الإعدادات!$B$5),2),ROUND(E180*F180,2)))</f>
        <v>0</v>
      </c>
      <c r="I180" s="19" t="n">
        <f aca="false">IF(OR(E180="",F180=""),0,IF(G180="شامل الضريبة",ROUND(E180*F180,2)-H180,ROUND(H180*الإعدادات!$B$5,2)))</f>
        <v>0</v>
      </c>
      <c r="J180" s="20" t="n">
        <f aca="false">H180+I180</f>
        <v>0</v>
      </c>
      <c r="K180" s="14"/>
      <c r="L180" s="21" t="str">
        <f aca="false">IF(AND(B180="",C180="",E180="",F180=""),"",IF(B180="","⚠ اختر العميل",IF(COUNTIF('دليل العملاء'!$B$4:$B$203,B180)=0,"⚠ عميل غير مسجل",IF(C180="","⚠ اختر الصنف",IF(COUNTIF('دليل الأصناف'!$B$4:$B$203,C180)=0,"⚠ صنف غير مسجل",IF(E180="","⚠ أدخل الكمية",IF(F180="","⚠ أدخل السعر",IF(A180="","⚠ أدخل التاريخ","✓ سليم"))))))))</f>
        <v/>
      </c>
    </row>
    <row r="181" customFormat="false" ht="15" hidden="false" customHeight="false" outlineLevel="0" collapsed="false">
      <c r="A181" s="13"/>
      <c r="B181" s="14"/>
      <c r="C181" s="14"/>
      <c r="D181" s="15" t="str">
        <f aca="false">IF(C181="","",IFERROR(INDEX('دليل الأصناف'!$A$4:$A$203,MATCH(C181,'دليل الأصناف'!$B$4:$B$203,0)),"غير مسجل"))</f>
        <v/>
      </c>
      <c r="E181" s="16"/>
      <c r="F181" s="17"/>
      <c r="G181" s="18"/>
      <c r="H181" s="19" t="n">
        <f aca="false">IF(OR(E181="",F181=""),0,IF(G181="شامل الضريبة",ROUND(ROUND(E181*F181,2)/(1+الإعدادات!$B$5),2),ROUND(E181*F181,2)))</f>
        <v>0</v>
      </c>
      <c r="I181" s="19" t="n">
        <f aca="false">IF(OR(E181="",F181=""),0,IF(G181="شامل الضريبة",ROUND(E181*F181,2)-H181,ROUND(H181*الإعدادات!$B$5,2)))</f>
        <v>0</v>
      </c>
      <c r="J181" s="20" t="n">
        <f aca="false">H181+I181</f>
        <v>0</v>
      </c>
      <c r="K181" s="14"/>
      <c r="L181" s="21" t="str">
        <f aca="false">IF(AND(B181="",C181="",E181="",F181=""),"",IF(B181="","⚠ اختر العميل",IF(COUNTIF('دليل العملاء'!$B$4:$B$203,B181)=0,"⚠ عميل غير مسجل",IF(C181="","⚠ اختر الصنف",IF(COUNTIF('دليل الأصناف'!$B$4:$B$203,C181)=0,"⚠ صنف غير مسجل",IF(E181="","⚠ أدخل الكمية",IF(F181="","⚠ أدخل السعر",IF(A181="","⚠ أدخل التاريخ","✓ سليم"))))))))</f>
        <v/>
      </c>
    </row>
    <row r="182" customFormat="false" ht="15" hidden="false" customHeight="false" outlineLevel="0" collapsed="false">
      <c r="A182" s="13"/>
      <c r="B182" s="14"/>
      <c r="C182" s="14"/>
      <c r="D182" s="15" t="str">
        <f aca="false">IF(C182="","",IFERROR(INDEX('دليل الأصناف'!$A$4:$A$203,MATCH(C182,'دليل الأصناف'!$B$4:$B$203,0)),"غير مسجل"))</f>
        <v/>
      </c>
      <c r="E182" s="16"/>
      <c r="F182" s="17"/>
      <c r="G182" s="18"/>
      <c r="H182" s="19" t="n">
        <f aca="false">IF(OR(E182="",F182=""),0,IF(G182="شامل الضريبة",ROUND(ROUND(E182*F182,2)/(1+الإعدادات!$B$5),2),ROUND(E182*F182,2)))</f>
        <v>0</v>
      </c>
      <c r="I182" s="19" t="n">
        <f aca="false">IF(OR(E182="",F182=""),0,IF(G182="شامل الضريبة",ROUND(E182*F182,2)-H182,ROUND(H182*الإعدادات!$B$5,2)))</f>
        <v>0</v>
      </c>
      <c r="J182" s="20" t="n">
        <f aca="false">H182+I182</f>
        <v>0</v>
      </c>
      <c r="K182" s="14"/>
      <c r="L182" s="21" t="str">
        <f aca="false">IF(AND(B182="",C182="",E182="",F182=""),"",IF(B182="","⚠ اختر العميل",IF(COUNTIF('دليل العملاء'!$B$4:$B$203,B182)=0,"⚠ عميل غير مسجل",IF(C182="","⚠ اختر الصنف",IF(COUNTIF('دليل الأصناف'!$B$4:$B$203,C182)=0,"⚠ صنف غير مسجل",IF(E182="","⚠ أدخل الكمية",IF(F182="","⚠ أدخل السعر",IF(A182="","⚠ أدخل التاريخ","✓ سليم"))))))))</f>
        <v/>
      </c>
    </row>
    <row r="183" customFormat="false" ht="15" hidden="false" customHeight="false" outlineLevel="0" collapsed="false">
      <c r="A183" s="13"/>
      <c r="B183" s="14"/>
      <c r="C183" s="14"/>
      <c r="D183" s="15" t="str">
        <f aca="false">IF(C183="","",IFERROR(INDEX('دليل الأصناف'!$A$4:$A$203,MATCH(C183,'دليل الأصناف'!$B$4:$B$203,0)),"غير مسجل"))</f>
        <v/>
      </c>
      <c r="E183" s="16"/>
      <c r="F183" s="17"/>
      <c r="G183" s="18"/>
      <c r="H183" s="19" t="n">
        <f aca="false">IF(OR(E183="",F183=""),0,IF(G183="شامل الضريبة",ROUND(ROUND(E183*F183,2)/(1+الإعدادات!$B$5),2),ROUND(E183*F183,2)))</f>
        <v>0</v>
      </c>
      <c r="I183" s="19" t="n">
        <f aca="false">IF(OR(E183="",F183=""),0,IF(G183="شامل الضريبة",ROUND(E183*F183,2)-H183,ROUND(H183*الإعدادات!$B$5,2)))</f>
        <v>0</v>
      </c>
      <c r="J183" s="20" t="n">
        <f aca="false">H183+I183</f>
        <v>0</v>
      </c>
      <c r="K183" s="14"/>
      <c r="L183" s="21" t="str">
        <f aca="false">IF(AND(B183="",C183="",E183="",F183=""),"",IF(B183="","⚠ اختر العميل",IF(COUNTIF('دليل العملاء'!$B$4:$B$203,B183)=0,"⚠ عميل غير مسجل",IF(C183="","⚠ اختر الصنف",IF(COUNTIF('دليل الأصناف'!$B$4:$B$203,C183)=0,"⚠ صنف غير مسجل",IF(E183="","⚠ أدخل الكمية",IF(F183="","⚠ أدخل السعر",IF(A183="","⚠ أدخل التاريخ","✓ سليم"))))))))</f>
        <v/>
      </c>
    </row>
    <row r="184" customFormat="false" ht="15" hidden="false" customHeight="false" outlineLevel="0" collapsed="false">
      <c r="A184" s="13"/>
      <c r="B184" s="14"/>
      <c r="C184" s="14"/>
      <c r="D184" s="15" t="str">
        <f aca="false">IF(C184="","",IFERROR(INDEX('دليل الأصناف'!$A$4:$A$203,MATCH(C184,'دليل الأصناف'!$B$4:$B$203,0)),"غير مسجل"))</f>
        <v/>
      </c>
      <c r="E184" s="16"/>
      <c r="F184" s="17"/>
      <c r="G184" s="18"/>
      <c r="H184" s="19" t="n">
        <f aca="false">IF(OR(E184="",F184=""),0,IF(G184="شامل الضريبة",ROUND(ROUND(E184*F184,2)/(1+الإعدادات!$B$5),2),ROUND(E184*F184,2)))</f>
        <v>0</v>
      </c>
      <c r="I184" s="19" t="n">
        <f aca="false">IF(OR(E184="",F184=""),0,IF(G184="شامل الضريبة",ROUND(E184*F184,2)-H184,ROUND(H184*الإعدادات!$B$5,2)))</f>
        <v>0</v>
      </c>
      <c r="J184" s="20" t="n">
        <f aca="false">H184+I184</f>
        <v>0</v>
      </c>
      <c r="K184" s="14"/>
      <c r="L184" s="21" t="str">
        <f aca="false">IF(AND(B184="",C184="",E184="",F184=""),"",IF(B184="","⚠ اختر العميل",IF(COUNTIF('دليل العملاء'!$B$4:$B$203,B184)=0,"⚠ عميل غير مسجل",IF(C184="","⚠ اختر الصنف",IF(COUNTIF('دليل الأصناف'!$B$4:$B$203,C184)=0,"⚠ صنف غير مسجل",IF(E184="","⚠ أدخل الكمية",IF(F184="","⚠ أدخل السعر",IF(A184="","⚠ أدخل التاريخ","✓ سليم"))))))))</f>
        <v/>
      </c>
    </row>
    <row r="185" customFormat="false" ht="15" hidden="false" customHeight="false" outlineLevel="0" collapsed="false">
      <c r="A185" s="13"/>
      <c r="B185" s="14"/>
      <c r="C185" s="14"/>
      <c r="D185" s="15" t="str">
        <f aca="false">IF(C185="","",IFERROR(INDEX('دليل الأصناف'!$A$4:$A$203,MATCH(C185,'دليل الأصناف'!$B$4:$B$203,0)),"غير مسجل"))</f>
        <v/>
      </c>
      <c r="E185" s="16"/>
      <c r="F185" s="17"/>
      <c r="G185" s="18"/>
      <c r="H185" s="19" t="n">
        <f aca="false">IF(OR(E185="",F185=""),0,IF(G185="شامل الضريبة",ROUND(ROUND(E185*F185,2)/(1+الإعدادات!$B$5),2),ROUND(E185*F185,2)))</f>
        <v>0</v>
      </c>
      <c r="I185" s="19" t="n">
        <f aca="false">IF(OR(E185="",F185=""),0,IF(G185="شامل الضريبة",ROUND(E185*F185,2)-H185,ROUND(H185*الإعدادات!$B$5,2)))</f>
        <v>0</v>
      </c>
      <c r="J185" s="20" t="n">
        <f aca="false">H185+I185</f>
        <v>0</v>
      </c>
      <c r="K185" s="14"/>
      <c r="L185" s="21" t="str">
        <f aca="false">IF(AND(B185="",C185="",E185="",F185=""),"",IF(B185="","⚠ اختر العميل",IF(COUNTIF('دليل العملاء'!$B$4:$B$203,B185)=0,"⚠ عميل غير مسجل",IF(C185="","⚠ اختر الصنف",IF(COUNTIF('دليل الأصناف'!$B$4:$B$203,C185)=0,"⚠ صنف غير مسجل",IF(E185="","⚠ أدخل الكمية",IF(F185="","⚠ أدخل السعر",IF(A185="","⚠ أدخل التاريخ","✓ سليم"))))))))</f>
        <v/>
      </c>
    </row>
    <row r="186" customFormat="false" ht="15" hidden="false" customHeight="false" outlineLevel="0" collapsed="false">
      <c r="A186" s="13"/>
      <c r="B186" s="14"/>
      <c r="C186" s="14"/>
      <c r="D186" s="15" t="str">
        <f aca="false">IF(C186="","",IFERROR(INDEX('دليل الأصناف'!$A$4:$A$203,MATCH(C186,'دليل الأصناف'!$B$4:$B$203,0)),"غير مسجل"))</f>
        <v/>
      </c>
      <c r="E186" s="16"/>
      <c r="F186" s="17"/>
      <c r="G186" s="18"/>
      <c r="H186" s="19" t="n">
        <f aca="false">IF(OR(E186="",F186=""),0,IF(G186="شامل الضريبة",ROUND(ROUND(E186*F186,2)/(1+الإعدادات!$B$5),2),ROUND(E186*F186,2)))</f>
        <v>0</v>
      </c>
      <c r="I186" s="19" t="n">
        <f aca="false">IF(OR(E186="",F186=""),0,IF(G186="شامل الضريبة",ROUND(E186*F186,2)-H186,ROUND(H186*الإعدادات!$B$5,2)))</f>
        <v>0</v>
      </c>
      <c r="J186" s="20" t="n">
        <f aca="false">H186+I186</f>
        <v>0</v>
      </c>
      <c r="K186" s="14"/>
      <c r="L186" s="21" t="str">
        <f aca="false">IF(AND(B186="",C186="",E186="",F186=""),"",IF(B186="","⚠ اختر العميل",IF(COUNTIF('دليل العملاء'!$B$4:$B$203,B186)=0,"⚠ عميل غير مسجل",IF(C186="","⚠ اختر الصنف",IF(COUNTIF('دليل الأصناف'!$B$4:$B$203,C186)=0,"⚠ صنف غير مسجل",IF(E186="","⚠ أدخل الكمية",IF(F186="","⚠ أدخل السعر",IF(A186="","⚠ أدخل التاريخ","✓ سليم"))))))))</f>
        <v/>
      </c>
    </row>
    <row r="187" customFormat="false" ht="15" hidden="false" customHeight="false" outlineLevel="0" collapsed="false">
      <c r="A187" s="13"/>
      <c r="B187" s="14"/>
      <c r="C187" s="14"/>
      <c r="D187" s="15" t="str">
        <f aca="false">IF(C187="","",IFERROR(INDEX('دليل الأصناف'!$A$4:$A$203,MATCH(C187,'دليل الأصناف'!$B$4:$B$203,0)),"غير مسجل"))</f>
        <v/>
      </c>
      <c r="E187" s="16"/>
      <c r="F187" s="17"/>
      <c r="G187" s="18"/>
      <c r="H187" s="19" t="n">
        <f aca="false">IF(OR(E187="",F187=""),0,IF(G187="شامل الضريبة",ROUND(ROUND(E187*F187,2)/(1+الإعدادات!$B$5),2),ROUND(E187*F187,2)))</f>
        <v>0</v>
      </c>
      <c r="I187" s="19" t="n">
        <f aca="false">IF(OR(E187="",F187=""),0,IF(G187="شامل الضريبة",ROUND(E187*F187,2)-H187,ROUND(H187*الإعدادات!$B$5,2)))</f>
        <v>0</v>
      </c>
      <c r="J187" s="20" t="n">
        <f aca="false">H187+I187</f>
        <v>0</v>
      </c>
      <c r="K187" s="14"/>
      <c r="L187" s="21" t="str">
        <f aca="false">IF(AND(B187="",C187="",E187="",F187=""),"",IF(B187="","⚠ اختر العميل",IF(COUNTIF('دليل العملاء'!$B$4:$B$203,B187)=0,"⚠ عميل غير مسجل",IF(C187="","⚠ اختر الصنف",IF(COUNTIF('دليل الأصناف'!$B$4:$B$203,C187)=0,"⚠ صنف غير مسجل",IF(E187="","⚠ أدخل الكمية",IF(F187="","⚠ أدخل السعر",IF(A187="","⚠ أدخل التاريخ","✓ سليم"))))))))</f>
        <v/>
      </c>
    </row>
    <row r="188" customFormat="false" ht="15" hidden="false" customHeight="false" outlineLevel="0" collapsed="false">
      <c r="A188" s="13"/>
      <c r="B188" s="14"/>
      <c r="C188" s="14"/>
      <c r="D188" s="15" t="str">
        <f aca="false">IF(C188="","",IFERROR(INDEX('دليل الأصناف'!$A$4:$A$203,MATCH(C188,'دليل الأصناف'!$B$4:$B$203,0)),"غير مسجل"))</f>
        <v/>
      </c>
      <c r="E188" s="16"/>
      <c r="F188" s="17"/>
      <c r="G188" s="18"/>
      <c r="H188" s="19" t="n">
        <f aca="false">IF(OR(E188="",F188=""),0,IF(G188="شامل الضريبة",ROUND(ROUND(E188*F188,2)/(1+الإعدادات!$B$5),2),ROUND(E188*F188,2)))</f>
        <v>0</v>
      </c>
      <c r="I188" s="19" t="n">
        <f aca="false">IF(OR(E188="",F188=""),0,IF(G188="شامل الضريبة",ROUND(E188*F188,2)-H188,ROUND(H188*الإعدادات!$B$5,2)))</f>
        <v>0</v>
      </c>
      <c r="J188" s="20" t="n">
        <f aca="false">H188+I188</f>
        <v>0</v>
      </c>
      <c r="K188" s="14"/>
      <c r="L188" s="21" t="str">
        <f aca="false">IF(AND(B188="",C188="",E188="",F188=""),"",IF(B188="","⚠ اختر العميل",IF(COUNTIF('دليل العملاء'!$B$4:$B$203,B188)=0,"⚠ عميل غير مسجل",IF(C188="","⚠ اختر الصنف",IF(COUNTIF('دليل الأصناف'!$B$4:$B$203,C188)=0,"⚠ صنف غير مسجل",IF(E188="","⚠ أدخل الكمية",IF(F188="","⚠ أدخل السعر",IF(A188="","⚠ أدخل التاريخ","✓ سليم"))))))))</f>
        <v/>
      </c>
    </row>
    <row r="189" customFormat="false" ht="15" hidden="false" customHeight="false" outlineLevel="0" collapsed="false">
      <c r="A189" s="13"/>
      <c r="B189" s="14"/>
      <c r="C189" s="14"/>
      <c r="D189" s="15" t="str">
        <f aca="false">IF(C189="","",IFERROR(INDEX('دليل الأصناف'!$A$4:$A$203,MATCH(C189,'دليل الأصناف'!$B$4:$B$203,0)),"غير مسجل"))</f>
        <v/>
      </c>
      <c r="E189" s="16"/>
      <c r="F189" s="17"/>
      <c r="G189" s="18"/>
      <c r="H189" s="19" t="n">
        <f aca="false">IF(OR(E189="",F189=""),0,IF(G189="شامل الضريبة",ROUND(ROUND(E189*F189,2)/(1+الإعدادات!$B$5),2),ROUND(E189*F189,2)))</f>
        <v>0</v>
      </c>
      <c r="I189" s="19" t="n">
        <f aca="false">IF(OR(E189="",F189=""),0,IF(G189="شامل الضريبة",ROUND(E189*F189,2)-H189,ROUND(H189*الإعدادات!$B$5,2)))</f>
        <v>0</v>
      </c>
      <c r="J189" s="20" t="n">
        <f aca="false">H189+I189</f>
        <v>0</v>
      </c>
      <c r="K189" s="14"/>
      <c r="L189" s="21" t="str">
        <f aca="false">IF(AND(B189="",C189="",E189="",F189=""),"",IF(B189="","⚠ اختر العميل",IF(COUNTIF('دليل العملاء'!$B$4:$B$203,B189)=0,"⚠ عميل غير مسجل",IF(C189="","⚠ اختر الصنف",IF(COUNTIF('دليل الأصناف'!$B$4:$B$203,C189)=0,"⚠ صنف غير مسجل",IF(E189="","⚠ أدخل الكمية",IF(F189="","⚠ أدخل السعر",IF(A189="","⚠ أدخل التاريخ","✓ سليم"))))))))</f>
        <v/>
      </c>
    </row>
    <row r="190" customFormat="false" ht="15" hidden="false" customHeight="false" outlineLevel="0" collapsed="false">
      <c r="A190" s="13"/>
      <c r="B190" s="14"/>
      <c r="C190" s="14"/>
      <c r="D190" s="15" t="str">
        <f aca="false">IF(C190="","",IFERROR(INDEX('دليل الأصناف'!$A$4:$A$203,MATCH(C190,'دليل الأصناف'!$B$4:$B$203,0)),"غير مسجل"))</f>
        <v/>
      </c>
      <c r="E190" s="16"/>
      <c r="F190" s="17"/>
      <c r="G190" s="18"/>
      <c r="H190" s="19" t="n">
        <f aca="false">IF(OR(E190="",F190=""),0,IF(G190="شامل الضريبة",ROUND(ROUND(E190*F190,2)/(1+الإعدادات!$B$5),2),ROUND(E190*F190,2)))</f>
        <v>0</v>
      </c>
      <c r="I190" s="19" t="n">
        <f aca="false">IF(OR(E190="",F190=""),0,IF(G190="شامل الضريبة",ROUND(E190*F190,2)-H190,ROUND(H190*الإعدادات!$B$5,2)))</f>
        <v>0</v>
      </c>
      <c r="J190" s="20" t="n">
        <f aca="false">H190+I190</f>
        <v>0</v>
      </c>
      <c r="K190" s="14"/>
      <c r="L190" s="21" t="str">
        <f aca="false">IF(AND(B190="",C190="",E190="",F190=""),"",IF(B190="","⚠ اختر العميل",IF(COUNTIF('دليل العملاء'!$B$4:$B$203,B190)=0,"⚠ عميل غير مسجل",IF(C190="","⚠ اختر الصنف",IF(COUNTIF('دليل الأصناف'!$B$4:$B$203,C190)=0,"⚠ صنف غير مسجل",IF(E190="","⚠ أدخل الكمية",IF(F190="","⚠ أدخل السعر",IF(A190="","⚠ أدخل التاريخ","✓ سليم"))))))))</f>
        <v/>
      </c>
    </row>
    <row r="191" customFormat="false" ht="15" hidden="false" customHeight="false" outlineLevel="0" collapsed="false">
      <c r="A191" s="13"/>
      <c r="B191" s="14"/>
      <c r="C191" s="14"/>
      <c r="D191" s="15" t="str">
        <f aca="false">IF(C191="","",IFERROR(INDEX('دليل الأصناف'!$A$4:$A$203,MATCH(C191,'دليل الأصناف'!$B$4:$B$203,0)),"غير مسجل"))</f>
        <v/>
      </c>
      <c r="E191" s="16"/>
      <c r="F191" s="17"/>
      <c r="G191" s="18"/>
      <c r="H191" s="19" t="n">
        <f aca="false">IF(OR(E191="",F191=""),0,IF(G191="شامل الضريبة",ROUND(ROUND(E191*F191,2)/(1+الإعدادات!$B$5),2),ROUND(E191*F191,2)))</f>
        <v>0</v>
      </c>
      <c r="I191" s="19" t="n">
        <f aca="false">IF(OR(E191="",F191=""),0,IF(G191="شامل الضريبة",ROUND(E191*F191,2)-H191,ROUND(H191*الإعدادات!$B$5,2)))</f>
        <v>0</v>
      </c>
      <c r="J191" s="20" t="n">
        <f aca="false">H191+I191</f>
        <v>0</v>
      </c>
      <c r="K191" s="14"/>
      <c r="L191" s="21" t="str">
        <f aca="false">IF(AND(B191="",C191="",E191="",F191=""),"",IF(B191="","⚠ اختر العميل",IF(COUNTIF('دليل العملاء'!$B$4:$B$203,B191)=0,"⚠ عميل غير مسجل",IF(C191="","⚠ اختر الصنف",IF(COUNTIF('دليل الأصناف'!$B$4:$B$203,C191)=0,"⚠ صنف غير مسجل",IF(E191="","⚠ أدخل الكمية",IF(F191="","⚠ أدخل السعر",IF(A191="","⚠ أدخل التاريخ","✓ سليم"))))))))</f>
        <v/>
      </c>
    </row>
    <row r="192" customFormat="false" ht="15" hidden="false" customHeight="false" outlineLevel="0" collapsed="false">
      <c r="A192" s="13"/>
      <c r="B192" s="14"/>
      <c r="C192" s="14"/>
      <c r="D192" s="15" t="str">
        <f aca="false">IF(C192="","",IFERROR(INDEX('دليل الأصناف'!$A$4:$A$203,MATCH(C192,'دليل الأصناف'!$B$4:$B$203,0)),"غير مسجل"))</f>
        <v/>
      </c>
      <c r="E192" s="16"/>
      <c r="F192" s="17"/>
      <c r="G192" s="18"/>
      <c r="H192" s="19" t="n">
        <f aca="false">IF(OR(E192="",F192=""),0,IF(G192="شامل الضريبة",ROUND(ROUND(E192*F192,2)/(1+الإعدادات!$B$5),2),ROUND(E192*F192,2)))</f>
        <v>0</v>
      </c>
      <c r="I192" s="19" t="n">
        <f aca="false">IF(OR(E192="",F192=""),0,IF(G192="شامل الضريبة",ROUND(E192*F192,2)-H192,ROUND(H192*الإعدادات!$B$5,2)))</f>
        <v>0</v>
      </c>
      <c r="J192" s="20" t="n">
        <f aca="false">H192+I192</f>
        <v>0</v>
      </c>
      <c r="K192" s="14"/>
      <c r="L192" s="21" t="str">
        <f aca="false">IF(AND(B192="",C192="",E192="",F192=""),"",IF(B192="","⚠ اختر العميل",IF(COUNTIF('دليل العملاء'!$B$4:$B$203,B192)=0,"⚠ عميل غير مسجل",IF(C192="","⚠ اختر الصنف",IF(COUNTIF('دليل الأصناف'!$B$4:$B$203,C192)=0,"⚠ صنف غير مسجل",IF(E192="","⚠ أدخل الكمية",IF(F192="","⚠ أدخل السعر",IF(A192="","⚠ أدخل التاريخ","✓ سليم"))))))))</f>
        <v/>
      </c>
    </row>
    <row r="193" customFormat="false" ht="15" hidden="false" customHeight="false" outlineLevel="0" collapsed="false">
      <c r="A193" s="13"/>
      <c r="B193" s="14"/>
      <c r="C193" s="14"/>
      <c r="D193" s="15" t="str">
        <f aca="false">IF(C193="","",IFERROR(INDEX('دليل الأصناف'!$A$4:$A$203,MATCH(C193,'دليل الأصناف'!$B$4:$B$203,0)),"غير مسجل"))</f>
        <v/>
      </c>
      <c r="E193" s="16"/>
      <c r="F193" s="17"/>
      <c r="G193" s="18"/>
      <c r="H193" s="19" t="n">
        <f aca="false">IF(OR(E193="",F193=""),0,IF(G193="شامل الضريبة",ROUND(ROUND(E193*F193,2)/(1+الإعدادات!$B$5),2),ROUND(E193*F193,2)))</f>
        <v>0</v>
      </c>
      <c r="I193" s="19" t="n">
        <f aca="false">IF(OR(E193="",F193=""),0,IF(G193="شامل الضريبة",ROUND(E193*F193,2)-H193,ROUND(H193*الإعدادات!$B$5,2)))</f>
        <v>0</v>
      </c>
      <c r="J193" s="20" t="n">
        <f aca="false">H193+I193</f>
        <v>0</v>
      </c>
      <c r="K193" s="14"/>
      <c r="L193" s="21" t="str">
        <f aca="false">IF(AND(B193="",C193="",E193="",F193=""),"",IF(B193="","⚠ اختر العميل",IF(COUNTIF('دليل العملاء'!$B$4:$B$203,B193)=0,"⚠ عميل غير مسجل",IF(C193="","⚠ اختر الصنف",IF(COUNTIF('دليل الأصناف'!$B$4:$B$203,C193)=0,"⚠ صنف غير مسجل",IF(E193="","⚠ أدخل الكمية",IF(F193="","⚠ أدخل السعر",IF(A193="","⚠ أدخل التاريخ","✓ سليم"))))))))</f>
        <v/>
      </c>
    </row>
    <row r="194" customFormat="false" ht="15" hidden="false" customHeight="false" outlineLevel="0" collapsed="false">
      <c r="A194" s="13"/>
      <c r="B194" s="14"/>
      <c r="C194" s="14"/>
      <c r="D194" s="15" t="str">
        <f aca="false">IF(C194="","",IFERROR(INDEX('دليل الأصناف'!$A$4:$A$203,MATCH(C194,'دليل الأصناف'!$B$4:$B$203,0)),"غير مسجل"))</f>
        <v/>
      </c>
      <c r="E194" s="16"/>
      <c r="F194" s="17"/>
      <c r="G194" s="18"/>
      <c r="H194" s="19" t="n">
        <f aca="false">IF(OR(E194="",F194=""),0,IF(G194="شامل الضريبة",ROUND(ROUND(E194*F194,2)/(1+الإعدادات!$B$5),2),ROUND(E194*F194,2)))</f>
        <v>0</v>
      </c>
      <c r="I194" s="19" t="n">
        <f aca="false">IF(OR(E194="",F194=""),0,IF(G194="شامل الضريبة",ROUND(E194*F194,2)-H194,ROUND(H194*الإعدادات!$B$5,2)))</f>
        <v>0</v>
      </c>
      <c r="J194" s="20" t="n">
        <f aca="false">H194+I194</f>
        <v>0</v>
      </c>
      <c r="K194" s="14"/>
      <c r="L194" s="21" t="str">
        <f aca="false">IF(AND(B194="",C194="",E194="",F194=""),"",IF(B194="","⚠ اختر العميل",IF(COUNTIF('دليل العملاء'!$B$4:$B$203,B194)=0,"⚠ عميل غير مسجل",IF(C194="","⚠ اختر الصنف",IF(COUNTIF('دليل الأصناف'!$B$4:$B$203,C194)=0,"⚠ صنف غير مسجل",IF(E194="","⚠ أدخل الكمية",IF(F194="","⚠ أدخل السعر",IF(A194="","⚠ أدخل التاريخ","✓ سليم"))))))))</f>
        <v/>
      </c>
    </row>
    <row r="195" customFormat="false" ht="15" hidden="false" customHeight="false" outlineLevel="0" collapsed="false">
      <c r="A195" s="13"/>
      <c r="B195" s="14"/>
      <c r="C195" s="14"/>
      <c r="D195" s="15" t="str">
        <f aca="false">IF(C195="","",IFERROR(INDEX('دليل الأصناف'!$A$4:$A$203,MATCH(C195,'دليل الأصناف'!$B$4:$B$203,0)),"غير مسجل"))</f>
        <v/>
      </c>
      <c r="E195" s="16"/>
      <c r="F195" s="17"/>
      <c r="G195" s="18"/>
      <c r="H195" s="19" t="n">
        <f aca="false">IF(OR(E195="",F195=""),0,IF(G195="شامل الضريبة",ROUND(ROUND(E195*F195,2)/(1+الإعدادات!$B$5),2),ROUND(E195*F195,2)))</f>
        <v>0</v>
      </c>
      <c r="I195" s="19" t="n">
        <f aca="false">IF(OR(E195="",F195=""),0,IF(G195="شامل الضريبة",ROUND(E195*F195,2)-H195,ROUND(H195*الإعدادات!$B$5,2)))</f>
        <v>0</v>
      </c>
      <c r="J195" s="20" t="n">
        <f aca="false">H195+I195</f>
        <v>0</v>
      </c>
      <c r="K195" s="14"/>
      <c r="L195" s="21" t="str">
        <f aca="false">IF(AND(B195="",C195="",E195="",F195=""),"",IF(B195="","⚠ اختر العميل",IF(COUNTIF('دليل العملاء'!$B$4:$B$203,B195)=0,"⚠ عميل غير مسجل",IF(C195="","⚠ اختر الصنف",IF(COUNTIF('دليل الأصناف'!$B$4:$B$203,C195)=0,"⚠ صنف غير مسجل",IF(E195="","⚠ أدخل الكمية",IF(F195="","⚠ أدخل السعر",IF(A195="","⚠ أدخل التاريخ","✓ سليم"))))))))</f>
        <v/>
      </c>
    </row>
    <row r="196" customFormat="false" ht="15" hidden="false" customHeight="false" outlineLevel="0" collapsed="false">
      <c r="A196" s="13"/>
      <c r="B196" s="14"/>
      <c r="C196" s="14"/>
      <c r="D196" s="15" t="str">
        <f aca="false">IF(C196="","",IFERROR(INDEX('دليل الأصناف'!$A$4:$A$203,MATCH(C196,'دليل الأصناف'!$B$4:$B$203,0)),"غير مسجل"))</f>
        <v/>
      </c>
      <c r="E196" s="16"/>
      <c r="F196" s="17"/>
      <c r="G196" s="18"/>
      <c r="H196" s="19" t="n">
        <f aca="false">IF(OR(E196="",F196=""),0,IF(G196="شامل الضريبة",ROUND(ROUND(E196*F196,2)/(1+الإعدادات!$B$5),2),ROUND(E196*F196,2)))</f>
        <v>0</v>
      </c>
      <c r="I196" s="19" t="n">
        <f aca="false">IF(OR(E196="",F196=""),0,IF(G196="شامل الضريبة",ROUND(E196*F196,2)-H196,ROUND(H196*الإعدادات!$B$5,2)))</f>
        <v>0</v>
      </c>
      <c r="J196" s="20" t="n">
        <f aca="false">H196+I196</f>
        <v>0</v>
      </c>
      <c r="K196" s="14"/>
      <c r="L196" s="21" t="str">
        <f aca="false">IF(AND(B196="",C196="",E196="",F196=""),"",IF(B196="","⚠ اختر العميل",IF(COUNTIF('دليل العملاء'!$B$4:$B$203,B196)=0,"⚠ عميل غير مسجل",IF(C196="","⚠ اختر الصنف",IF(COUNTIF('دليل الأصناف'!$B$4:$B$203,C196)=0,"⚠ صنف غير مسجل",IF(E196="","⚠ أدخل الكمية",IF(F196="","⚠ أدخل السعر",IF(A196="","⚠ أدخل التاريخ","✓ سليم"))))))))</f>
        <v/>
      </c>
    </row>
    <row r="197" customFormat="false" ht="15" hidden="false" customHeight="false" outlineLevel="0" collapsed="false">
      <c r="A197" s="13"/>
      <c r="B197" s="14"/>
      <c r="C197" s="14"/>
      <c r="D197" s="15" t="str">
        <f aca="false">IF(C197="","",IFERROR(INDEX('دليل الأصناف'!$A$4:$A$203,MATCH(C197,'دليل الأصناف'!$B$4:$B$203,0)),"غير مسجل"))</f>
        <v/>
      </c>
      <c r="E197" s="16"/>
      <c r="F197" s="17"/>
      <c r="G197" s="18"/>
      <c r="H197" s="19" t="n">
        <f aca="false">IF(OR(E197="",F197=""),0,IF(G197="شامل الضريبة",ROUND(ROUND(E197*F197,2)/(1+الإعدادات!$B$5),2),ROUND(E197*F197,2)))</f>
        <v>0</v>
      </c>
      <c r="I197" s="19" t="n">
        <f aca="false">IF(OR(E197="",F197=""),0,IF(G197="شامل الضريبة",ROUND(E197*F197,2)-H197,ROUND(H197*الإعدادات!$B$5,2)))</f>
        <v>0</v>
      </c>
      <c r="J197" s="20" t="n">
        <f aca="false">H197+I197</f>
        <v>0</v>
      </c>
      <c r="K197" s="14"/>
      <c r="L197" s="21" t="str">
        <f aca="false">IF(AND(B197="",C197="",E197="",F197=""),"",IF(B197="","⚠ اختر العميل",IF(COUNTIF('دليل العملاء'!$B$4:$B$203,B197)=0,"⚠ عميل غير مسجل",IF(C197="","⚠ اختر الصنف",IF(COUNTIF('دليل الأصناف'!$B$4:$B$203,C197)=0,"⚠ صنف غير مسجل",IF(E197="","⚠ أدخل الكمية",IF(F197="","⚠ أدخل السعر",IF(A197="","⚠ أدخل التاريخ","✓ سليم"))))))))</f>
        <v/>
      </c>
    </row>
    <row r="198" customFormat="false" ht="15" hidden="false" customHeight="false" outlineLevel="0" collapsed="false">
      <c r="A198" s="13"/>
      <c r="B198" s="14"/>
      <c r="C198" s="14"/>
      <c r="D198" s="15" t="str">
        <f aca="false">IF(C198="","",IFERROR(INDEX('دليل الأصناف'!$A$4:$A$203,MATCH(C198,'دليل الأصناف'!$B$4:$B$203,0)),"غير مسجل"))</f>
        <v/>
      </c>
      <c r="E198" s="16"/>
      <c r="F198" s="17"/>
      <c r="G198" s="18"/>
      <c r="H198" s="19" t="n">
        <f aca="false">IF(OR(E198="",F198=""),0,IF(G198="شامل الضريبة",ROUND(ROUND(E198*F198,2)/(1+الإعدادات!$B$5),2),ROUND(E198*F198,2)))</f>
        <v>0</v>
      </c>
      <c r="I198" s="19" t="n">
        <f aca="false">IF(OR(E198="",F198=""),0,IF(G198="شامل الضريبة",ROUND(E198*F198,2)-H198,ROUND(H198*الإعدادات!$B$5,2)))</f>
        <v>0</v>
      </c>
      <c r="J198" s="20" t="n">
        <f aca="false">H198+I198</f>
        <v>0</v>
      </c>
      <c r="K198" s="14"/>
      <c r="L198" s="21" t="str">
        <f aca="false">IF(AND(B198="",C198="",E198="",F198=""),"",IF(B198="","⚠ اختر العميل",IF(COUNTIF('دليل العملاء'!$B$4:$B$203,B198)=0,"⚠ عميل غير مسجل",IF(C198="","⚠ اختر الصنف",IF(COUNTIF('دليل الأصناف'!$B$4:$B$203,C198)=0,"⚠ صنف غير مسجل",IF(E198="","⚠ أدخل الكمية",IF(F198="","⚠ أدخل السعر",IF(A198="","⚠ أدخل التاريخ","✓ سليم"))))))))</f>
        <v/>
      </c>
    </row>
    <row r="199" customFormat="false" ht="15" hidden="false" customHeight="false" outlineLevel="0" collapsed="false">
      <c r="A199" s="13"/>
      <c r="B199" s="14"/>
      <c r="C199" s="14"/>
      <c r="D199" s="15" t="str">
        <f aca="false">IF(C199="","",IFERROR(INDEX('دليل الأصناف'!$A$4:$A$203,MATCH(C199,'دليل الأصناف'!$B$4:$B$203,0)),"غير مسجل"))</f>
        <v/>
      </c>
      <c r="E199" s="16"/>
      <c r="F199" s="17"/>
      <c r="G199" s="18"/>
      <c r="H199" s="19" t="n">
        <f aca="false">IF(OR(E199="",F199=""),0,IF(G199="شامل الضريبة",ROUND(ROUND(E199*F199,2)/(1+الإعدادات!$B$5),2),ROUND(E199*F199,2)))</f>
        <v>0</v>
      </c>
      <c r="I199" s="19" t="n">
        <f aca="false">IF(OR(E199="",F199=""),0,IF(G199="شامل الضريبة",ROUND(E199*F199,2)-H199,ROUND(H199*الإعدادات!$B$5,2)))</f>
        <v>0</v>
      </c>
      <c r="J199" s="20" t="n">
        <f aca="false">H199+I199</f>
        <v>0</v>
      </c>
      <c r="K199" s="14"/>
      <c r="L199" s="21" t="str">
        <f aca="false">IF(AND(B199="",C199="",E199="",F199=""),"",IF(B199="","⚠ اختر العميل",IF(COUNTIF('دليل العملاء'!$B$4:$B$203,B199)=0,"⚠ عميل غير مسجل",IF(C199="","⚠ اختر الصنف",IF(COUNTIF('دليل الأصناف'!$B$4:$B$203,C199)=0,"⚠ صنف غير مسجل",IF(E199="","⚠ أدخل الكمية",IF(F199="","⚠ أدخل السعر",IF(A199="","⚠ أدخل التاريخ","✓ سليم"))))))))</f>
        <v/>
      </c>
    </row>
    <row r="200" customFormat="false" ht="15" hidden="false" customHeight="false" outlineLevel="0" collapsed="false">
      <c r="A200" s="13"/>
      <c r="B200" s="14"/>
      <c r="C200" s="14"/>
      <c r="D200" s="15" t="str">
        <f aca="false">IF(C200="","",IFERROR(INDEX('دليل الأصناف'!$A$4:$A$203,MATCH(C200,'دليل الأصناف'!$B$4:$B$203,0)),"غير مسجل"))</f>
        <v/>
      </c>
      <c r="E200" s="16"/>
      <c r="F200" s="17"/>
      <c r="G200" s="18"/>
      <c r="H200" s="19" t="n">
        <f aca="false">IF(OR(E200="",F200=""),0,IF(G200="شامل الضريبة",ROUND(ROUND(E200*F200,2)/(1+الإعدادات!$B$5),2),ROUND(E200*F200,2)))</f>
        <v>0</v>
      </c>
      <c r="I200" s="19" t="n">
        <f aca="false">IF(OR(E200="",F200=""),0,IF(G200="شامل الضريبة",ROUND(E200*F200,2)-H200,ROUND(H200*الإعدادات!$B$5,2)))</f>
        <v>0</v>
      </c>
      <c r="J200" s="20" t="n">
        <f aca="false">H200+I200</f>
        <v>0</v>
      </c>
      <c r="K200" s="14"/>
      <c r="L200" s="21" t="str">
        <f aca="false">IF(AND(B200="",C200="",E200="",F200=""),"",IF(B200="","⚠ اختر العميل",IF(COUNTIF('دليل العملاء'!$B$4:$B$203,B200)=0,"⚠ عميل غير مسجل",IF(C200="","⚠ اختر الصنف",IF(COUNTIF('دليل الأصناف'!$B$4:$B$203,C200)=0,"⚠ صنف غير مسجل",IF(E200="","⚠ أدخل الكمية",IF(F200="","⚠ أدخل السعر",IF(A200="","⚠ أدخل التاريخ","✓ سليم"))))))))</f>
        <v/>
      </c>
    </row>
    <row r="201" customFormat="false" ht="15" hidden="false" customHeight="false" outlineLevel="0" collapsed="false">
      <c r="A201" s="13"/>
      <c r="B201" s="14"/>
      <c r="C201" s="14"/>
      <c r="D201" s="15" t="str">
        <f aca="false">IF(C201="","",IFERROR(INDEX('دليل الأصناف'!$A$4:$A$203,MATCH(C201,'دليل الأصناف'!$B$4:$B$203,0)),"غير مسجل"))</f>
        <v/>
      </c>
      <c r="E201" s="16"/>
      <c r="F201" s="17"/>
      <c r="G201" s="18"/>
      <c r="H201" s="19" t="n">
        <f aca="false">IF(OR(E201="",F201=""),0,IF(G201="شامل الضريبة",ROUND(ROUND(E201*F201,2)/(1+الإعدادات!$B$5),2),ROUND(E201*F201,2)))</f>
        <v>0</v>
      </c>
      <c r="I201" s="19" t="n">
        <f aca="false">IF(OR(E201="",F201=""),0,IF(G201="شامل الضريبة",ROUND(E201*F201,2)-H201,ROUND(H201*الإعدادات!$B$5,2)))</f>
        <v>0</v>
      </c>
      <c r="J201" s="20" t="n">
        <f aca="false">H201+I201</f>
        <v>0</v>
      </c>
      <c r="K201" s="14"/>
      <c r="L201" s="21" t="str">
        <f aca="false">IF(AND(B201="",C201="",E201="",F201=""),"",IF(B201="","⚠ اختر العميل",IF(COUNTIF('دليل العملاء'!$B$4:$B$203,B201)=0,"⚠ عميل غير مسجل",IF(C201="","⚠ اختر الصنف",IF(COUNTIF('دليل الأصناف'!$B$4:$B$203,C201)=0,"⚠ صنف غير مسجل",IF(E201="","⚠ أدخل الكمية",IF(F201="","⚠ أدخل السعر",IF(A201="","⚠ أدخل التاريخ","✓ سليم"))))))))</f>
        <v/>
      </c>
    </row>
    <row r="202" customFormat="false" ht="15" hidden="false" customHeight="false" outlineLevel="0" collapsed="false">
      <c r="A202" s="13"/>
      <c r="B202" s="14"/>
      <c r="C202" s="14"/>
      <c r="D202" s="15" t="str">
        <f aca="false">IF(C202="","",IFERROR(INDEX('دليل الأصناف'!$A$4:$A$203,MATCH(C202,'دليل الأصناف'!$B$4:$B$203,0)),"غير مسجل"))</f>
        <v/>
      </c>
      <c r="E202" s="16"/>
      <c r="F202" s="17"/>
      <c r="G202" s="18"/>
      <c r="H202" s="19" t="n">
        <f aca="false">IF(OR(E202="",F202=""),0,IF(G202="شامل الضريبة",ROUND(ROUND(E202*F202,2)/(1+الإعدادات!$B$5),2),ROUND(E202*F202,2)))</f>
        <v>0</v>
      </c>
      <c r="I202" s="19" t="n">
        <f aca="false">IF(OR(E202="",F202=""),0,IF(G202="شامل الضريبة",ROUND(E202*F202,2)-H202,ROUND(H202*الإعدادات!$B$5,2)))</f>
        <v>0</v>
      </c>
      <c r="J202" s="20" t="n">
        <f aca="false">H202+I202</f>
        <v>0</v>
      </c>
      <c r="K202" s="14"/>
      <c r="L202" s="21" t="str">
        <f aca="false">IF(AND(B202="",C202="",E202="",F202=""),"",IF(B202="","⚠ اختر العميل",IF(COUNTIF('دليل العملاء'!$B$4:$B$203,B202)=0,"⚠ عميل غير مسجل",IF(C202="","⚠ اختر الصنف",IF(COUNTIF('دليل الأصناف'!$B$4:$B$203,C202)=0,"⚠ صنف غير مسجل",IF(E202="","⚠ أدخل الكمية",IF(F202="","⚠ أدخل السعر",IF(A202="","⚠ أدخل التاريخ","✓ سليم"))))))))</f>
        <v/>
      </c>
    </row>
    <row r="203" customFormat="false" ht="15" hidden="false" customHeight="false" outlineLevel="0" collapsed="false">
      <c r="A203" s="13"/>
      <c r="B203" s="14"/>
      <c r="C203" s="14"/>
      <c r="D203" s="15" t="str">
        <f aca="false">IF(C203="","",IFERROR(INDEX('دليل الأصناف'!$A$4:$A$203,MATCH(C203,'دليل الأصناف'!$B$4:$B$203,0)),"غير مسجل"))</f>
        <v/>
      </c>
      <c r="E203" s="16"/>
      <c r="F203" s="17"/>
      <c r="G203" s="18"/>
      <c r="H203" s="19" t="n">
        <f aca="false">IF(OR(E203="",F203=""),0,IF(G203="شامل الضريبة",ROUND(ROUND(E203*F203,2)/(1+الإعدادات!$B$5),2),ROUND(E203*F203,2)))</f>
        <v>0</v>
      </c>
      <c r="I203" s="19" t="n">
        <f aca="false">IF(OR(E203="",F203=""),0,IF(G203="شامل الضريبة",ROUND(E203*F203,2)-H203,ROUND(H203*الإعدادات!$B$5,2)))</f>
        <v>0</v>
      </c>
      <c r="J203" s="20" t="n">
        <f aca="false">H203+I203</f>
        <v>0</v>
      </c>
      <c r="K203" s="14"/>
      <c r="L203" s="21" t="str">
        <f aca="false">IF(AND(B203="",C203="",E203="",F203=""),"",IF(B203="","⚠ اختر العميل",IF(COUNTIF('دليل العملاء'!$B$4:$B$203,B203)=0,"⚠ عميل غير مسجل",IF(C203="","⚠ اختر الصنف",IF(COUNTIF('دليل الأصناف'!$B$4:$B$203,C203)=0,"⚠ صنف غير مسجل",IF(E203="","⚠ أدخل الكمية",IF(F203="","⚠ أدخل السعر",IF(A203="","⚠ أدخل التاريخ","✓ سليم"))))))))</f>
        <v/>
      </c>
    </row>
    <row r="204" customFormat="false" ht="15" hidden="false" customHeight="false" outlineLevel="0" collapsed="false">
      <c r="A204" s="13"/>
      <c r="B204" s="14"/>
      <c r="C204" s="14"/>
      <c r="D204" s="15" t="str">
        <f aca="false">IF(C204="","",IFERROR(INDEX('دليل الأصناف'!$A$4:$A$203,MATCH(C204,'دليل الأصناف'!$B$4:$B$203,0)),"غير مسجل"))</f>
        <v/>
      </c>
      <c r="E204" s="16"/>
      <c r="F204" s="17"/>
      <c r="G204" s="18"/>
      <c r="H204" s="19" t="n">
        <f aca="false">IF(OR(E204="",F204=""),0,IF(G204="شامل الضريبة",ROUND(ROUND(E204*F204,2)/(1+الإعدادات!$B$5),2),ROUND(E204*F204,2)))</f>
        <v>0</v>
      </c>
      <c r="I204" s="19" t="n">
        <f aca="false">IF(OR(E204="",F204=""),0,IF(G204="شامل الضريبة",ROUND(E204*F204,2)-H204,ROUND(H204*الإعدادات!$B$5,2)))</f>
        <v>0</v>
      </c>
      <c r="J204" s="20" t="n">
        <f aca="false">H204+I204</f>
        <v>0</v>
      </c>
      <c r="K204" s="14"/>
      <c r="L204" s="21" t="str">
        <f aca="false">IF(AND(B204="",C204="",E204="",F204=""),"",IF(B204="","⚠ اختر العميل",IF(COUNTIF('دليل العملاء'!$B$4:$B$203,B204)=0,"⚠ عميل غير مسجل",IF(C204="","⚠ اختر الصنف",IF(COUNTIF('دليل الأصناف'!$B$4:$B$203,C204)=0,"⚠ صنف غير مسجل",IF(E204="","⚠ أدخل الكمية",IF(F204="","⚠ أدخل السعر",IF(A204="","⚠ أدخل التاريخ","✓ سليم"))))))))</f>
        <v/>
      </c>
    </row>
    <row r="205" customFormat="false" ht="15" hidden="false" customHeight="false" outlineLevel="0" collapsed="false">
      <c r="A205" s="13"/>
      <c r="B205" s="14"/>
      <c r="C205" s="14"/>
      <c r="D205" s="15" t="str">
        <f aca="false">IF(C205="","",IFERROR(INDEX('دليل الأصناف'!$A$4:$A$203,MATCH(C205,'دليل الأصناف'!$B$4:$B$203,0)),"غير مسجل"))</f>
        <v/>
      </c>
      <c r="E205" s="16"/>
      <c r="F205" s="17"/>
      <c r="G205" s="18"/>
      <c r="H205" s="19" t="n">
        <f aca="false">IF(OR(E205="",F205=""),0,IF(G205="شامل الضريبة",ROUND(ROUND(E205*F205,2)/(1+الإعدادات!$B$5),2),ROUND(E205*F205,2)))</f>
        <v>0</v>
      </c>
      <c r="I205" s="19" t="n">
        <f aca="false">IF(OR(E205="",F205=""),0,IF(G205="شامل الضريبة",ROUND(E205*F205,2)-H205,ROUND(H205*الإعدادات!$B$5,2)))</f>
        <v>0</v>
      </c>
      <c r="J205" s="20" t="n">
        <f aca="false">H205+I205</f>
        <v>0</v>
      </c>
      <c r="K205" s="14"/>
      <c r="L205" s="21" t="str">
        <f aca="false">IF(AND(B205="",C205="",E205="",F205=""),"",IF(B205="","⚠ اختر العميل",IF(COUNTIF('دليل العملاء'!$B$4:$B$203,B205)=0,"⚠ عميل غير مسجل",IF(C205="","⚠ اختر الصنف",IF(COUNTIF('دليل الأصناف'!$B$4:$B$203,C205)=0,"⚠ صنف غير مسجل",IF(E205="","⚠ أدخل الكمية",IF(F205="","⚠ أدخل السعر",IF(A205="","⚠ أدخل التاريخ","✓ سليم"))))))))</f>
        <v/>
      </c>
    </row>
    <row r="206" customFormat="false" ht="15" hidden="false" customHeight="false" outlineLevel="0" collapsed="false">
      <c r="A206" s="13"/>
      <c r="B206" s="14"/>
      <c r="C206" s="14"/>
      <c r="D206" s="15" t="str">
        <f aca="false">IF(C206="","",IFERROR(INDEX('دليل الأصناف'!$A$4:$A$203,MATCH(C206,'دليل الأصناف'!$B$4:$B$203,0)),"غير مسجل"))</f>
        <v/>
      </c>
      <c r="E206" s="16"/>
      <c r="F206" s="17"/>
      <c r="G206" s="18"/>
      <c r="H206" s="19" t="n">
        <f aca="false">IF(OR(E206="",F206=""),0,IF(G206="شامل الضريبة",ROUND(ROUND(E206*F206,2)/(1+الإعدادات!$B$5),2),ROUND(E206*F206,2)))</f>
        <v>0</v>
      </c>
      <c r="I206" s="19" t="n">
        <f aca="false">IF(OR(E206="",F206=""),0,IF(G206="شامل الضريبة",ROUND(E206*F206,2)-H206,ROUND(H206*الإعدادات!$B$5,2)))</f>
        <v>0</v>
      </c>
      <c r="J206" s="20" t="n">
        <f aca="false">H206+I206</f>
        <v>0</v>
      </c>
      <c r="K206" s="14"/>
      <c r="L206" s="21" t="str">
        <f aca="false">IF(AND(B206="",C206="",E206="",F206=""),"",IF(B206="","⚠ اختر العميل",IF(COUNTIF('دليل العملاء'!$B$4:$B$203,B206)=0,"⚠ عميل غير مسجل",IF(C206="","⚠ اختر الصنف",IF(COUNTIF('دليل الأصناف'!$B$4:$B$203,C206)=0,"⚠ صنف غير مسجل",IF(E206="","⚠ أدخل الكمية",IF(F206="","⚠ أدخل السعر",IF(A206="","⚠ أدخل التاريخ","✓ سليم"))))))))</f>
        <v/>
      </c>
    </row>
    <row r="207" customFormat="false" ht="15" hidden="false" customHeight="false" outlineLevel="0" collapsed="false">
      <c r="A207" s="13"/>
      <c r="B207" s="14"/>
      <c r="C207" s="14"/>
      <c r="D207" s="15" t="str">
        <f aca="false">IF(C207="","",IFERROR(INDEX('دليل الأصناف'!$A$4:$A$203,MATCH(C207,'دليل الأصناف'!$B$4:$B$203,0)),"غير مسجل"))</f>
        <v/>
      </c>
      <c r="E207" s="16"/>
      <c r="F207" s="17"/>
      <c r="G207" s="18"/>
      <c r="H207" s="19" t="n">
        <f aca="false">IF(OR(E207="",F207=""),0,IF(G207="شامل الضريبة",ROUND(ROUND(E207*F207,2)/(1+الإعدادات!$B$5),2),ROUND(E207*F207,2)))</f>
        <v>0</v>
      </c>
      <c r="I207" s="19" t="n">
        <f aca="false">IF(OR(E207="",F207=""),0,IF(G207="شامل الضريبة",ROUND(E207*F207,2)-H207,ROUND(H207*الإعدادات!$B$5,2)))</f>
        <v>0</v>
      </c>
      <c r="J207" s="20" t="n">
        <f aca="false">H207+I207</f>
        <v>0</v>
      </c>
      <c r="K207" s="14"/>
      <c r="L207" s="21" t="str">
        <f aca="false">IF(AND(B207="",C207="",E207="",F207=""),"",IF(B207="","⚠ اختر العميل",IF(COUNTIF('دليل العملاء'!$B$4:$B$203,B207)=0,"⚠ عميل غير مسجل",IF(C207="","⚠ اختر الصنف",IF(COUNTIF('دليل الأصناف'!$B$4:$B$203,C207)=0,"⚠ صنف غير مسجل",IF(E207="","⚠ أدخل الكمية",IF(F207="","⚠ أدخل السعر",IF(A207="","⚠ أدخل التاريخ","✓ سليم"))))))))</f>
        <v/>
      </c>
    </row>
    <row r="208" customFormat="false" ht="15" hidden="false" customHeight="false" outlineLevel="0" collapsed="false">
      <c r="A208" s="13"/>
      <c r="B208" s="14"/>
      <c r="C208" s="14"/>
      <c r="D208" s="15" t="str">
        <f aca="false">IF(C208="","",IFERROR(INDEX('دليل الأصناف'!$A$4:$A$203,MATCH(C208,'دليل الأصناف'!$B$4:$B$203,0)),"غير مسجل"))</f>
        <v/>
      </c>
      <c r="E208" s="16"/>
      <c r="F208" s="17"/>
      <c r="G208" s="18"/>
      <c r="H208" s="19" t="n">
        <f aca="false">IF(OR(E208="",F208=""),0,IF(G208="شامل الضريبة",ROUND(ROUND(E208*F208,2)/(1+الإعدادات!$B$5),2),ROUND(E208*F208,2)))</f>
        <v>0</v>
      </c>
      <c r="I208" s="19" t="n">
        <f aca="false">IF(OR(E208="",F208=""),0,IF(G208="شامل الضريبة",ROUND(E208*F208,2)-H208,ROUND(H208*الإعدادات!$B$5,2)))</f>
        <v>0</v>
      </c>
      <c r="J208" s="20" t="n">
        <f aca="false">H208+I208</f>
        <v>0</v>
      </c>
      <c r="K208" s="14"/>
      <c r="L208" s="21" t="str">
        <f aca="false">IF(AND(B208="",C208="",E208="",F208=""),"",IF(B208="","⚠ اختر العميل",IF(COUNTIF('دليل العملاء'!$B$4:$B$203,B208)=0,"⚠ عميل غير مسجل",IF(C208="","⚠ اختر الصنف",IF(COUNTIF('دليل الأصناف'!$B$4:$B$203,C208)=0,"⚠ صنف غير مسجل",IF(E208="","⚠ أدخل الكمية",IF(F208="","⚠ أدخل السعر",IF(A208="","⚠ أدخل التاريخ","✓ سليم"))))))))</f>
        <v/>
      </c>
    </row>
    <row r="209" customFormat="false" ht="15" hidden="false" customHeight="false" outlineLevel="0" collapsed="false">
      <c r="A209" s="13"/>
      <c r="B209" s="14"/>
      <c r="C209" s="14"/>
      <c r="D209" s="15" t="str">
        <f aca="false">IF(C209="","",IFERROR(INDEX('دليل الأصناف'!$A$4:$A$203,MATCH(C209,'دليل الأصناف'!$B$4:$B$203,0)),"غير مسجل"))</f>
        <v/>
      </c>
      <c r="E209" s="16"/>
      <c r="F209" s="17"/>
      <c r="G209" s="18"/>
      <c r="H209" s="19" t="n">
        <f aca="false">IF(OR(E209="",F209=""),0,IF(G209="شامل الضريبة",ROUND(ROUND(E209*F209,2)/(1+الإعدادات!$B$5),2),ROUND(E209*F209,2)))</f>
        <v>0</v>
      </c>
      <c r="I209" s="19" t="n">
        <f aca="false">IF(OR(E209="",F209=""),0,IF(G209="شامل الضريبة",ROUND(E209*F209,2)-H209,ROUND(H209*الإعدادات!$B$5,2)))</f>
        <v>0</v>
      </c>
      <c r="J209" s="20" t="n">
        <f aca="false">H209+I209</f>
        <v>0</v>
      </c>
      <c r="K209" s="14"/>
      <c r="L209" s="21" t="str">
        <f aca="false">IF(AND(B209="",C209="",E209="",F209=""),"",IF(B209="","⚠ اختر العميل",IF(COUNTIF('دليل العملاء'!$B$4:$B$203,B209)=0,"⚠ عميل غير مسجل",IF(C209="","⚠ اختر الصنف",IF(COUNTIF('دليل الأصناف'!$B$4:$B$203,C209)=0,"⚠ صنف غير مسجل",IF(E209="","⚠ أدخل الكمية",IF(F209="","⚠ أدخل السعر",IF(A209="","⚠ أدخل التاريخ","✓ سليم"))))))))</f>
        <v/>
      </c>
    </row>
    <row r="210" customFormat="false" ht="15" hidden="false" customHeight="false" outlineLevel="0" collapsed="false">
      <c r="A210" s="13"/>
      <c r="B210" s="14"/>
      <c r="C210" s="14"/>
      <c r="D210" s="15" t="str">
        <f aca="false">IF(C210="","",IFERROR(INDEX('دليل الأصناف'!$A$4:$A$203,MATCH(C210,'دليل الأصناف'!$B$4:$B$203,0)),"غير مسجل"))</f>
        <v/>
      </c>
      <c r="E210" s="16"/>
      <c r="F210" s="17"/>
      <c r="G210" s="18"/>
      <c r="H210" s="19" t="n">
        <f aca="false">IF(OR(E210="",F210=""),0,IF(G210="شامل الضريبة",ROUND(ROUND(E210*F210,2)/(1+الإعدادات!$B$5),2),ROUND(E210*F210,2)))</f>
        <v>0</v>
      </c>
      <c r="I210" s="19" t="n">
        <f aca="false">IF(OR(E210="",F210=""),0,IF(G210="شامل الضريبة",ROUND(E210*F210,2)-H210,ROUND(H210*الإعدادات!$B$5,2)))</f>
        <v>0</v>
      </c>
      <c r="J210" s="20" t="n">
        <f aca="false">H210+I210</f>
        <v>0</v>
      </c>
      <c r="K210" s="14"/>
      <c r="L210" s="21" t="str">
        <f aca="false">IF(AND(B210="",C210="",E210="",F210=""),"",IF(B210="","⚠ اختر العميل",IF(COUNTIF('دليل العملاء'!$B$4:$B$203,B210)=0,"⚠ عميل غير مسجل",IF(C210="","⚠ اختر الصنف",IF(COUNTIF('دليل الأصناف'!$B$4:$B$203,C210)=0,"⚠ صنف غير مسجل",IF(E210="","⚠ أدخل الكمية",IF(F210="","⚠ أدخل السعر",IF(A210="","⚠ أدخل التاريخ","✓ سليم"))))))))</f>
        <v/>
      </c>
    </row>
    <row r="211" customFormat="false" ht="15" hidden="false" customHeight="false" outlineLevel="0" collapsed="false">
      <c r="A211" s="13"/>
      <c r="B211" s="14"/>
      <c r="C211" s="14"/>
      <c r="D211" s="15" t="str">
        <f aca="false">IF(C211="","",IFERROR(INDEX('دليل الأصناف'!$A$4:$A$203,MATCH(C211,'دليل الأصناف'!$B$4:$B$203,0)),"غير مسجل"))</f>
        <v/>
      </c>
      <c r="E211" s="16"/>
      <c r="F211" s="17"/>
      <c r="G211" s="18"/>
      <c r="H211" s="19" t="n">
        <f aca="false">IF(OR(E211="",F211=""),0,IF(G211="شامل الضريبة",ROUND(ROUND(E211*F211,2)/(1+الإعدادات!$B$5),2),ROUND(E211*F211,2)))</f>
        <v>0</v>
      </c>
      <c r="I211" s="19" t="n">
        <f aca="false">IF(OR(E211="",F211=""),0,IF(G211="شامل الضريبة",ROUND(E211*F211,2)-H211,ROUND(H211*الإعدادات!$B$5,2)))</f>
        <v>0</v>
      </c>
      <c r="J211" s="20" t="n">
        <f aca="false">H211+I211</f>
        <v>0</v>
      </c>
      <c r="K211" s="14"/>
      <c r="L211" s="21" t="str">
        <f aca="false">IF(AND(B211="",C211="",E211="",F211=""),"",IF(B211="","⚠ اختر العميل",IF(COUNTIF('دليل العملاء'!$B$4:$B$203,B211)=0,"⚠ عميل غير مسجل",IF(C211="","⚠ اختر الصنف",IF(COUNTIF('دليل الأصناف'!$B$4:$B$203,C211)=0,"⚠ صنف غير مسجل",IF(E211="","⚠ أدخل الكمية",IF(F211="","⚠ أدخل السعر",IF(A211="","⚠ أدخل التاريخ","✓ سليم"))))))))</f>
        <v/>
      </c>
    </row>
    <row r="212" customFormat="false" ht="15" hidden="false" customHeight="false" outlineLevel="0" collapsed="false">
      <c r="A212" s="13"/>
      <c r="B212" s="14"/>
      <c r="C212" s="14"/>
      <c r="D212" s="15" t="str">
        <f aca="false">IF(C212="","",IFERROR(INDEX('دليل الأصناف'!$A$4:$A$203,MATCH(C212,'دليل الأصناف'!$B$4:$B$203,0)),"غير مسجل"))</f>
        <v/>
      </c>
      <c r="E212" s="16"/>
      <c r="F212" s="17"/>
      <c r="G212" s="18"/>
      <c r="H212" s="19" t="n">
        <f aca="false">IF(OR(E212="",F212=""),0,IF(G212="شامل الضريبة",ROUND(ROUND(E212*F212,2)/(1+الإعدادات!$B$5),2),ROUND(E212*F212,2)))</f>
        <v>0</v>
      </c>
      <c r="I212" s="19" t="n">
        <f aca="false">IF(OR(E212="",F212=""),0,IF(G212="شامل الضريبة",ROUND(E212*F212,2)-H212,ROUND(H212*الإعدادات!$B$5,2)))</f>
        <v>0</v>
      </c>
      <c r="J212" s="20" t="n">
        <f aca="false">H212+I212</f>
        <v>0</v>
      </c>
      <c r="K212" s="14"/>
      <c r="L212" s="21" t="str">
        <f aca="false">IF(AND(B212="",C212="",E212="",F212=""),"",IF(B212="","⚠ اختر العميل",IF(COUNTIF('دليل العملاء'!$B$4:$B$203,B212)=0,"⚠ عميل غير مسجل",IF(C212="","⚠ اختر الصنف",IF(COUNTIF('دليل الأصناف'!$B$4:$B$203,C212)=0,"⚠ صنف غير مسجل",IF(E212="","⚠ أدخل الكمية",IF(F212="","⚠ أدخل السعر",IF(A212="","⚠ أدخل التاريخ","✓ سليم"))))))))</f>
        <v/>
      </c>
    </row>
    <row r="213" customFormat="false" ht="15" hidden="false" customHeight="false" outlineLevel="0" collapsed="false">
      <c r="A213" s="13"/>
      <c r="B213" s="14"/>
      <c r="C213" s="14"/>
      <c r="D213" s="15" t="str">
        <f aca="false">IF(C213="","",IFERROR(INDEX('دليل الأصناف'!$A$4:$A$203,MATCH(C213,'دليل الأصناف'!$B$4:$B$203,0)),"غير مسجل"))</f>
        <v/>
      </c>
      <c r="E213" s="16"/>
      <c r="F213" s="17"/>
      <c r="G213" s="18"/>
      <c r="H213" s="19" t="n">
        <f aca="false">IF(OR(E213="",F213=""),0,IF(G213="شامل الضريبة",ROUND(ROUND(E213*F213,2)/(1+الإعدادات!$B$5),2),ROUND(E213*F213,2)))</f>
        <v>0</v>
      </c>
      <c r="I213" s="19" t="n">
        <f aca="false">IF(OR(E213="",F213=""),0,IF(G213="شامل الضريبة",ROUND(E213*F213,2)-H213,ROUND(H213*الإعدادات!$B$5,2)))</f>
        <v>0</v>
      </c>
      <c r="J213" s="20" t="n">
        <f aca="false">H213+I213</f>
        <v>0</v>
      </c>
      <c r="K213" s="14"/>
      <c r="L213" s="21" t="str">
        <f aca="false">IF(AND(B213="",C213="",E213="",F213=""),"",IF(B213="","⚠ اختر العميل",IF(COUNTIF('دليل العملاء'!$B$4:$B$203,B213)=0,"⚠ عميل غير مسجل",IF(C213="","⚠ اختر الصنف",IF(COUNTIF('دليل الأصناف'!$B$4:$B$203,C213)=0,"⚠ صنف غير مسجل",IF(E213="","⚠ أدخل الكمية",IF(F213="","⚠ أدخل السعر",IF(A213="","⚠ أدخل التاريخ","✓ سليم"))))))))</f>
        <v/>
      </c>
    </row>
    <row r="214" customFormat="false" ht="15" hidden="false" customHeight="false" outlineLevel="0" collapsed="false">
      <c r="A214" s="13"/>
      <c r="B214" s="14"/>
      <c r="C214" s="14"/>
      <c r="D214" s="15" t="str">
        <f aca="false">IF(C214="","",IFERROR(INDEX('دليل الأصناف'!$A$4:$A$203,MATCH(C214,'دليل الأصناف'!$B$4:$B$203,0)),"غير مسجل"))</f>
        <v/>
      </c>
      <c r="E214" s="16"/>
      <c r="F214" s="17"/>
      <c r="G214" s="18"/>
      <c r="H214" s="19" t="n">
        <f aca="false">IF(OR(E214="",F214=""),0,IF(G214="شامل الضريبة",ROUND(ROUND(E214*F214,2)/(1+الإعدادات!$B$5),2),ROUND(E214*F214,2)))</f>
        <v>0</v>
      </c>
      <c r="I214" s="19" t="n">
        <f aca="false">IF(OR(E214="",F214=""),0,IF(G214="شامل الضريبة",ROUND(E214*F214,2)-H214,ROUND(H214*الإعدادات!$B$5,2)))</f>
        <v>0</v>
      </c>
      <c r="J214" s="20" t="n">
        <f aca="false">H214+I214</f>
        <v>0</v>
      </c>
      <c r="K214" s="14"/>
      <c r="L214" s="21" t="str">
        <f aca="false">IF(AND(B214="",C214="",E214="",F214=""),"",IF(B214="","⚠ اختر العميل",IF(COUNTIF('دليل العملاء'!$B$4:$B$203,B214)=0,"⚠ عميل غير مسجل",IF(C214="","⚠ اختر الصنف",IF(COUNTIF('دليل الأصناف'!$B$4:$B$203,C214)=0,"⚠ صنف غير مسجل",IF(E214="","⚠ أدخل الكمية",IF(F214="","⚠ أدخل السعر",IF(A214="","⚠ أدخل التاريخ","✓ سليم"))))))))</f>
        <v/>
      </c>
    </row>
    <row r="215" customFormat="false" ht="15" hidden="false" customHeight="false" outlineLevel="0" collapsed="false">
      <c r="A215" s="13"/>
      <c r="B215" s="14"/>
      <c r="C215" s="14"/>
      <c r="D215" s="15" t="str">
        <f aca="false">IF(C215="","",IFERROR(INDEX('دليل الأصناف'!$A$4:$A$203,MATCH(C215,'دليل الأصناف'!$B$4:$B$203,0)),"غير مسجل"))</f>
        <v/>
      </c>
      <c r="E215" s="16"/>
      <c r="F215" s="17"/>
      <c r="G215" s="18"/>
      <c r="H215" s="19" t="n">
        <f aca="false">IF(OR(E215="",F215=""),0,IF(G215="شامل الضريبة",ROUND(ROUND(E215*F215,2)/(1+الإعدادات!$B$5),2),ROUND(E215*F215,2)))</f>
        <v>0</v>
      </c>
      <c r="I215" s="19" t="n">
        <f aca="false">IF(OR(E215="",F215=""),0,IF(G215="شامل الضريبة",ROUND(E215*F215,2)-H215,ROUND(H215*الإعدادات!$B$5,2)))</f>
        <v>0</v>
      </c>
      <c r="J215" s="20" t="n">
        <f aca="false">H215+I215</f>
        <v>0</v>
      </c>
      <c r="K215" s="14"/>
      <c r="L215" s="21" t="str">
        <f aca="false">IF(AND(B215="",C215="",E215="",F215=""),"",IF(B215="","⚠ اختر العميل",IF(COUNTIF('دليل العملاء'!$B$4:$B$203,B215)=0,"⚠ عميل غير مسجل",IF(C215="","⚠ اختر الصنف",IF(COUNTIF('دليل الأصناف'!$B$4:$B$203,C215)=0,"⚠ صنف غير مسجل",IF(E215="","⚠ أدخل الكمية",IF(F215="","⚠ أدخل السعر",IF(A215="","⚠ أدخل التاريخ","✓ سليم"))))))))</f>
        <v/>
      </c>
    </row>
    <row r="216" customFormat="false" ht="15" hidden="false" customHeight="false" outlineLevel="0" collapsed="false">
      <c r="A216" s="13"/>
      <c r="B216" s="14"/>
      <c r="C216" s="14"/>
      <c r="D216" s="15" t="str">
        <f aca="false">IF(C216="","",IFERROR(INDEX('دليل الأصناف'!$A$4:$A$203,MATCH(C216,'دليل الأصناف'!$B$4:$B$203,0)),"غير مسجل"))</f>
        <v/>
      </c>
      <c r="E216" s="16"/>
      <c r="F216" s="17"/>
      <c r="G216" s="18"/>
      <c r="H216" s="19" t="n">
        <f aca="false">IF(OR(E216="",F216=""),0,IF(G216="شامل الضريبة",ROUND(ROUND(E216*F216,2)/(1+الإعدادات!$B$5),2),ROUND(E216*F216,2)))</f>
        <v>0</v>
      </c>
      <c r="I216" s="19" t="n">
        <f aca="false">IF(OR(E216="",F216=""),0,IF(G216="شامل الضريبة",ROUND(E216*F216,2)-H216,ROUND(H216*الإعدادات!$B$5,2)))</f>
        <v>0</v>
      </c>
      <c r="J216" s="20" t="n">
        <f aca="false">H216+I216</f>
        <v>0</v>
      </c>
      <c r="K216" s="14"/>
      <c r="L216" s="21" t="str">
        <f aca="false">IF(AND(B216="",C216="",E216="",F216=""),"",IF(B216="","⚠ اختر العميل",IF(COUNTIF('دليل العملاء'!$B$4:$B$203,B216)=0,"⚠ عميل غير مسجل",IF(C216="","⚠ اختر الصنف",IF(COUNTIF('دليل الأصناف'!$B$4:$B$203,C216)=0,"⚠ صنف غير مسجل",IF(E216="","⚠ أدخل الكمية",IF(F216="","⚠ أدخل السعر",IF(A216="","⚠ أدخل التاريخ","✓ سليم"))))))))</f>
        <v/>
      </c>
    </row>
    <row r="217" customFormat="false" ht="15" hidden="false" customHeight="false" outlineLevel="0" collapsed="false">
      <c r="A217" s="13"/>
      <c r="B217" s="14"/>
      <c r="C217" s="14"/>
      <c r="D217" s="15" t="str">
        <f aca="false">IF(C217="","",IFERROR(INDEX('دليل الأصناف'!$A$4:$A$203,MATCH(C217,'دليل الأصناف'!$B$4:$B$203,0)),"غير مسجل"))</f>
        <v/>
      </c>
      <c r="E217" s="16"/>
      <c r="F217" s="17"/>
      <c r="G217" s="18"/>
      <c r="H217" s="19" t="n">
        <f aca="false">IF(OR(E217="",F217=""),0,IF(G217="شامل الضريبة",ROUND(ROUND(E217*F217,2)/(1+الإعدادات!$B$5),2),ROUND(E217*F217,2)))</f>
        <v>0</v>
      </c>
      <c r="I217" s="19" t="n">
        <f aca="false">IF(OR(E217="",F217=""),0,IF(G217="شامل الضريبة",ROUND(E217*F217,2)-H217,ROUND(H217*الإعدادات!$B$5,2)))</f>
        <v>0</v>
      </c>
      <c r="J217" s="20" t="n">
        <f aca="false">H217+I217</f>
        <v>0</v>
      </c>
      <c r="K217" s="14"/>
      <c r="L217" s="21" t="str">
        <f aca="false">IF(AND(B217="",C217="",E217="",F217=""),"",IF(B217="","⚠ اختر العميل",IF(COUNTIF('دليل العملاء'!$B$4:$B$203,B217)=0,"⚠ عميل غير مسجل",IF(C217="","⚠ اختر الصنف",IF(COUNTIF('دليل الأصناف'!$B$4:$B$203,C217)=0,"⚠ صنف غير مسجل",IF(E217="","⚠ أدخل الكمية",IF(F217="","⚠ أدخل السعر",IF(A217="","⚠ أدخل التاريخ","✓ سليم"))))))))</f>
        <v/>
      </c>
    </row>
    <row r="218" customFormat="false" ht="15" hidden="false" customHeight="false" outlineLevel="0" collapsed="false">
      <c r="A218" s="13"/>
      <c r="B218" s="14"/>
      <c r="C218" s="14"/>
      <c r="D218" s="15" t="str">
        <f aca="false">IF(C218="","",IFERROR(INDEX('دليل الأصناف'!$A$4:$A$203,MATCH(C218,'دليل الأصناف'!$B$4:$B$203,0)),"غير مسجل"))</f>
        <v/>
      </c>
      <c r="E218" s="16"/>
      <c r="F218" s="17"/>
      <c r="G218" s="18"/>
      <c r="H218" s="19" t="n">
        <f aca="false">IF(OR(E218="",F218=""),0,IF(G218="شامل الضريبة",ROUND(ROUND(E218*F218,2)/(1+الإعدادات!$B$5),2),ROUND(E218*F218,2)))</f>
        <v>0</v>
      </c>
      <c r="I218" s="19" t="n">
        <f aca="false">IF(OR(E218="",F218=""),0,IF(G218="شامل الضريبة",ROUND(E218*F218,2)-H218,ROUND(H218*الإعدادات!$B$5,2)))</f>
        <v>0</v>
      </c>
      <c r="J218" s="20" t="n">
        <f aca="false">H218+I218</f>
        <v>0</v>
      </c>
      <c r="K218" s="14"/>
      <c r="L218" s="21" t="str">
        <f aca="false">IF(AND(B218="",C218="",E218="",F218=""),"",IF(B218="","⚠ اختر العميل",IF(COUNTIF('دليل العملاء'!$B$4:$B$203,B218)=0,"⚠ عميل غير مسجل",IF(C218="","⚠ اختر الصنف",IF(COUNTIF('دليل الأصناف'!$B$4:$B$203,C218)=0,"⚠ صنف غير مسجل",IF(E218="","⚠ أدخل الكمية",IF(F218="","⚠ أدخل السعر",IF(A218="","⚠ أدخل التاريخ","✓ سليم"))))))))</f>
        <v/>
      </c>
    </row>
    <row r="219" customFormat="false" ht="15" hidden="false" customHeight="false" outlineLevel="0" collapsed="false">
      <c r="A219" s="13"/>
      <c r="B219" s="14"/>
      <c r="C219" s="14"/>
      <c r="D219" s="15" t="str">
        <f aca="false">IF(C219="","",IFERROR(INDEX('دليل الأصناف'!$A$4:$A$203,MATCH(C219,'دليل الأصناف'!$B$4:$B$203,0)),"غير مسجل"))</f>
        <v/>
      </c>
      <c r="E219" s="16"/>
      <c r="F219" s="17"/>
      <c r="G219" s="18"/>
      <c r="H219" s="19" t="n">
        <f aca="false">IF(OR(E219="",F219=""),0,IF(G219="شامل الضريبة",ROUND(ROUND(E219*F219,2)/(1+الإعدادات!$B$5),2),ROUND(E219*F219,2)))</f>
        <v>0</v>
      </c>
      <c r="I219" s="19" t="n">
        <f aca="false">IF(OR(E219="",F219=""),0,IF(G219="شامل الضريبة",ROUND(E219*F219,2)-H219,ROUND(H219*الإعدادات!$B$5,2)))</f>
        <v>0</v>
      </c>
      <c r="J219" s="20" t="n">
        <f aca="false">H219+I219</f>
        <v>0</v>
      </c>
      <c r="K219" s="14"/>
      <c r="L219" s="21" t="str">
        <f aca="false">IF(AND(B219="",C219="",E219="",F219=""),"",IF(B219="","⚠ اختر العميل",IF(COUNTIF('دليل العملاء'!$B$4:$B$203,B219)=0,"⚠ عميل غير مسجل",IF(C219="","⚠ اختر الصنف",IF(COUNTIF('دليل الأصناف'!$B$4:$B$203,C219)=0,"⚠ صنف غير مسجل",IF(E219="","⚠ أدخل الكمية",IF(F219="","⚠ أدخل السعر",IF(A219="","⚠ أدخل التاريخ","✓ سليم"))))))))</f>
        <v/>
      </c>
    </row>
    <row r="220" customFormat="false" ht="15" hidden="false" customHeight="false" outlineLevel="0" collapsed="false">
      <c r="A220" s="13"/>
      <c r="B220" s="14"/>
      <c r="C220" s="14"/>
      <c r="D220" s="15" t="str">
        <f aca="false">IF(C220="","",IFERROR(INDEX('دليل الأصناف'!$A$4:$A$203,MATCH(C220,'دليل الأصناف'!$B$4:$B$203,0)),"غير مسجل"))</f>
        <v/>
      </c>
      <c r="E220" s="16"/>
      <c r="F220" s="17"/>
      <c r="G220" s="18"/>
      <c r="H220" s="19" t="n">
        <f aca="false">IF(OR(E220="",F220=""),0,IF(G220="شامل الضريبة",ROUND(ROUND(E220*F220,2)/(1+الإعدادات!$B$5),2),ROUND(E220*F220,2)))</f>
        <v>0</v>
      </c>
      <c r="I220" s="19" t="n">
        <f aca="false">IF(OR(E220="",F220=""),0,IF(G220="شامل الضريبة",ROUND(E220*F220,2)-H220,ROUND(H220*الإعدادات!$B$5,2)))</f>
        <v>0</v>
      </c>
      <c r="J220" s="20" t="n">
        <f aca="false">H220+I220</f>
        <v>0</v>
      </c>
      <c r="K220" s="14"/>
      <c r="L220" s="21" t="str">
        <f aca="false">IF(AND(B220="",C220="",E220="",F220=""),"",IF(B220="","⚠ اختر العميل",IF(COUNTIF('دليل العملاء'!$B$4:$B$203,B220)=0,"⚠ عميل غير مسجل",IF(C220="","⚠ اختر الصنف",IF(COUNTIF('دليل الأصناف'!$B$4:$B$203,C220)=0,"⚠ صنف غير مسجل",IF(E220="","⚠ أدخل الكمية",IF(F220="","⚠ أدخل السعر",IF(A220="","⚠ أدخل التاريخ","✓ سليم"))))))))</f>
        <v/>
      </c>
    </row>
    <row r="221" customFormat="false" ht="15" hidden="false" customHeight="false" outlineLevel="0" collapsed="false">
      <c r="A221" s="13"/>
      <c r="B221" s="14"/>
      <c r="C221" s="14"/>
      <c r="D221" s="15" t="str">
        <f aca="false">IF(C221="","",IFERROR(INDEX('دليل الأصناف'!$A$4:$A$203,MATCH(C221,'دليل الأصناف'!$B$4:$B$203,0)),"غير مسجل"))</f>
        <v/>
      </c>
      <c r="E221" s="16"/>
      <c r="F221" s="17"/>
      <c r="G221" s="18"/>
      <c r="H221" s="19" t="n">
        <f aca="false">IF(OR(E221="",F221=""),0,IF(G221="شامل الضريبة",ROUND(ROUND(E221*F221,2)/(1+الإعدادات!$B$5),2),ROUND(E221*F221,2)))</f>
        <v>0</v>
      </c>
      <c r="I221" s="19" t="n">
        <f aca="false">IF(OR(E221="",F221=""),0,IF(G221="شامل الضريبة",ROUND(E221*F221,2)-H221,ROUND(H221*الإعدادات!$B$5,2)))</f>
        <v>0</v>
      </c>
      <c r="J221" s="20" t="n">
        <f aca="false">H221+I221</f>
        <v>0</v>
      </c>
      <c r="K221" s="14"/>
      <c r="L221" s="21" t="str">
        <f aca="false">IF(AND(B221="",C221="",E221="",F221=""),"",IF(B221="","⚠ اختر العميل",IF(COUNTIF('دليل العملاء'!$B$4:$B$203,B221)=0,"⚠ عميل غير مسجل",IF(C221="","⚠ اختر الصنف",IF(COUNTIF('دليل الأصناف'!$B$4:$B$203,C221)=0,"⚠ صنف غير مسجل",IF(E221="","⚠ أدخل الكمية",IF(F221="","⚠ أدخل السعر",IF(A221="","⚠ أدخل التاريخ","✓ سليم"))))))))</f>
        <v/>
      </c>
    </row>
    <row r="222" customFormat="false" ht="15" hidden="false" customHeight="false" outlineLevel="0" collapsed="false">
      <c r="A222" s="13"/>
      <c r="B222" s="14"/>
      <c r="C222" s="14"/>
      <c r="D222" s="15" t="str">
        <f aca="false">IF(C222="","",IFERROR(INDEX('دليل الأصناف'!$A$4:$A$203,MATCH(C222,'دليل الأصناف'!$B$4:$B$203,0)),"غير مسجل"))</f>
        <v/>
      </c>
      <c r="E222" s="16"/>
      <c r="F222" s="17"/>
      <c r="G222" s="18"/>
      <c r="H222" s="19" t="n">
        <f aca="false">IF(OR(E222="",F222=""),0,IF(G222="شامل الضريبة",ROUND(ROUND(E222*F222,2)/(1+الإعدادات!$B$5),2),ROUND(E222*F222,2)))</f>
        <v>0</v>
      </c>
      <c r="I222" s="19" t="n">
        <f aca="false">IF(OR(E222="",F222=""),0,IF(G222="شامل الضريبة",ROUND(E222*F222,2)-H222,ROUND(H222*الإعدادات!$B$5,2)))</f>
        <v>0</v>
      </c>
      <c r="J222" s="20" t="n">
        <f aca="false">H222+I222</f>
        <v>0</v>
      </c>
      <c r="K222" s="14"/>
      <c r="L222" s="21" t="str">
        <f aca="false">IF(AND(B222="",C222="",E222="",F222=""),"",IF(B222="","⚠ اختر العميل",IF(COUNTIF('دليل العملاء'!$B$4:$B$203,B222)=0,"⚠ عميل غير مسجل",IF(C222="","⚠ اختر الصنف",IF(COUNTIF('دليل الأصناف'!$B$4:$B$203,C222)=0,"⚠ صنف غير مسجل",IF(E222="","⚠ أدخل الكمية",IF(F222="","⚠ أدخل السعر",IF(A222="","⚠ أدخل التاريخ","✓ سليم"))))))))</f>
        <v/>
      </c>
    </row>
    <row r="223" customFormat="false" ht="15" hidden="false" customHeight="false" outlineLevel="0" collapsed="false">
      <c r="A223" s="13"/>
      <c r="B223" s="14"/>
      <c r="C223" s="14"/>
      <c r="D223" s="15" t="str">
        <f aca="false">IF(C223="","",IFERROR(INDEX('دليل الأصناف'!$A$4:$A$203,MATCH(C223,'دليل الأصناف'!$B$4:$B$203,0)),"غير مسجل"))</f>
        <v/>
      </c>
      <c r="E223" s="16"/>
      <c r="F223" s="17"/>
      <c r="G223" s="18"/>
      <c r="H223" s="19" t="n">
        <f aca="false">IF(OR(E223="",F223=""),0,IF(G223="شامل الضريبة",ROUND(ROUND(E223*F223,2)/(1+الإعدادات!$B$5),2),ROUND(E223*F223,2)))</f>
        <v>0</v>
      </c>
      <c r="I223" s="19" t="n">
        <f aca="false">IF(OR(E223="",F223=""),0,IF(G223="شامل الضريبة",ROUND(E223*F223,2)-H223,ROUND(H223*الإعدادات!$B$5,2)))</f>
        <v>0</v>
      </c>
      <c r="J223" s="20" t="n">
        <f aca="false">H223+I223</f>
        <v>0</v>
      </c>
      <c r="K223" s="14"/>
      <c r="L223" s="21" t="str">
        <f aca="false">IF(AND(B223="",C223="",E223="",F223=""),"",IF(B223="","⚠ اختر العميل",IF(COUNTIF('دليل العملاء'!$B$4:$B$203,B223)=0,"⚠ عميل غير مسجل",IF(C223="","⚠ اختر الصنف",IF(COUNTIF('دليل الأصناف'!$B$4:$B$203,C223)=0,"⚠ صنف غير مسجل",IF(E223="","⚠ أدخل الكمية",IF(F223="","⚠ أدخل السعر",IF(A223="","⚠ أدخل التاريخ","✓ سليم"))))))))</f>
        <v/>
      </c>
    </row>
    <row r="224" customFormat="false" ht="15" hidden="false" customHeight="false" outlineLevel="0" collapsed="false">
      <c r="A224" s="13"/>
      <c r="B224" s="14"/>
      <c r="C224" s="14"/>
      <c r="D224" s="15" t="str">
        <f aca="false">IF(C224="","",IFERROR(INDEX('دليل الأصناف'!$A$4:$A$203,MATCH(C224,'دليل الأصناف'!$B$4:$B$203,0)),"غير مسجل"))</f>
        <v/>
      </c>
      <c r="E224" s="16"/>
      <c r="F224" s="17"/>
      <c r="G224" s="18"/>
      <c r="H224" s="19" t="n">
        <f aca="false">IF(OR(E224="",F224=""),0,IF(G224="شامل الضريبة",ROUND(ROUND(E224*F224,2)/(1+الإعدادات!$B$5),2),ROUND(E224*F224,2)))</f>
        <v>0</v>
      </c>
      <c r="I224" s="19" t="n">
        <f aca="false">IF(OR(E224="",F224=""),0,IF(G224="شامل الضريبة",ROUND(E224*F224,2)-H224,ROUND(H224*الإعدادات!$B$5,2)))</f>
        <v>0</v>
      </c>
      <c r="J224" s="20" t="n">
        <f aca="false">H224+I224</f>
        <v>0</v>
      </c>
      <c r="K224" s="14"/>
      <c r="L224" s="21" t="str">
        <f aca="false">IF(AND(B224="",C224="",E224="",F224=""),"",IF(B224="","⚠ اختر العميل",IF(COUNTIF('دليل العملاء'!$B$4:$B$203,B224)=0,"⚠ عميل غير مسجل",IF(C224="","⚠ اختر الصنف",IF(COUNTIF('دليل الأصناف'!$B$4:$B$203,C224)=0,"⚠ صنف غير مسجل",IF(E224="","⚠ أدخل الكمية",IF(F224="","⚠ أدخل السعر",IF(A224="","⚠ أدخل التاريخ","✓ سليم"))))))))</f>
        <v/>
      </c>
    </row>
    <row r="225" customFormat="false" ht="15" hidden="false" customHeight="false" outlineLevel="0" collapsed="false">
      <c r="A225" s="13"/>
      <c r="B225" s="14"/>
      <c r="C225" s="14"/>
      <c r="D225" s="15" t="str">
        <f aca="false">IF(C225="","",IFERROR(INDEX('دليل الأصناف'!$A$4:$A$203,MATCH(C225,'دليل الأصناف'!$B$4:$B$203,0)),"غير مسجل"))</f>
        <v/>
      </c>
      <c r="E225" s="16"/>
      <c r="F225" s="17"/>
      <c r="G225" s="18"/>
      <c r="H225" s="19" t="n">
        <f aca="false">IF(OR(E225="",F225=""),0,IF(G225="شامل الضريبة",ROUND(ROUND(E225*F225,2)/(1+الإعدادات!$B$5),2),ROUND(E225*F225,2)))</f>
        <v>0</v>
      </c>
      <c r="I225" s="19" t="n">
        <f aca="false">IF(OR(E225="",F225=""),0,IF(G225="شامل الضريبة",ROUND(E225*F225,2)-H225,ROUND(H225*الإعدادات!$B$5,2)))</f>
        <v>0</v>
      </c>
      <c r="J225" s="20" t="n">
        <f aca="false">H225+I225</f>
        <v>0</v>
      </c>
      <c r="K225" s="14"/>
      <c r="L225" s="21" t="str">
        <f aca="false">IF(AND(B225="",C225="",E225="",F225=""),"",IF(B225="","⚠ اختر العميل",IF(COUNTIF('دليل العملاء'!$B$4:$B$203,B225)=0,"⚠ عميل غير مسجل",IF(C225="","⚠ اختر الصنف",IF(COUNTIF('دليل الأصناف'!$B$4:$B$203,C225)=0,"⚠ صنف غير مسجل",IF(E225="","⚠ أدخل الكمية",IF(F225="","⚠ أدخل السعر",IF(A225="","⚠ أدخل التاريخ","✓ سليم"))))))))</f>
        <v/>
      </c>
    </row>
    <row r="226" customFormat="false" ht="15" hidden="false" customHeight="false" outlineLevel="0" collapsed="false">
      <c r="A226" s="13"/>
      <c r="B226" s="14"/>
      <c r="C226" s="14"/>
      <c r="D226" s="15" t="str">
        <f aca="false">IF(C226="","",IFERROR(INDEX('دليل الأصناف'!$A$4:$A$203,MATCH(C226,'دليل الأصناف'!$B$4:$B$203,0)),"غير مسجل"))</f>
        <v/>
      </c>
      <c r="E226" s="16"/>
      <c r="F226" s="17"/>
      <c r="G226" s="18"/>
      <c r="H226" s="19" t="n">
        <f aca="false">IF(OR(E226="",F226=""),0,IF(G226="شامل الضريبة",ROUND(ROUND(E226*F226,2)/(1+الإعدادات!$B$5),2),ROUND(E226*F226,2)))</f>
        <v>0</v>
      </c>
      <c r="I226" s="19" t="n">
        <f aca="false">IF(OR(E226="",F226=""),0,IF(G226="شامل الضريبة",ROUND(E226*F226,2)-H226,ROUND(H226*الإعدادات!$B$5,2)))</f>
        <v>0</v>
      </c>
      <c r="J226" s="20" t="n">
        <f aca="false">H226+I226</f>
        <v>0</v>
      </c>
      <c r="K226" s="14"/>
      <c r="L226" s="21" t="str">
        <f aca="false">IF(AND(B226="",C226="",E226="",F226=""),"",IF(B226="","⚠ اختر العميل",IF(COUNTIF('دليل العملاء'!$B$4:$B$203,B226)=0,"⚠ عميل غير مسجل",IF(C226="","⚠ اختر الصنف",IF(COUNTIF('دليل الأصناف'!$B$4:$B$203,C226)=0,"⚠ صنف غير مسجل",IF(E226="","⚠ أدخل الكمية",IF(F226="","⚠ أدخل السعر",IF(A226="","⚠ أدخل التاريخ","✓ سليم"))))))))</f>
        <v/>
      </c>
    </row>
    <row r="227" customFormat="false" ht="15" hidden="false" customHeight="false" outlineLevel="0" collapsed="false">
      <c r="A227" s="13"/>
      <c r="B227" s="14"/>
      <c r="C227" s="14"/>
      <c r="D227" s="15" t="str">
        <f aca="false">IF(C227="","",IFERROR(INDEX('دليل الأصناف'!$A$4:$A$203,MATCH(C227,'دليل الأصناف'!$B$4:$B$203,0)),"غير مسجل"))</f>
        <v/>
      </c>
      <c r="E227" s="16"/>
      <c r="F227" s="17"/>
      <c r="G227" s="18"/>
      <c r="H227" s="19" t="n">
        <f aca="false">IF(OR(E227="",F227=""),0,IF(G227="شامل الضريبة",ROUND(ROUND(E227*F227,2)/(1+الإعدادات!$B$5),2),ROUND(E227*F227,2)))</f>
        <v>0</v>
      </c>
      <c r="I227" s="19" t="n">
        <f aca="false">IF(OR(E227="",F227=""),0,IF(G227="شامل الضريبة",ROUND(E227*F227,2)-H227,ROUND(H227*الإعدادات!$B$5,2)))</f>
        <v>0</v>
      </c>
      <c r="J227" s="20" t="n">
        <f aca="false">H227+I227</f>
        <v>0</v>
      </c>
      <c r="K227" s="14"/>
      <c r="L227" s="21" t="str">
        <f aca="false">IF(AND(B227="",C227="",E227="",F227=""),"",IF(B227="","⚠ اختر العميل",IF(COUNTIF('دليل العملاء'!$B$4:$B$203,B227)=0,"⚠ عميل غير مسجل",IF(C227="","⚠ اختر الصنف",IF(COUNTIF('دليل الأصناف'!$B$4:$B$203,C227)=0,"⚠ صنف غير مسجل",IF(E227="","⚠ أدخل الكمية",IF(F227="","⚠ أدخل السعر",IF(A227="","⚠ أدخل التاريخ","✓ سليم"))))))))</f>
        <v/>
      </c>
    </row>
    <row r="228" customFormat="false" ht="15" hidden="false" customHeight="false" outlineLevel="0" collapsed="false">
      <c r="A228" s="13"/>
      <c r="B228" s="14"/>
      <c r="C228" s="14"/>
      <c r="D228" s="15" t="str">
        <f aca="false">IF(C228="","",IFERROR(INDEX('دليل الأصناف'!$A$4:$A$203,MATCH(C228,'دليل الأصناف'!$B$4:$B$203,0)),"غير مسجل"))</f>
        <v/>
      </c>
      <c r="E228" s="16"/>
      <c r="F228" s="17"/>
      <c r="G228" s="18"/>
      <c r="H228" s="19" t="n">
        <f aca="false">IF(OR(E228="",F228=""),0,IF(G228="شامل الضريبة",ROUND(ROUND(E228*F228,2)/(1+الإعدادات!$B$5),2),ROUND(E228*F228,2)))</f>
        <v>0</v>
      </c>
      <c r="I228" s="19" t="n">
        <f aca="false">IF(OR(E228="",F228=""),0,IF(G228="شامل الضريبة",ROUND(E228*F228,2)-H228,ROUND(H228*الإعدادات!$B$5,2)))</f>
        <v>0</v>
      </c>
      <c r="J228" s="20" t="n">
        <f aca="false">H228+I228</f>
        <v>0</v>
      </c>
      <c r="K228" s="14"/>
      <c r="L228" s="21" t="str">
        <f aca="false">IF(AND(B228="",C228="",E228="",F228=""),"",IF(B228="","⚠ اختر العميل",IF(COUNTIF('دليل العملاء'!$B$4:$B$203,B228)=0,"⚠ عميل غير مسجل",IF(C228="","⚠ اختر الصنف",IF(COUNTIF('دليل الأصناف'!$B$4:$B$203,C228)=0,"⚠ صنف غير مسجل",IF(E228="","⚠ أدخل الكمية",IF(F228="","⚠ أدخل السعر",IF(A228="","⚠ أدخل التاريخ","✓ سليم"))))))))</f>
        <v/>
      </c>
    </row>
    <row r="229" customFormat="false" ht="15" hidden="false" customHeight="false" outlineLevel="0" collapsed="false">
      <c r="A229" s="13"/>
      <c r="B229" s="14"/>
      <c r="C229" s="14"/>
      <c r="D229" s="15" t="str">
        <f aca="false">IF(C229="","",IFERROR(INDEX('دليل الأصناف'!$A$4:$A$203,MATCH(C229,'دليل الأصناف'!$B$4:$B$203,0)),"غير مسجل"))</f>
        <v/>
      </c>
      <c r="E229" s="16"/>
      <c r="F229" s="17"/>
      <c r="G229" s="18"/>
      <c r="H229" s="19" t="n">
        <f aca="false">IF(OR(E229="",F229=""),0,IF(G229="شامل الضريبة",ROUND(ROUND(E229*F229,2)/(1+الإعدادات!$B$5),2),ROUND(E229*F229,2)))</f>
        <v>0</v>
      </c>
      <c r="I229" s="19" t="n">
        <f aca="false">IF(OR(E229="",F229=""),0,IF(G229="شامل الضريبة",ROUND(E229*F229,2)-H229,ROUND(H229*الإعدادات!$B$5,2)))</f>
        <v>0</v>
      </c>
      <c r="J229" s="20" t="n">
        <f aca="false">H229+I229</f>
        <v>0</v>
      </c>
      <c r="K229" s="14"/>
      <c r="L229" s="21" t="str">
        <f aca="false">IF(AND(B229="",C229="",E229="",F229=""),"",IF(B229="","⚠ اختر العميل",IF(COUNTIF('دليل العملاء'!$B$4:$B$203,B229)=0,"⚠ عميل غير مسجل",IF(C229="","⚠ اختر الصنف",IF(COUNTIF('دليل الأصناف'!$B$4:$B$203,C229)=0,"⚠ صنف غير مسجل",IF(E229="","⚠ أدخل الكمية",IF(F229="","⚠ أدخل السعر",IF(A229="","⚠ أدخل التاريخ","✓ سليم"))))))))</f>
        <v/>
      </c>
    </row>
    <row r="230" customFormat="false" ht="15" hidden="false" customHeight="false" outlineLevel="0" collapsed="false">
      <c r="A230" s="13"/>
      <c r="B230" s="14"/>
      <c r="C230" s="14"/>
      <c r="D230" s="15" t="str">
        <f aca="false">IF(C230="","",IFERROR(INDEX('دليل الأصناف'!$A$4:$A$203,MATCH(C230,'دليل الأصناف'!$B$4:$B$203,0)),"غير مسجل"))</f>
        <v/>
      </c>
      <c r="E230" s="16"/>
      <c r="F230" s="17"/>
      <c r="G230" s="18"/>
      <c r="H230" s="19" t="n">
        <f aca="false">IF(OR(E230="",F230=""),0,IF(G230="شامل الضريبة",ROUND(ROUND(E230*F230,2)/(1+الإعدادات!$B$5),2),ROUND(E230*F230,2)))</f>
        <v>0</v>
      </c>
      <c r="I230" s="19" t="n">
        <f aca="false">IF(OR(E230="",F230=""),0,IF(G230="شامل الضريبة",ROUND(E230*F230,2)-H230,ROUND(H230*الإعدادات!$B$5,2)))</f>
        <v>0</v>
      </c>
      <c r="J230" s="20" t="n">
        <f aca="false">H230+I230</f>
        <v>0</v>
      </c>
      <c r="K230" s="14"/>
      <c r="L230" s="21" t="str">
        <f aca="false">IF(AND(B230="",C230="",E230="",F230=""),"",IF(B230="","⚠ اختر العميل",IF(COUNTIF('دليل العملاء'!$B$4:$B$203,B230)=0,"⚠ عميل غير مسجل",IF(C230="","⚠ اختر الصنف",IF(COUNTIF('دليل الأصناف'!$B$4:$B$203,C230)=0,"⚠ صنف غير مسجل",IF(E230="","⚠ أدخل الكمية",IF(F230="","⚠ أدخل السعر",IF(A230="","⚠ أدخل التاريخ","✓ سليم"))))))))</f>
        <v/>
      </c>
    </row>
    <row r="231" customFormat="false" ht="15" hidden="false" customHeight="false" outlineLevel="0" collapsed="false">
      <c r="A231" s="13"/>
      <c r="B231" s="14"/>
      <c r="C231" s="14"/>
      <c r="D231" s="15" t="str">
        <f aca="false">IF(C231="","",IFERROR(INDEX('دليل الأصناف'!$A$4:$A$203,MATCH(C231,'دليل الأصناف'!$B$4:$B$203,0)),"غير مسجل"))</f>
        <v/>
      </c>
      <c r="E231" s="16"/>
      <c r="F231" s="17"/>
      <c r="G231" s="18"/>
      <c r="H231" s="19" t="n">
        <f aca="false">IF(OR(E231="",F231=""),0,IF(G231="شامل الضريبة",ROUND(ROUND(E231*F231,2)/(1+الإعدادات!$B$5),2),ROUND(E231*F231,2)))</f>
        <v>0</v>
      </c>
      <c r="I231" s="19" t="n">
        <f aca="false">IF(OR(E231="",F231=""),0,IF(G231="شامل الضريبة",ROUND(E231*F231,2)-H231,ROUND(H231*الإعدادات!$B$5,2)))</f>
        <v>0</v>
      </c>
      <c r="J231" s="20" t="n">
        <f aca="false">H231+I231</f>
        <v>0</v>
      </c>
      <c r="K231" s="14"/>
      <c r="L231" s="21" t="str">
        <f aca="false">IF(AND(B231="",C231="",E231="",F231=""),"",IF(B231="","⚠ اختر العميل",IF(COUNTIF('دليل العملاء'!$B$4:$B$203,B231)=0,"⚠ عميل غير مسجل",IF(C231="","⚠ اختر الصنف",IF(COUNTIF('دليل الأصناف'!$B$4:$B$203,C231)=0,"⚠ صنف غير مسجل",IF(E231="","⚠ أدخل الكمية",IF(F231="","⚠ أدخل السعر",IF(A231="","⚠ أدخل التاريخ","✓ سليم"))))))))</f>
        <v/>
      </c>
    </row>
    <row r="232" customFormat="false" ht="15" hidden="false" customHeight="false" outlineLevel="0" collapsed="false">
      <c r="A232" s="13"/>
      <c r="B232" s="14"/>
      <c r="C232" s="14"/>
      <c r="D232" s="15" t="str">
        <f aca="false">IF(C232="","",IFERROR(INDEX('دليل الأصناف'!$A$4:$A$203,MATCH(C232,'دليل الأصناف'!$B$4:$B$203,0)),"غير مسجل"))</f>
        <v/>
      </c>
      <c r="E232" s="16"/>
      <c r="F232" s="17"/>
      <c r="G232" s="18"/>
      <c r="H232" s="19" t="n">
        <f aca="false">IF(OR(E232="",F232=""),0,IF(G232="شامل الضريبة",ROUND(ROUND(E232*F232,2)/(1+الإعدادات!$B$5),2),ROUND(E232*F232,2)))</f>
        <v>0</v>
      </c>
      <c r="I232" s="19" t="n">
        <f aca="false">IF(OR(E232="",F232=""),0,IF(G232="شامل الضريبة",ROUND(E232*F232,2)-H232,ROUND(H232*الإعدادات!$B$5,2)))</f>
        <v>0</v>
      </c>
      <c r="J232" s="20" t="n">
        <f aca="false">H232+I232</f>
        <v>0</v>
      </c>
      <c r="K232" s="14"/>
      <c r="L232" s="21" t="str">
        <f aca="false">IF(AND(B232="",C232="",E232="",F232=""),"",IF(B232="","⚠ اختر العميل",IF(COUNTIF('دليل العملاء'!$B$4:$B$203,B232)=0,"⚠ عميل غير مسجل",IF(C232="","⚠ اختر الصنف",IF(COUNTIF('دليل الأصناف'!$B$4:$B$203,C232)=0,"⚠ صنف غير مسجل",IF(E232="","⚠ أدخل الكمية",IF(F232="","⚠ أدخل السعر",IF(A232="","⚠ أدخل التاريخ","✓ سليم"))))))))</f>
        <v/>
      </c>
    </row>
    <row r="233" customFormat="false" ht="15" hidden="false" customHeight="false" outlineLevel="0" collapsed="false">
      <c r="A233" s="13"/>
      <c r="B233" s="14"/>
      <c r="C233" s="14"/>
      <c r="D233" s="15" t="str">
        <f aca="false">IF(C233="","",IFERROR(INDEX('دليل الأصناف'!$A$4:$A$203,MATCH(C233,'دليل الأصناف'!$B$4:$B$203,0)),"غير مسجل"))</f>
        <v/>
      </c>
      <c r="E233" s="16"/>
      <c r="F233" s="17"/>
      <c r="G233" s="18"/>
      <c r="H233" s="19" t="n">
        <f aca="false">IF(OR(E233="",F233=""),0,IF(G233="شامل الضريبة",ROUND(ROUND(E233*F233,2)/(1+الإعدادات!$B$5),2),ROUND(E233*F233,2)))</f>
        <v>0</v>
      </c>
      <c r="I233" s="19" t="n">
        <f aca="false">IF(OR(E233="",F233=""),0,IF(G233="شامل الضريبة",ROUND(E233*F233,2)-H233,ROUND(H233*الإعدادات!$B$5,2)))</f>
        <v>0</v>
      </c>
      <c r="J233" s="20" t="n">
        <f aca="false">H233+I233</f>
        <v>0</v>
      </c>
      <c r="K233" s="14"/>
      <c r="L233" s="21" t="str">
        <f aca="false">IF(AND(B233="",C233="",E233="",F233=""),"",IF(B233="","⚠ اختر العميل",IF(COUNTIF('دليل العملاء'!$B$4:$B$203,B233)=0,"⚠ عميل غير مسجل",IF(C233="","⚠ اختر الصنف",IF(COUNTIF('دليل الأصناف'!$B$4:$B$203,C233)=0,"⚠ صنف غير مسجل",IF(E233="","⚠ أدخل الكمية",IF(F233="","⚠ أدخل السعر",IF(A233="","⚠ أدخل التاريخ","✓ سليم"))))))))</f>
        <v/>
      </c>
    </row>
    <row r="234" customFormat="false" ht="15" hidden="false" customHeight="false" outlineLevel="0" collapsed="false">
      <c r="A234" s="13"/>
      <c r="B234" s="14"/>
      <c r="C234" s="14"/>
      <c r="D234" s="15" t="str">
        <f aca="false">IF(C234="","",IFERROR(INDEX('دليل الأصناف'!$A$4:$A$203,MATCH(C234,'دليل الأصناف'!$B$4:$B$203,0)),"غير مسجل"))</f>
        <v/>
      </c>
      <c r="E234" s="16"/>
      <c r="F234" s="17"/>
      <c r="G234" s="18"/>
      <c r="H234" s="19" t="n">
        <f aca="false">IF(OR(E234="",F234=""),0,IF(G234="شامل الضريبة",ROUND(ROUND(E234*F234,2)/(1+الإعدادات!$B$5),2),ROUND(E234*F234,2)))</f>
        <v>0</v>
      </c>
      <c r="I234" s="19" t="n">
        <f aca="false">IF(OR(E234="",F234=""),0,IF(G234="شامل الضريبة",ROUND(E234*F234,2)-H234,ROUND(H234*الإعدادات!$B$5,2)))</f>
        <v>0</v>
      </c>
      <c r="J234" s="20" t="n">
        <f aca="false">H234+I234</f>
        <v>0</v>
      </c>
      <c r="K234" s="14"/>
      <c r="L234" s="21" t="str">
        <f aca="false">IF(AND(B234="",C234="",E234="",F234=""),"",IF(B234="","⚠ اختر العميل",IF(COUNTIF('دليل العملاء'!$B$4:$B$203,B234)=0,"⚠ عميل غير مسجل",IF(C234="","⚠ اختر الصنف",IF(COUNTIF('دليل الأصناف'!$B$4:$B$203,C234)=0,"⚠ صنف غير مسجل",IF(E234="","⚠ أدخل الكمية",IF(F234="","⚠ أدخل السعر",IF(A234="","⚠ أدخل التاريخ","✓ سليم"))))))))</f>
        <v/>
      </c>
    </row>
    <row r="235" customFormat="false" ht="15" hidden="false" customHeight="false" outlineLevel="0" collapsed="false">
      <c r="A235" s="13"/>
      <c r="B235" s="14"/>
      <c r="C235" s="14"/>
      <c r="D235" s="15" t="str">
        <f aca="false">IF(C235="","",IFERROR(INDEX('دليل الأصناف'!$A$4:$A$203,MATCH(C235,'دليل الأصناف'!$B$4:$B$203,0)),"غير مسجل"))</f>
        <v/>
      </c>
      <c r="E235" s="16"/>
      <c r="F235" s="17"/>
      <c r="G235" s="18"/>
      <c r="H235" s="19" t="n">
        <f aca="false">IF(OR(E235="",F235=""),0,IF(G235="شامل الضريبة",ROUND(ROUND(E235*F235,2)/(1+الإعدادات!$B$5),2),ROUND(E235*F235,2)))</f>
        <v>0</v>
      </c>
      <c r="I235" s="19" t="n">
        <f aca="false">IF(OR(E235="",F235=""),0,IF(G235="شامل الضريبة",ROUND(E235*F235,2)-H235,ROUND(H235*الإعدادات!$B$5,2)))</f>
        <v>0</v>
      </c>
      <c r="J235" s="20" t="n">
        <f aca="false">H235+I235</f>
        <v>0</v>
      </c>
      <c r="K235" s="14"/>
      <c r="L235" s="21" t="str">
        <f aca="false">IF(AND(B235="",C235="",E235="",F235=""),"",IF(B235="","⚠ اختر العميل",IF(COUNTIF('دليل العملاء'!$B$4:$B$203,B235)=0,"⚠ عميل غير مسجل",IF(C235="","⚠ اختر الصنف",IF(COUNTIF('دليل الأصناف'!$B$4:$B$203,C235)=0,"⚠ صنف غير مسجل",IF(E235="","⚠ أدخل الكمية",IF(F235="","⚠ أدخل السعر",IF(A235="","⚠ أدخل التاريخ","✓ سليم"))))))))</f>
        <v/>
      </c>
    </row>
    <row r="236" customFormat="false" ht="15" hidden="false" customHeight="false" outlineLevel="0" collapsed="false">
      <c r="A236" s="13"/>
      <c r="B236" s="14"/>
      <c r="C236" s="14"/>
      <c r="D236" s="15" t="str">
        <f aca="false">IF(C236="","",IFERROR(INDEX('دليل الأصناف'!$A$4:$A$203,MATCH(C236,'دليل الأصناف'!$B$4:$B$203,0)),"غير مسجل"))</f>
        <v/>
      </c>
      <c r="E236" s="16"/>
      <c r="F236" s="17"/>
      <c r="G236" s="18"/>
      <c r="H236" s="19" t="n">
        <f aca="false">IF(OR(E236="",F236=""),0,IF(G236="شامل الضريبة",ROUND(ROUND(E236*F236,2)/(1+الإعدادات!$B$5),2),ROUND(E236*F236,2)))</f>
        <v>0</v>
      </c>
      <c r="I236" s="19" t="n">
        <f aca="false">IF(OR(E236="",F236=""),0,IF(G236="شامل الضريبة",ROUND(E236*F236,2)-H236,ROUND(H236*الإعدادات!$B$5,2)))</f>
        <v>0</v>
      </c>
      <c r="J236" s="20" t="n">
        <f aca="false">H236+I236</f>
        <v>0</v>
      </c>
      <c r="K236" s="14"/>
      <c r="L236" s="21" t="str">
        <f aca="false">IF(AND(B236="",C236="",E236="",F236=""),"",IF(B236="","⚠ اختر العميل",IF(COUNTIF('دليل العملاء'!$B$4:$B$203,B236)=0,"⚠ عميل غير مسجل",IF(C236="","⚠ اختر الصنف",IF(COUNTIF('دليل الأصناف'!$B$4:$B$203,C236)=0,"⚠ صنف غير مسجل",IF(E236="","⚠ أدخل الكمية",IF(F236="","⚠ أدخل السعر",IF(A236="","⚠ أدخل التاريخ","✓ سليم"))))))))</f>
        <v/>
      </c>
    </row>
    <row r="237" customFormat="false" ht="15" hidden="false" customHeight="false" outlineLevel="0" collapsed="false">
      <c r="A237" s="13"/>
      <c r="B237" s="14"/>
      <c r="C237" s="14"/>
      <c r="D237" s="15" t="str">
        <f aca="false">IF(C237="","",IFERROR(INDEX('دليل الأصناف'!$A$4:$A$203,MATCH(C237,'دليل الأصناف'!$B$4:$B$203,0)),"غير مسجل"))</f>
        <v/>
      </c>
      <c r="E237" s="16"/>
      <c r="F237" s="17"/>
      <c r="G237" s="18"/>
      <c r="H237" s="19" t="n">
        <f aca="false">IF(OR(E237="",F237=""),0,IF(G237="شامل الضريبة",ROUND(ROUND(E237*F237,2)/(1+الإعدادات!$B$5),2),ROUND(E237*F237,2)))</f>
        <v>0</v>
      </c>
      <c r="I237" s="19" t="n">
        <f aca="false">IF(OR(E237="",F237=""),0,IF(G237="شامل الضريبة",ROUND(E237*F237,2)-H237,ROUND(H237*الإعدادات!$B$5,2)))</f>
        <v>0</v>
      </c>
      <c r="J237" s="20" t="n">
        <f aca="false">H237+I237</f>
        <v>0</v>
      </c>
      <c r="K237" s="14"/>
      <c r="L237" s="21" t="str">
        <f aca="false">IF(AND(B237="",C237="",E237="",F237=""),"",IF(B237="","⚠ اختر العميل",IF(COUNTIF('دليل العملاء'!$B$4:$B$203,B237)=0,"⚠ عميل غير مسجل",IF(C237="","⚠ اختر الصنف",IF(COUNTIF('دليل الأصناف'!$B$4:$B$203,C237)=0,"⚠ صنف غير مسجل",IF(E237="","⚠ أدخل الكمية",IF(F237="","⚠ أدخل السعر",IF(A237="","⚠ أدخل التاريخ","✓ سليم"))))))))</f>
        <v/>
      </c>
    </row>
    <row r="238" customFormat="false" ht="15" hidden="false" customHeight="false" outlineLevel="0" collapsed="false">
      <c r="A238" s="13"/>
      <c r="B238" s="14"/>
      <c r="C238" s="14"/>
      <c r="D238" s="15" t="str">
        <f aca="false">IF(C238="","",IFERROR(INDEX('دليل الأصناف'!$A$4:$A$203,MATCH(C238,'دليل الأصناف'!$B$4:$B$203,0)),"غير مسجل"))</f>
        <v/>
      </c>
      <c r="E238" s="16"/>
      <c r="F238" s="17"/>
      <c r="G238" s="18"/>
      <c r="H238" s="19" t="n">
        <f aca="false">IF(OR(E238="",F238=""),0,IF(G238="شامل الضريبة",ROUND(ROUND(E238*F238,2)/(1+الإعدادات!$B$5),2),ROUND(E238*F238,2)))</f>
        <v>0</v>
      </c>
      <c r="I238" s="19" t="n">
        <f aca="false">IF(OR(E238="",F238=""),0,IF(G238="شامل الضريبة",ROUND(E238*F238,2)-H238,ROUND(H238*الإعدادات!$B$5,2)))</f>
        <v>0</v>
      </c>
      <c r="J238" s="20" t="n">
        <f aca="false">H238+I238</f>
        <v>0</v>
      </c>
      <c r="K238" s="14"/>
      <c r="L238" s="21" t="str">
        <f aca="false">IF(AND(B238="",C238="",E238="",F238=""),"",IF(B238="","⚠ اختر العميل",IF(COUNTIF('دليل العملاء'!$B$4:$B$203,B238)=0,"⚠ عميل غير مسجل",IF(C238="","⚠ اختر الصنف",IF(COUNTIF('دليل الأصناف'!$B$4:$B$203,C238)=0,"⚠ صنف غير مسجل",IF(E238="","⚠ أدخل الكمية",IF(F238="","⚠ أدخل السعر",IF(A238="","⚠ أدخل التاريخ","✓ سليم"))))))))</f>
        <v/>
      </c>
    </row>
    <row r="239" customFormat="false" ht="15" hidden="false" customHeight="false" outlineLevel="0" collapsed="false">
      <c r="A239" s="13"/>
      <c r="B239" s="14"/>
      <c r="C239" s="14"/>
      <c r="D239" s="15" t="str">
        <f aca="false">IF(C239="","",IFERROR(INDEX('دليل الأصناف'!$A$4:$A$203,MATCH(C239,'دليل الأصناف'!$B$4:$B$203,0)),"غير مسجل"))</f>
        <v/>
      </c>
      <c r="E239" s="16"/>
      <c r="F239" s="17"/>
      <c r="G239" s="18"/>
      <c r="H239" s="19" t="n">
        <f aca="false">IF(OR(E239="",F239=""),0,IF(G239="شامل الضريبة",ROUND(ROUND(E239*F239,2)/(1+الإعدادات!$B$5),2),ROUND(E239*F239,2)))</f>
        <v>0</v>
      </c>
      <c r="I239" s="19" t="n">
        <f aca="false">IF(OR(E239="",F239=""),0,IF(G239="شامل الضريبة",ROUND(E239*F239,2)-H239,ROUND(H239*الإعدادات!$B$5,2)))</f>
        <v>0</v>
      </c>
      <c r="J239" s="20" t="n">
        <f aca="false">H239+I239</f>
        <v>0</v>
      </c>
      <c r="K239" s="14"/>
      <c r="L239" s="21" t="str">
        <f aca="false">IF(AND(B239="",C239="",E239="",F239=""),"",IF(B239="","⚠ اختر العميل",IF(COUNTIF('دليل العملاء'!$B$4:$B$203,B239)=0,"⚠ عميل غير مسجل",IF(C239="","⚠ اختر الصنف",IF(COUNTIF('دليل الأصناف'!$B$4:$B$203,C239)=0,"⚠ صنف غير مسجل",IF(E239="","⚠ أدخل الكمية",IF(F239="","⚠ أدخل السعر",IF(A239="","⚠ أدخل التاريخ","✓ سليم"))))))))</f>
        <v/>
      </c>
    </row>
    <row r="240" customFormat="false" ht="15" hidden="false" customHeight="false" outlineLevel="0" collapsed="false">
      <c r="A240" s="13"/>
      <c r="B240" s="14"/>
      <c r="C240" s="14"/>
      <c r="D240" s="15" t="str">
        <f aca="false">IF(C240="","",IFERROR(INDEX('دليل الأصناف'!$A$4:$A$203,MATCH(C240,'دليل الأصناف'!$B$4:$B$203,0)),"غير مسجل"))</f>
        <v/>
      </c>
      <c r="E240" s="16"/>
      <c r="F240" s="17"/>
      <c r="G240" s="18"/>
      <c r="H240" s="19" t="n">
        <f aca="false">IF(OR(E240="",F240=""),0,IF(G240="شامل الضريبة",ROUND(ROUND(E240*F240,2)/(1+الإعدادات!$B$5),2),ROUND(E240*F240,2)))</f>
        <v>0</v>
      </c>
      <c r="I240" s="19" t="n">
        <f aca="false">IF(OR(E240="",F240=""),0,IF(G240="شامل الضريبة",ROUND(E240*F240,2)-H240,ROUND(H240*الإعدادات!$B$5,2)))</f>
        <v>0</v>
      </c>
      <c r="J240" s="20" t="n">
        <f aca="false">H240+I240</f>
        <v>0</v>
      </c>
      <c r="K240" s="14"/>
      <c r="L240" s="21" t="str">
        <f aca="false">IF(AND(B240="",C240="",E240="",F240=""),"",IF(B240="","⚠ اختر العميل",IF(COUNTIF('دليل العملاء'!$B$4:$B$203,B240)=0,"⚠ عميل غير مسجل",IF(C240="","⚠ اختر الصنف",IF(COUNTIF('دليل الأصناف'!$B$4:$B$203,C240)=0,"⚠ صنف غير مسجل",IF(E240="","⚠ أدخل الكمية",IF(F240="","⚠ أدخل السعر",IF(A240="","⚠ أدخل التاريخ","✓ سليم"))))))))</f>
        <v/>
      </c>
    </row>
    <row r="241" customFormat="false" ht="15" hidden="false" customHeight="false" outlineLevel="0" collapsed="false">
      <c r="A241" s="13"/>
      <c r="B241" s="14"/>
      <c r="C241" s="14"/>
      <c r="D241" s="15" t="str">
        <f aca="false">IF(C241="","",IFERROR(INDEX('دليل الأصناف'!$A$4:$A$203,MATCH(C241,'دليل الأصناف'!$B$4:$B$203,0)),"غير مسجل"))</f>
        <v/>
      </c>
      <c r="E241" s="16"/>
      <c r="F241" s="17"/>
      <c r="G241" s="18"/>
      <c r="H241" s="19" t="n">
        <f aca="false">IF(OR(E241="",F241=""),0,IF(G241="شامل الضريبة",ROUND(ROUND(E241*F241,2)/(1+الإعدادات!$B$5),2),ROUND(E241*F241,2)))</f>
        <v>0</v>
      </c>
      <c r="I241" s="19" t="n">
        <f aca="false">IF(OR(E241="",F241=""),0,IF(G241="شامل الضريبة",ROUND(E241*F241,2)-H241,ROUND(H241*الإعدادات!$B$5,2)))</f>
        <v>0</v>
      </c>
      <c r="J241" s="20" t="n">
        <f aca="false">H241+I241</f>
        <v>0</v>
      </c>
      <c r="K241" s="14"/>
      <c r="L241" s="21" t="str">
        <f aca="false">IF(AND(B241="",C241="",E241="",F241=""),"",IF(B241="","⚠ اختر العميل",IF(COUNTIF('دليل العملاء'!$B$4:$B$203,B241)=0,"⚠ عميل غير مسجل",IF(C241="","⚠ اختر الصنف",IF(COUNTIF('دليل الأصناف'!$B$4:$B$203,C241)=0,"⚠ صنف غير مسجل",IF(E241="","⚠ أدخل الكمية",IF(F241="","⚠ أدخل السعر",IF(A241="","⚠ أدخل التاريخ","✓ سليم"))))))))</f>
        <v/>
      </c>
    </row>
    <row r="242" customFormat="false" ht="15" hidden="false" customHeight="false" outlineLevel="0" collapsed="false">
      <c r="A242" s="13"/>
      <c r="B242" s="14"/>
      <c r="C242" s="14"/>
      <c r="D242" s="15" t="str">
        <f aca="false">IF(C242="","",IFERROR(INDEX('دليل الأصناف'!$A$4:$A$203,MATCH(C242,'دليل الأصناف'!$B$4:$B$203,0)),"غير مسجل"))</f>
        <v/>
      </c>
      <c r="E242" s="16"/>
      <c r="F242" s="17"/>
      <c r="G242" s="18"/>
      <c r="H242" s="19" t="n">
        <f aca="false">IF(OR(E242="",F242=""),0,IF(G242="شامل الضريبة",ROUND(ROUND(E242*F242,2)/(1+الإعدادات!$B$5),2),ROUND(E242*F242,2)))</f>
        <v>0</v>
      </c>
      <c r="I242" s="19" t="n">
        <f aca="false">IF(OR(E242="",F242=""),0,IF(G242="شامل الضريبة",ROUND(E242*F242,2)-H242,ROUND(H242*الإعدادات!$B$5,2)))</f>
        <v>0</v>
      </c>
      <c r="J242" s="20" t="n">
        <f aca="false">H242+I242</f>
        <v>0</v>
      </c>
      <c r="K242" s="14"/>
      <c r="L242" s="21" t="str">
        <f aca="false">IF(AND(B242="",C242="",E242="",F242=""),"",IF(B242="","⚠ اختر العميل",IF(COUNTIF('دليل العملاء'!$B$4:$B$203,B242)=0,"⚠ عميل غير مسجل",IF(C242="","⚠ اختر الصنف",IF(COUNTIF('دليل الأصناف'!$B$4:$B$203,C242)=0,"⚠ صنف غير مسجل",IF(E242="","⚠ أدخل الكمية",IF(F242="","⚠ أدخل السعر",IF(A242="","⚠ أدخل التاريخ","✓ سليم"))))))))</f>
        <v/>
      </c>
    </row>
    <row r="243" customFormat="false" ht="15" hidden="false" customHeight="false" outlineLevel="0" collapsed="false">
      <c r="A243" s="13"/>
      <c r="B243" s="14"/>
      <c r="C243" s="14"/>
      <c r="D243" s="15" t="str">
        <f aca="false">IF(C243="","",IFERROR(INDEX('دليل الأصناف'!$A$4:$A$203,MATCH(C243,'دليل الأصناف'!$B$4:$B$203,0)),"غير مسجل"))</f>
        <v/>
      </c>
      <c r="E243" s="16"/>
      <c r="F243" s="17"/>
      <c r="G243" s="18"/>
      <c r="H243" s="19" t="n">
        <f aca="false">IF(OR(E243="",F243=""),0,IF(G243="شامل الضريبة",ROUND(ROUND(E243*F243,2)/(1+الإعدادات!$B$5),2),ROUND(E243*F243,2)))</f>
        <v>0</v>
      </c>
      <c r="I243" s="19" t="n">
        <f aca="false">IF(OR(E243="",F243=""),0,IF(G243="شامل الضريبة",ROUND(E243*F243,2)-H243,ROUND(H243*الإعدادات!$B$5,2)))</f>
        <v>0</v>
      </c>
      <c r="J243" s="20" t="n">
        <f aca="false">H243+I243</f>
        <v>0</v>
      </c>
      <c r="K243" s="14"/>
      <c r="L243" s="21" t="str">
        <f aca="false">IF(AND(B243="",C243="",E243="",F243=""),"",IF(B243="","⚠ اختر العميل",IF(COUNTIF('دليل العملاء'!$B$4:$B$203,B243)=0,"⚠ عميل غير مسجل",IF(C243="","⚠ اختر الصنف",IF(COUNTIF('دليل الأصناف'!$B$4:$B$203,C243)=0,"⚠ صنف غير مسجل",IF(E243="","⚠ أدخل الكمية",IF(F243="","⚠ أدخل السعر",IF(A243="","⚠ أدخل التاريخ","✓ سليم"))))))))</f>
        <v/>
      </c>
    </row>
    <row r="244" customFormat="false" ht="15" hidden="false" customHeight="false" outlineLevel="0" collapsed="false">
      <c r="A244" s="13"/>
      <c r="B244" s="14"/>
      <c r="C244" s="14"/>
      <c r="D244" s="15" t="str">
        <f aca="false">IF(C244="","",IFERROR(INDEX('دليل الأصناف'!$A$4:$A$203,MATCH(C244,'دليل الأصناف'!$B$4:$B$203,0)),"غير مسجل"))</f>
        <v/>
      </c>
      <c r="E244" s="16"/>
      <c r="F244" s="17"/>
      <c r="G244" s="18"/>
      <c r="H244" s="19" t="n">
        <f aca="false">IF(OR(E244="",F244=""),0,IF(G244="شامل الضريبة",ROUND(ROUND(E244*F244,2)/(1+الإعدادات!$B$5),2),ROUND(E244*F244,2)))</f>
        <v>0</v>
      </c>
      <c r="I244" s="19" t="n">
        <f aca="false">IF(OR(E244="",F244=""),0,IF(G244="شامل الضريبة",ROUND(E244*F244,2)-H244,ROUND(H244*الإعدادات!$B$5,2)))</f>
        <v>0</v>
      </c>
      <c r="J244" s="20" t="n">
        <f aca="false">H244+I244</f>
        <v>0</v>
      </c>
      <c r="K244" s="14"/>
      <c r="L244" s="21" t="str">
        <f aca="false">IF(AND(B244="",C244="",E244="",F244=""),"",IF(B244="","⚠ اختر العميل",IF(COUNTIF('دليل العملاء'!$B$4:$B$203,B244)=0,"⚠ عميل غير مسجل",IF(C244="","⚠ اختر الصنف",IF(COUNTIF('دليل الأصناف'!$B$4:$B$203,C244)=0,"⚠ صنف غير مسجل",IF(E244="","⚠ أدخل الكمية",IF(F244="","⚠ أدخل السعر",IF(A244="","⚠ أدخل التاريخ","✓ سليم"))))))))</f>
        <v/>
      </c>
    </row>
    <row r="245" customFormat="false" ht="15" hidden="false" customHeight="false" outlineLevel="0" collapsed="false">
      <c r="A245" s="13"/>
      <c r="B245" s="14"/>
      <c r="C245" s="14"/>
      <c r="D245" s="15" t="str">
        <f aca="false">IF(C245="","",IFERROR(INDEX('دليل الأصناف'!$A$4:$A$203,MATCH(C245,'دليل الأصناف'!$B$4:$B$203,0)),"غير مسجل"))</f>
        <v/>
      </c>
      <c r="E245" s="16"/>
      <c r="F245" s="17"/>
      <c r="G245" s="18"/>
      <c r="H245" s="19" t="n">
        <f aca="false">IF(OR(E245="",F245=""),0,IF(G245="شامل الضريبة",ROUND(ROUND(E245*F245,2)/(1+الإعدادات!$B$5),2),ROUND(E245*F245,2)))</f>
        <v>0</v>
      </c>
      <c r="I245" s="19" t="n">
        <f aca="false">IF(OR(E245="",F245=""),0,IF(G245="شامل الضريبة",ROUND(E245*F245,2)-H245,ROUND(H245*الإعدادات!$B$5,2)))</f>
        <v>0</v>
      </c>
      <c r="J245" s="20" t="n">
        <f aca="false">H245+I245</f>
        <v>0</v>
      </c>
      <c r="K245" s="14"/>
      <c r="L245" s="21" t="str">
        <f aca="false">IF(AND(B245="",C245="",E245="",F245=""),"",IF(B245="","⚠ اختر العميل",IF(COUNTIF('دليل العملاء'!$B$4:$B$203,B245)=0,"⚠ عميل غير مسجل",IF(C245="","⚠ اختر الصنف",IF(COUNTIF('دليل الأصناف'!$B$4:$B$203,C245)=0,"⚠ صنف غير مسجل",IF(E245="","⚠ أدخل الكمية",IF(F245="","⚠ أدخل السعر",IF(A245="","⚠ أدخل التاريخ","✓ سليم"))))))))</f>
        <v/>
      </c>
    </row>
    <row r="246" customFormat="false" ht="15" hidden="false" customHeight="false" outlineLevel="0" collapsed="false">
      <c r="A246" s="13"/>
      <c r="B246" s="14"/>
      <c r="C246" s="14"/>
      <c r="D246" s="15" t="str">
        <f aca="false">IF(C246="","",IFERROR(INDEX('دليل الأصناف'!$A$4:$A$203,MATCH(C246,'دليل الأصناف'!$B$4:$B$203,0)),"غير مسجل"))</f>
        <v/>
      </c>
      <c r="E246" s="16"/>
      <c r="F246" s="17"/>
      <c r="G246" s="18"/>
      <c r="H246" s="19" t="n">
        <f aca="false">IF(OR(E246="",F246=""),0,IF(G246="شامل الضريبة",ROUND(ROUND(E246*F246,2)/(1+الإعدادات!$B$5),2),ROUND(E246*F246,2)))</f>
        <v>0</v>
      </c>
      <c r="I246" s="19" t="n">
        <f aca="false">IF(OR(E246="",F246=""),0,IF(G246="شامل الضريبة",ROUND(E246*F246,2)-H246,ROUND(H246*الإعدادات!$B$5,2)))</f>
        <v>0</v>
      </c>
      <c r="J246" s="20" t="n">
        <f aca="false">H246+I246</f>
        <v>0</v>
      </c>
      <c r="K246" s="14"/>
      <c r="L246" s="21" t="str">
        <f aca="false">IF(AND(B246="",C246="",E246="",F246=""),"",IF(B246="","⚠ اختر العميل",IF(COUNTIF('دليل العملاء'!$B$4:$B$203,B246)=0,"⚠ عميل غير مسجل",IF(C246="","⚠ اختر الصنف",IF(COUNTIF('دليل الأصناف'!$B$4:$B$203,C246)=0,"⚠ صنف غير مسجل",IF(E246="","⚠ أدخل الكمية",IF(F246="","⚠ أدخل السعر",IF(A246="","⚠ أدخل التاريخ","✓ سليم"))))))))</f>
        <v/>
      </c>
    </row>
    <row r="247" customFormat="false" ht="15" hidden="false" customHeight="false" outlineLevel="0" collapsed="false">
      <c r="A247" s="13"/>
      <c r="B247" s="14"/>
      <c r="C247" s="14"/>
      <c r="D247" s="15" t="str">
        <f aca="false">IF(C247="","",IFERROR(INDEX('دليل الأصناف'!$A$4:$A$203,MATCH(C247,'دليل الأصناف'!$B$4:$B$203,0)),"غير مسجل"))</f>
        <v/>
      </c>
      <c r="E247" s="16"/>
      <c r="F247" s="17"/>
      <c r="G247" s="18"/>
      <c r="H247" s="19" t="n">
        <f aca="false">IF(OR(E247="",F247=""),0,IF(G247="شامل الضريبة",ROUND(ROUND(E247*F247,2)/(1+الإعدادات!$B$5),2),ROUND(E247*F247,2)))</f>
        <v>0</v>
      </c>
      <c r="I247" s="19" t="n">
        <f aca="false">IF(OR(E247="",F247=""),0,IF(G247="شامل الضريبة",ROUND(E247*F247,2)-H247,ROUND(H247*الإعدادات!$B$5,2)))</f>
        <v>0</v>
      </c>
      <c r="J247" s="20" t="n">
        <f aca="false">H247+I247</f>
        <v>0</v>
      </c>
      <c r="K247" s="14"/>
      <c r="L247" s="21" t="str">
        <f aca="false">IF(AND(B247="",C247="",E247="",F247=""),"",IF(B247="","⚠ اختر العميل",IF(COUNTIF('دليل العملاء'!$B$4:$B$203,B247)=0,"⚠ عميل غير مسجل",IF(C247="","⚠ اختر الصنف",IF(COUNTIF('دليل الأصناف'!$B$4:$B$203,C247)=0,"⚠ صنف غير مسجل",IF(E247="","⚠ أدخل الكمية",IF(F247="","⚠ أدخل السعر",IF(A247="","⚠ أدخل التاريخ","✓ سليم"))))))))</f>
        <v/>
      </c>
    </row>
    <row r="248" customFormat="false" ht="15" hidden="false" customHeight="false" outlineLevel="0" collapsed="false">
      <c r="A248" s="13"/>
      <c r="B248" s="14"/>
      <c r="C248" s="14"/>
      <c r="D248" s="15" t="str">
        <f aca="false">IF(C248="","",IFERROR(INDEX('دليل الأصناف'!$A$4:$A$203,MATCH(C248,'دليل الأصناف'!$B$4:$B$203,0)),"غير مسجل"))</f>
        <v/>
      </c>
      <c r="E248" s="16"/>
      <c r="F248" s="17"/>
      <c r="G248" s="18"/>
      <c r="H248" s="19" t="n">
        <f aca="false">IF(OR(E248="",F248=""),0,IF(G248="شامل الضريبة",ROUND(ROUND(E248*F248,2)/(1+الإعدادات!$B$5),2),ROUND(E248*F248,2)))</f>
        <v>0</v>
      </c>
      <c r="I248" s="19" t="n">
        <f aca="false">IF(OR(E248="",F248=""),0,IF(G248="شامل الضريبة",ROUND(E248*F248,2)-H248,ROUND(H248*الإعدادات!$B$5,2)))</f>
        <v>0</v>
      </c>
      <c r="J248" s="20" t="n">
        <f aca="false">H248+I248</f>
        <v>0</v>
      </c>
      <c r="K248" s="14"/>
      <c r="L248" s="21" t="str">
        <f aca="false">IF(AND(B248="",C248="",E248="",F248=""),"",IF(B248="","⚠ اختر العميل",IF(COUNTIF('دليل العملاء'!$B$4:$B$203,B248)=0,"⚠ عميل غير مسجل",IF(C248="","⚠ اختر الصنف",IF(COUNTIF('دليل الأصناف'!$B$4:$B$203,C248)=0,"⚠ صنف غير مسجل",IF(E248="","⚠ أدخل الكمية",IF(F248="","⚠ أدخل السعر",IF(A248="","⚠ أدخل التاريخ","✓ سليم"))))))))</f>
        <v/>
      </c>
    </row>
    <row r="249" customFormat="false" ht="15" hidden="false" customHeight="false" outlineLevel="0" collapsed="false">
      <c r="A249" s="13"/>
      <c r="B249" s="14"/>
      <c r="C249" s="14"/>
      <c r="D249" s="15" t="str">
        <f aca="false">IF(C249="","",IFERROR(INDEX('دليل الأصناف'!$A$4:$A$203,MATCH(C249,'دليل الأصناف'!$B$4:$B$203,0)),"غير مسجل"))</f>
        <v/>
      </c>
      <c r="E249" s="16"/>
      <c r="F249" s="17"/>
      <c r="G249" s="18"/>
      <c r="H249" s="19" t="n">
        <f aca="false">IF(OR(E249="",F249=""),0,IF(G249="شامل الضريبة",ROUND(ROUND(E249*F249,2)/(1+الإعدادات!$B$5),2),ROUND(E249*F249,2)))</f>
        <v>0</v>
      </c>
      <c r="I249" s="19" t="n">
        <f aca="false">IF(OR(E249="",F249=""),0,IF(G249="شامل الضريبة",ROUND(E249*F249,2)-H249,ROUND(H249*الإعدادات!$B$5,2)))</f>
        <v>0</v>
      </c>
      <c r="J249" s="20" t="n">
        <f aca="false">H249+I249</f>
        <v>0</v>
      </c>
      <c r="K249" s="14"/>
      <c r="L249" s="21" t="str">
        <f aca="false">IF(AND(B249="",C249="",E249="",F249=""),"",IF(B249="","⚠ اختر العميل",IF(COUNTIF('دليل العملاء'!$B$4:$B$203,B249)=0,"⚠ عميل غير مسجل",IF(C249="","⚠ اختر الصنف",IF(COUNTIF('دليل الأصناف'!$B$4:$B$203,C249)=0,"⚠ صنف غير مسجل",IF(E249="","⚠ أدخل الكمية",IF(F249="","⚠ أدخل السعر",IF(A249="","⚠ أدخل التاريخ","✓ سليم"))))))))</f>
        <v/>
      </c>
    </row>
    <row r="250" customFormat="false" ht="15" hidden="false" customHeight="false" outlineLevel="0" collapsed="false">
      <c r="A250" s="13"/>
      <c r="B250" s="14"/>
      <c r="C250" s="14"/>
      <c r="D250" s="15" t="str">
        <f aca="false">IF(C250="","",IFERROR(INDEX('دليل الأصناف'!$A$4:$A$203,MATCH(C250,'دليل الأصناف'!$B$4:$B$203,0)),"غير مسجل"))</f>
        <v/>
      </c>
      <c r="E250" s="16"/>
      <c r="F250" s="17"/>
      <c r="G250" s="18"/>
      <c r="H250" s="19" t="n">
        <f aca="false">IF(OR(E250="",F250=""),0,IF(G250="شامل الضريبة",ROUND(ROUND(E250*F250,2)/(1+الإعدادات!$B$5),2),ROUND(E250*F250,2)))</f>
        <v>0</v>
      </c>
      <c r="I250" s="19" t="n">
        <f aca="false">IF(OR(E250="",F250=""),0,IF(G250="شامل الضريبة",ROUND(E250*F250,2)-H250,ROUND(H250*الإعدادات!$B$5,2)))</f>
        <v>0</v>
      </c>
      <c r="J250" s="20" t="n">
        <f aca="false">H250+I250</f>
        <v>0</v>
      </c>
      <c r="K250" s="14"/>
      <c r="L250" s="21" t="str">
        <f aca="false">IF(AND(B250="",C250="",E250="",F250=""),"",IF(B250="","⚠ اختر العميل",IF(COUNTIF('دليل العملاء'!$B$4:$B$203,B250)=0,"⚠ عميل غير مسجل",IF(C250="","⚠ اختر الصنف",IF(COUNTIF('دليل الأصناف'!$B$4:$B$203,C250)=0,"⚠ صنف غير مسجل",IF(E250="","⚠ أدخل الكمية",IF(F250="","⚠ أدخل السعر",IF(A250="","⚠ أدخل التاريخ","✓ سليم"))))))))</f>
        <v/>
      </c>
    </row>
    <row r="251" customFormat="false" ht="15" hidden="false" customHeight="false" outlineLevel="0" collapsed="false">
      <c r="A251" s="13"/>
      <c r="B251" s="14"/>
      <c r="C251" s="14"/>
      <c r="D251" s="15" t="str">
        <f aca="false">IF(C251="","",IFERROR(INDEX('دليل الأصناف'!$A$4:$A$203,MATCH(C251,'دليل الأصناف'!$B$4:$B$203,0)),"غير مسجل"))</f>
        <v/>
      </c>
      <c r="E251" s="16"/>
      <c r="F251" s="17"/>
      <c r="G251" s="18"/>
      <c r="H251" s="19" t="n">
        <f aca="false">IF(OR(E251="",F251=""),0,IF(G251="شامل الضريبة",ROUND(ROUND(E251*F251,2)/(1+الإعدادات!$B$5),2),ROUND(E251*F251,2)))</f>
        <v>0</v>
      </c>
      <c r="I251" s="19" t="n">
        <f aca="false">IF(OR(E251="",F251=""),0,IF(G251="شامل الضريبة",ROUND(E251*F251,2)-H251,ROUND(H251*الإعدادات!$B$5,2)))</f>
        <v>0</v>
      </c>
      <c r="J251" s="20" t="n">
        <f aca="false">H251+I251</f>
        <v>0</v>
      </c>
      <c r="K251" s="14"/>
      <c r="L251" s="21" t="str">
        <f aca="false">IF(AND(B251="",C251="",E251="",F251=""),"",IF(B251="","⚠ اختر العميل",IF(COUNTIF('دليل العملاء'!$B$4:$B$203,B251)=0,"⚠ عميل غير مسجل",IF(C251="","⚠ اختر الصنف",IF(COUNTIF('دليل الأصناف'!$B$4:$B$203,C251)=0,"⚠ صنف غير مسجل",IF(E251="","⚠ أدخل الكمية",IF(F251="","⚠ أدخل السعر",IF(A251="","⚠ أدخل التاريخ","✓ سليم"))))))))</f>
        <v/>
      </c>
    </row>
    <row r="252" customFormat="false" ht="15" hidden="false" customHeight="false" outlineLevel="0" collapsed="false">
      <c r="A252" s="13"/>
      <c r="B252" s="14"/>
      <c r="C252" s="14"/>
      <c r="D252" s="15" t="str">
        <f aca="false">IF(C252="","",IFERROR(INDEX('دليل الأصناف'!$A$4:$A$203,MATCH(C252,'دليل الأصناف'!$B$4:$B$203,0)),"غير مسجل"))</f>
        <v/>
      </c>
      <c r="E252" s="16"/>
      <c r="F252" s="17"/>
      <c r="G252" s="18"/>
      <c r="H252" s="19" t="n">
        <f aca="false">IF(OR(E252="",F252=""),0,IF(G252="شامل الضريبة",ROUND(ROUND(E252*F252,2)/(1+الإعدادات!$B$5),2),ROUND(E252*F252,2)))</f>
        <v>0</v>
      </c>
      <c r="I252" s="19" t="n">
        <f aca="false">IF(OR(E252="",F252=""),0,IF(G252="شامل الضريبة",ROUND(E252*F252,2)-H252,ROUND(H252*الإعدادات!$B$5,2)))</f>
        <v>0</v>
      </c>
      <c r="J252" s="20" t="n">
        <f aca="false">H252+I252</f>
        <v>0</v>
      </c>
      <c r="K252" s="14"/>
      <c r="L252" s="21" t="str">
        <f aca="false">IF(AND(B252="",C252="",E252="",F252=""),"",IF(B252="","⚠ اختر العميل",IF(COUNTIF('دليل العملاء'!$B$4:$B$203,B252)=0,"⚠ عميل غير مسجل",IF(C252="","⚠ اختر الصنف",IF(COUNTIF('دليل الأصناف'!$B$4:$B$203,C252)=0,"⚠ صنف غير مسجل",IF(E252="","⚠ أدخل الكمية",IF(F252="","⚠ أدخل السعر",IF(A252="","⚠ أدخل التاريخ","✓ سليم"))))))))</f>
        <v/>
      </c>
    </row>
    <row r="253" customFormat="false" ht="15" hidden="false" customHeight="false" outlineLevel="0" collapsed="false">
      <c r="A253" s="13"/>
      <c r="B253" s="14"/>
      <c r="C253" s="14"/>
      <c r="D253" s="15" t="str">
        <f aca="false">IF(C253="","",IFERROR(INDEX('دليل الأصناف'!$A$4:$A$203,MATCH(C253,'دليل الأصناف'!$B$4:$B$203,0)),"غير مسجل"))</f>
        <v/>
      </c>
      <c r="E253" s="16"/>
      <c r="F253" s="17"/>
      <c r="G253" s="18"/>
      <c r="H253" s="19" t="n">
        <f aca="false">IF(OR(E253="",F253=""),0,IF(G253="شامل الضريبة",ROUND(ROUND(E253*F253,2)/(1+الإعدادات!$B$5),2),ROUND(E253*F253,2)))</f>
        <v>0</v>
      </c>
      <c r="I253" s="19" t="n">
        <f aca="false">IF(OR(E253="",F253=""),0,IF(G253="شامل الضريبة",ROUND(E253*F253,2)-H253,ROUND(H253*الإعدادات!$B$5,2)))</f>
        <v>0</v>
      </c>
      <c r="J253" s="20" t="n">
        <f aca="false">H253+I253</f>
        <v>0</v>
      </c>
      <c r="K253" s="14"/>
      <c r="L253" s="21" t="str">
        <f aca="false">IF(AND(B253="",C253="",E253="",F253=""),"",IF(B253="","⚠ اختر العميل",IF(COUNTIF('دليل العملاء'!$B$4:$B$203,B253)=0,"⚠ عميل غير مسجل",IF(C253="","⚠ اختر الصنف",IF(COUNTIF('دليل الأصناف'!$B$4:$B$203,C253)=0,"⚠ صنف غير مسجل",IF(E253="","⚠ أدخل الكمية",IF(F253="","⚠ أدخل السعر",IF(A253="","⚠ أدخل التاريخ","✓ سليم"))))))))</f>
        <v/>
      </c>
    </row>
    <row r="254" customFormat="false" ht="15" hidden="false" customHeight="false" outlineLevel="0" collapsed="false">
      <c r="A254" s="13"/>
      <c r="B254" s="14"/>
      <c r="C254" s="14"/>
      <c r="D254" s="15" t="str">
        <f aca="false">IF(C254="","",IFERROR(INDEX('دليل الأصناف'!$A$4:$A$203,MATCH(C254,'دليل الأصناف'!$B$4:$B$203,0)),"غير مسجل"))</f>
        <v/>
      </c>
      <c r="E254" s="16"/>
      <c r="F254" s="17"/>
      <c r="G254" s="18"/>
      <c r="H254" s="19" t="n">
        <f aca="false">IF(OR(E254="",F254=""),0,IF(G254="شامل الضريبة",ROUND(ROUND(E254*F254,2)/(1+الإعدادات!$B$5),2),ROUND(E254*F254,2)))</f>
        <v>0</v>
      </c>
      <c r="I254" s="19" t="n">
        <f aca="false">IF(OR(E254="",F254=""),0,IF(G254="شامل الضريبة",ROUND(E254*F254,2)-H254,ROUND(H254*الإعدادات!$B$5,2)))</f>
        <v>0</v>
      </c>
      <c r="J254" s="20" t="n">
        <f aca="false">H254+I254</f>
        <v>0</v>
      </c>
      <c r="K254" s="14"/>
      <c r="L254" s="21" t="str">
        <f aca="false">IF(AND(B254="",C254="",E254="",F254=""),"",IF(B254="","⚠ اختر العميل",IF(COUNTIF('دليل العملاء'!$B$4:$B$203,B254)=0,"⚠ عميل غير مسجل",IF(C254="","⚠ اختر الصنف",IF(COUNTIF('دليل الأصناف'!$B$4:$B$203,C254)=0,"⚠ صنف غير مسجل",IF(E254="","⚠ أدخل الكمية",IF(F254="","⚠ أدخل السعر",IF(A254="","⚠ أدخل التاريخ","✓ سليم"))))))))</f>
        <v/>
      </c>
    </row>
    <row r="255" customFormat="false" ht="15" hidden="false" customHeight="false" outlineLevel="0" collapsed="false">
      <c r="A255" s="13"/>
      <c r="B255" s="14"/>
      <c r="C255" s="14"/>
      <c r="D255" s="15" t="str">
        <f aca="false">IF(C255="","",IFERROR(INDEX('دليل الأصناف'!$A$4:$A$203,MATCH(C255,'دليل الأصناف'!$B$4:$B$203,0)),"غير مسجل"))</f>
        <v/>
      </c>
      <c r="E255" s="16"/>
      <c r="F255" s="17"/>
      <c r="G255" s="18"/>
      <c r="H255" s="19" t="n">
        <f aca="false">IF(OR(E255="",F255=""),0,IF(G255="شامل الضريبة",ROUND(ROUND(E255*F255,2)/(1+الإعدادات!$B$5),2),ROUND(E255*F255,2)))</f>
        <v>0</v>
      </c>
      <c r="I255" s="19" t="n">
        <f aca="false">IF(OR(E255="",F255=""),0,IF(G255="شامل الضريبة",ROUND(E255*F255,2)-H255,ROUND(H255*الإعدادات!$B$5,2)))</f>
        <v>0</v>
      </c>
      <c r="J255" s="20" t="n">
        <f aca="false">H255+I255</f>
        <v>0</v>
      </c>
      <c r="K255" s="14"/>
      <c r="L255" s="21" t="str">
        <f aca="false">IF(AND(B255="",C255="",E255="",F255=""),"",IF(B255="","⚠ اختر العميل",IF(COUNTIF('دليل العملاء'!$B$4:$B$203,B255)=0,"⚠ عميل غير مسجل",IF(C255="","⚠ اختر الصنف",IF(COUNTIF('دليل الأصناف'!$B$4:$B$203,C255)=0,"⚠ صنف غير مسجل",IF(E255="","⚠ أدخل الكمية",IF(F255="","⚠ أدخل السعر",IF(A255="","⚠ أدخل التاريخ","✓ سليم"))))))))</f>
        <v/>
      </c>
    </row>
    <row r="256" customFormat="false" ht="15" hidden="false" customHeight="false" outlineLevel="0" collapsed="false">
      <c r="A256" s="13"/>
      <c r="B256" s="14"/>
      <c r="C256" s="14"/>
      <c r="D256" s="15" t="str">
        <f aca="false">IF(C256="","",IFERROR(INDEX('دليل الأصناف'!$A$4:$A$203,MATCH(C256,'دليل الأصناف'!$B$4:$B$203,0)),"غير مسجل"))</f>
        <v/>
      </c>
      <c r="E256" s="16"/>
      <c r="F256" s="17"/>
      <c r="G256" s="18"/>
      <c r="H256" s="19" t="n">
        <f aca="false">IF(OR(E256="",F256=""),0,IF(G256="شامل الضريبة",ROUND(ROUND(E256*F256,2)/(1+الإعدادات!$B$5),2),ROUND(E256*F256,2)))</f>
        <v>0</v>
      </c>
      <c r="I256" s="19" t="n">
        <f aca="false">IF(OR(E256="",F256=""),0,IF(G256="شامل الضريبة",ROUND(E256*F256,2)-H256,ROUND(H256*الإعدادات!$B$5,2)))</f>
        <v>0</v>
      </c>
      <c r="J256" s="20" t="n">
        <f aca="false">H256+I256</f>
        <v>0</v>
      </c>
      <c r="K256" s="14"/>
      <c r="L256" s="21" t="str">
        <f aca="false">IF(AND(B256="",C256="",E256="",F256=""),"",IF(B256="","⚠ اختر العميل",IF(COUNTIF('دليل العملاء'!$B$4:$B$203,B256)=0,"⚠ عميل غير مسجل",IF(C256="","⚠ اختر الصنف",IF(COUNTIF('دليل الأصناف'!$B$4:$B$203,C256)=0,"⚠ صنف غير مسجل",IF(E256="","⚠ أدخل الكمية",IF(F256="","⚠ أدخل السعر",IF(A256="","⚠ أدخل التاريخ","✓ سليم"))))))))</f>
        <v/>
      </c>
    </row>
    <row r="257" customFormat="false" ht="15" hidden="false" customHeight="false" outlineLevel="0" collapsed="false">
      <c r="A257" s="13"/>
      <c r="B257" s="14"/>
      <c r="C257" s="14"/>
      <c r="D257" s="15" t="str">
        <f aca="false">IF(C257="","",IFERROR(INDEX('دليل الأصناف'!$A$4:$A$203,MATCH(C257,'دليل الأصناف'!$B$4:$B$203,0)),"غير مسجل"))</f>
        <v/>
      </c>
      <c r="E257" s="16"/>
      <c r="F257" s="17"/>
      <c r="G257" s="18"/>
      <c r="H257" s="19" t="n">
        <f aca="false">IF(OR(E257="",F257=""),0,IF(G257="شامل الضريبة",ROUND(ROUND(E257*F257,2)/(1+الإعدادات!$B$5),2),ROUND(E257*F257,2)))</f>
        <v>0</v>
      </c>
      <c r="I257" s="19" t="n">
        <f aca="false">IF(OR(E257="",F257=""),0,IF(G257="شامل الضريبة",ROUND(E257*F257,2)-H257,ROUND(H257*الإعدادات!$B$5,2)))</f>
        <v>0</v>
      </c>
      <c r="J257" s="20" t="n">
        <f aca="false">H257+I257</f>
        <v>0</v>
      </c>
      <c r="K257" s="14"/>
      <c r="L257" s="21" t="str">
        <f aca="false">IF(AND(B257="",C257="",E257="",F257=""),"",IF(B257="","⚠ اختر العميل",IF(COUNTIF('دليل العملاء'!$B$4:$B$203,B257)=0,"⚠ عميل غير مسجل",IF(C257="","⚠ اختر الصنف",IF(COUNTIF('دليل الأصناف'!$B$4:$B$203,C257)=0,"⚠ صنف غير مسجل",IF(E257="","⚠ أدخل الكمية",IF(F257="","⚠ أدخل السعر",IF(A257="","⚠ أدخل التاريخ","✓ سليم"))))))))</f>
        <v/>
      </c>
    </row>
    <row r="258" customFormat="false" ht="15" hidden="false" customHeight="false" outlineLevel="0" collapsed="false">
      <c r="A258" s="13"/>
      <c r="B258" s="14"/>
      <c r="C258" s="14"/>
      <c r="D258" s="15" t="str">
        <f aca="false">IF(C258="","",IFERROR(INDEX('دليل الأصناف'!$A$4:$A$203,MATCH(C258,'دليل الأصناف'!$B$4:$B$203,0)),"غير مسجل"))</f>
        <v/>
      </c>
      <c r="E258" s="16"/>
      <c r="F258" s="17"/>
      <c r="G258" s="18"/>
      <c r="H258" s="19" t="n">
        <f aca="false">IF(OR(E258="",F258=""),0,IF(G258="شامل الضريبة",ROUND(ROUND(E258*F258,2)/(1+الإعدادات!$B$5),2),ROUND(E258*F258,2)))</f>
        <v>0</v>
      </c>
      <c r="I258" s="19" t="n">
        <f aca="false">IF(OR(E258="",F258=""),0,IF(G258="شامل الضريبة",ROUND(E258*F258,2)-H258,ROUND(H258*الإعدادات!$B$5,2)))</f>
        <v>0</v>
      </c>
      <c r="J258" s="20" t="n">
        <f aca="false">H258+I258</f>
        <v>0</v>
      </c>
      <c r="K258" s="14"/>
      <c r="L258" s="21" t="str">
        <f aca="false">IF(AND(B258="",C258="",E258="",F258=""),"",IF(B258="","⚠ اختر العميل",IF(COUNTIF('دليل العملاء'!$B$4:$B$203,B258)=0,"⚠ عميل غير مسجل",IF(C258="","⚠ اختر الصنف",IF(COUNTIF('دليل الأصناف'!$B$4:$B$203,C258)=0,"⚠ صنف غير مسجل",IF(E258="","⚠ أدخل الكمية",IF(F258="","⚠ أدخل السعر",IF(A258="","⚠ أدخل التاريخ","✓ سليم"))))))))</f>
        <v/>
      </c>
    </row>
    <row r="259" customFormat="false" ht="15" hidden="false" customHeight="false" outlineLevel="0" collapsed="false">
      <c r="A259" s="13"/>
      <c r="B259" s="14"/>
      <c r="C259" s="14"/>
      <c r="D259" s="15" t="str">
        <f aca="false">IF(C259="","",IFERROR(INDEX('دليل الأصناف'!$A$4:$A$203,MATCH(C259,'دليل الأصناف'!$B$4:$B$203,0)),"غير مسجل"))</f>
        <v/>
      </c>
      <c r="E259" s="16"/>
      <c r="F259" s="17"/>
      <c r="G259" s="18"/>
      <c r="H259" s="19" t="n">
        <f aca="false">IF(OR(E259="",F259=""),0,IF(G259="شامل الضريبة",ROUND(ROUND(E259*F259,2)/(1+الإعدادات!$B$5),2),ROUND(E259*F259,2)))</f>
        <v>0</v>
      </c>
      <c r="I259" s="19" t="n">
        <f aca="false">IF(OR(E259="",F259=""),0,IF(G259="شامل الضريبة",ROUND(E259*F259,2)-H259,ROUND(H259*الإعدادات!$B$5,2)))</f>
        <v>0</v>
      </c>
      <c r="J259" s="20" t="n">
        <f aca="false">H259+I259</f>
        <v>0</v>
      </c>
      <c r="K259" s="14"/>
      <c r="L259" s="21" t="str">
        <f aca="false">IF(AND(B259="",C259="",E259="",F259=""),"",IF(B259="","⚠ اختر العميل",IF(COUNTIF('دليل العملاء'!$B$4:$B$203,B259)=0,"⚠ عميل غير مسجل",IF(C259="","⚠ اختر الصنف",IF(COUNTIF('دليل الأصناف'!$B$4:$B$203,C259)=0,"⚠ صنف غير مسجل",IF(E259="","⚠ أدخل الكمية",IF(F259="","⚠ أدخل السعر",IF(A259="","⚠ أدخل التاريخ","✓ سليم"))))))))</f>
        <v/>
      </c>
    </row>
    <row r="260" customFormat="false" ht="15" hidden="false" customHeight="false" outlineLevel="0" collapsed="false">
      <c r="A260" s="13"/>
      <c r="B260" s="14"/>
      <c r="C260" s="14"/>
      <c r="D260" s="15" t="str">
        <f aca="false">IF(C260="","",IFERROR(INDEX('دليل الأصناف'!$A$4:$A$203,MATCH(C260,'دليل الأصناف'!$B$4:$B$203,0)),"غير مسجل"))</f>
        <v/>
      </c>
      <c r="E260" s="16"/>
      <c r="F260" s="17"/>
      <c r="G260" s="18"/>
      <c r="H260" s="19" t="n">
        <f aca="false">IF(OR(E260="",F260=""),0,IF(G260="شامل الضريبة",ROUND(ROUND(E260*F260,2)/(1+الإعدادات!$B$5),2),ROUND(E260*F260,2)))</f>
        <v>0</v>
      </c>
      <c r="I260" s="19" t="n">
        <f aca="false">IF(OR(E260="",F260=""),0,IF(G260="شامل الضريبة",ROUND(E260*F260,2)-H260,ROUND(H260*الإعدادات!$B$5,2)))</f>
        <v>0</v>
      </c>
      <c r="J260" s="20" t="n">
        <f aca="false">H260+I260</f>
        <v>0</v>
      </c>
      <c r="K260" s="14"/>
      <c r="L260" s="21" t="str">
        <f aca="false">IF(AND(B260="",C260="",E260="",F260=""),"",IF(B260="","⚠ اختر العميل",IF(COUNTIF('دليل العملاء'!$B$4:$B$203,B260)=0,"⚠ عميل غير مسجل",IF(C260="","⚠ اختر الصنف",IF(COUNTIF('دليل الأصناف'!$B$4:$B$203,C260)=0,"⚠ صنف غير مسجل",IF(E260="","⚠ أدخل الكمية",IF(F260="","⚠ أدخل السعر",IF(A260="","⚠ أدخل التاريخ","✓ سليم"))))))))</f>
        <v/>
      </c>
    </row>
    <row r="261" customFormat="false" ht="15" hidden="false" customHeight="false" outlineLevel="0" collapsed="false">
      <c r="A261" s="13"/>
      <c r="B261" s="14"/>
      <c r="C261" s="14"/>
      <c r="D261" s="15" t="str">
        <f aca="false">IF(C261="","",IFERROR(INDEX('دليل الأصناف'!$A$4:$A$203,MATCH(C261,'دليل الأصناف'!$B$4:$B$203,0)),"غير مسجل"))</f>
        <v/>
      </c>
      <c r="E261" s="16"/>
      <c r="F261" s="17"/>
      <c r="G261" s="18"/>
      <c r="H261" s="19" t="n">
        <f aca="false">IF(OR(E261="",F261=""),0,IF(G261="شامل الضريبة",ROUND(ROUND(E261*F261,2)/(1+الإعدادات!$B$5),2),ROUND(E261*F261,2)))</f>
        <v>0</v>
      </c>
      <c r="I261" s="19" t="n">
        <f aca="false">IF(OR(E261="",F261=""),0,IF(G261="شامل الضريبة",ROUND(E261*F261,2)-H261,ROUND(H261*الإعدادات!$B$5,2)))</f>
        <v>0</v>
      </c>
      <c r="J261" s="20" t="n">
        <f aca="false">H261+I261</f>
        <v>0</v>
      </c>
      <c r="K261" s="14"/>
      <c r="L261" s="21" t="str">
        <f aca="false">IF(AND(B261="",C261="",E261="",F261=""),"",IF(B261="","⚠ اختر العميل",IF(COUNTIF('دليل العملاء'!$B$4:$B$203,B261)=0,"⚠ عميل غير مسجل",IF(C261="","⚠ اختر الصنف",IF(COUNTIF('دليل الأصناف'!$B$4:$B$203,C261)=0,"⚠ صنف غير مسجل",IF(E261="","⚠ أدخل الكمية",IF(F261="","⚠ أدخل السعر",IF(A261="","⚠ أدخل التاريخ","✓ سليم"))))))))</f>
        <v/>
      </c>
    </row>
    <row r="262" customFormat="false" ht="15" hidden="false" customHeight="false" outlineLevel="0" collapsed="false">
      <c r="A262" s="13"/>
      <c r="B262" s="14"/>
      <c r="C262" s="14"/>
      <c r="D262" s="15" t="str">
        <f aca="false">IF(C262="","",IFERROR(INDEX('دليل الأصناف'!$A$4:$A$203,MATCH(C262,'دليل الأصناف'!$B$4:$B$203,0)),"غير مسجل"))</f>
        <v/>
      </c>
      <c r="E262" s="16"/>
      <c r="F262" s="17"/>
      <c r="G262" s="18"/>
      <c r="H262" s="19" t="n">
        <f aca="false">IF(OR(E262="",F262=""),0,IF(G262="شامل الضريبة",ROUND(ROUND(E262*F262,2)/(1+الإعدادات!$B$5),2),ROUND(E262*F262,2)))</f>
        <v>0</v>
      </c>
      <c r="I262" s="19" t="n">
        <f aca="false">IF(OR(E262="",F262=""),0,IF(G262="شامل الضريبة",ROUND(E262*F262,2)-H262,ROUND(H262*الإعدادات!$B$5,2)))</f>
        <v>0</v>
      </c>
      <c r="J262" s="20" t="n">
        <f aca="false">H262+I262</f>
        <v>0</v>
      </c>
      <c r="K262" s="14"/>
      <c r="L262" s="21" t="str">
        <f aca="false">IF(AND(B262="",C262="",E262="",F262=""),"",IF(B262="","⚠ اختر العميل",IF(COUNTIF('دليل العملاء'!$B$4:$B$203,B262)=0,"⚠ عميل غير مسجل",IF(C262="","⚠ اختر الصنف",IF(COUNTIF('دليل الأصناف'!$B$4:$B$203,C262)=0,"⚠ صنف غير مسجل",IF(E262="","⚠ أدخل الكمية",IF(F262="","⚠ أدخل السعر",IF(A262="","⚠ أدخل التاريخ","✓ سليم"))))))))</f>
        <v/>
      </c>
    </row>
    <row r="263" customFormat="false" ht="15" hidden="false" customHeight="false" outlineLevel="0" collapsed="false">
      <c r="A263" s="13"/>
      <c r="B263" s="14"/>
      <c r="C263" s="14"/>
      <c r="D263" s="15" t="str">
        <f aca="false">IF(C263="","",IFERROR(INDEX('دليل الأصناف'!$A$4:$A$203,MATCH(C263,'دليل الأصناف'!$B$4:$B$203,0)),"غير مسجل"))</f>
        <v/>
      </c>
      <c r="E263" s="16"/>
      <c r="F263" s="17"/>
      <c r="G263" s="18"/>
      <c r="H263" s="19" t="n">
        <f aca="false">IF(OR(E263="",F263=""),0,IF(G263="شامل الضريبة",ROUND(ROUND(E263*F263,2)/(1+الإعدادات!$B$5),2),ROUND(E263*F263,2)))</f>
        <v>0</v>
      </c>
      <c r="I263" s="19" t="n">
        <f aca="false">IF(OR(E263="",F263=""),0,IF(G263="شامل الضريبة",ROUND(E263*F263,2)-H263,ROUND(H263*الإعدادات!$B$5,2)))</f>
        <v>0</v>
      </c>
      <c r="J263" s="20" t="n">
        <f aca="false">H263+I263</f>
        <v>0</v>
      </c>
      <c r="K263" s="14"/>
      <c r="L263" s="21" t="str">
        <f aca="false">IF(AND(B263="",C263="",E263="",F263=""),"",IF(B263="","⚠ اختر العميل",IF(COUNTIF('دليل العملاء'!$B$4:$B$203,B263)=0,"⚠ عميل غير مسجل",IF(C263="","⚠ اختر الصنف",IF(COUNTIF('دليل الأصناف'!$B$4:$B$203,C263)=0,"⚠ صنف غير مسجل",IF(E263="","⚠ أدخل الكمية",IF(F263="","⚠ أدخل السعر",IF(A263="","⚠ أدخل التاريخ","✓ سليم"))))))))</f>
        <v/>
      </c>
    </row>
    <row r="264" customFormat="false" ht="15" hidden="false" customHeight="false" outlineLevel="0" collapsed="false">
      <c r="A264" s="13"/>
      <c r="B264" s="14"/>
      <c r="C264" s="14"/>
      <c r="D264" s="15" t="str">
        <f aca="false">IF(C264="","",IFERROR(INDEX('دليل الأصناف'!$A$4:$A$203,MATCH(C264,'دليل الأصناف'!$B$4:$B$203,0)),"غير مسجل"))</f>
        <v/>
      </c>
      <c r="E264" s="16"/>
      <c r="F264" s="17"/>
      <c r="G264" s="18"/>
      <c r="H264" s="19" t="n">
        <f aca="false">IF(OR(E264="",F264=""),0,IF(G264="شامل الضريبة",ROUND(ROUND(E264*F264,2)/(1+الإعدادات!$B$5),2),ROUND(E264*F264,2)))</f>
        <v>0</v>
      </c>
      <c r="I264" s="19" t="n">
        <f aca="false">IF(OR(E264="",F264=""),0,IF(G264="شامل الضريبة",ROUND(E264*F264,2)-H264,ROUND(H264*الإعدادات!$B$5,2)))</f>
        <v>0</v>
      </c>
      <c r="J264" s="20" t="n">
        <f aca="false">H264+I264</f>
        <v>0</v>
      </c>
      <c r="K264" s="14"/>
      <c r="L264" s="21" t="str">
        <f aca="false">IF(AND(B264="",C264="",E264="",F264=""),"",IF(B264="","⚠ اختر العميل",IF(COUNTIF('دليل العملاء'!$B$4:$B$203,B264)=0,"⚠ عميل غير مسجل",IF(C264="","⚠ اختر الصنف",IF(COUNTIF('دليل الأصناف'!$B$4:$B$203,C264)=0,"⚠ صنف غير مسجل",IF(E264="","⚠ أدخل الكمية",IF(F264="","⚠ أدخل السعر",IF(A264="","⚠ أدخل التاريخ","✓ سليم"))))))))</f>
        <v/>
      </c>
    </row>
    <row r="265" customFormat="false" ht="15" hidden="false" customHeight="false" outlineLevel="0" collapsed="false">
      <c r="A265" s="13"/>
      <c r="B265" s="14"/>
      <c r="C265" s="14"/>
      <c r="D265" s="15" t="str">
        <f aca="false">IF(C265="","",IFERROR(INDEX('دليل الأصناف'!$A$4:$A$203,MATCH(C265,'دليل الأصناف'!$B$4:$B$203,0)),"غير مسجل"))</f>
        <v/>
      </c>
      <c r="E265" s="16"/>
      <c r="F265" s="17"/>
      <c r="G265" s="18"/>
      <c r="H265" s="19" t="n">
        <f aca="false">IF(OR(E265="",F265=""),0,IF(G265="شامل الضريبة",ROUND(ROUND(E265*F265,2)/(1+الإعدادات!$B$5),2),ROUND(E265*F265,2)))</f>
        <v>0</v>
      </c>
      <c r="I265" s="19" t="n">
        <f aca="false">IF(OR(E265="",F265=""),0,IF(G265="شامل الضريبة",ROUND(E265*F265,2)-H265,ROUND(H265*الإعدادات!$B$5,2)))</f>
        <v>0</v>
      </c>
      <c r="J265" s="20" t="n">
        <f aca="false">H265+I265</f>
        <v>0</v>
      </c>
      <c r="K265" s="14"/>
      <c r="L265" s="21" t="str">
        <f aca="false">IF(AND(B265="",C265="",E265="",F265=""),"",IF(B265="","⚠ اختر العميل",IF(COUNTIF('دليل العملاء'!$B$4:$B$203,B265)=0,"⚠ عميل غير مسجل",IF(C265="","⚠ اختر الصنف",IF(COUNTIF('دليل الأصناف'!$B$4:$B$203,C265)=0,"⚠ صنف غير مسجل",IF(E265="","⚠ أدخل الكمية",IF(F265="","⚠ أدخل السعر",IF(A265="","⚠ أدخل التاريخ","✓ سليم"))))))))</f>
        <v/>
      </c>
    </row>
    <row r="266" customFormat="false" ht="15" hidden="false" customHeight="false" outlineLevel="0" collapsed="false">
      <c r="A266" s="13"/>
      <c r="B266" s="14"/>
      <c r="C266" s="14"/>
      <c r="D266" s="15" t="str">
        <f aca="false">IF(C266="","",IFERROR(INDEX('دليل الأصناف'!$A$4:$A$203,MATCH(C266,'دليل الأصناف'!$B$4:$B$203,0)),"غير مسجل"))</f>
        <v/>
      </c>
      <c r="E266" s="16"/>
      <c r="F266" s="17"/>
      <c r="G266" s="18"/>
      <c r="H266" s="19" t="n">
        <f aca="false">IF(OR(E266="",F266=""),0,IF(G266="شامل الضريبة",ROUND(ROUND(E266*F266,2)/(1+الإعدادات!$B$5),2),ROUND(E266*F266,2)))</f>
        <v>0</v>
      </c>
      <c r="I266" s="19" t="n">
        <f aca="false">IF(OR(E266="",F266=""),0,IF(G266="شامل الضريبة",ROUND(E266*F266,2)-H266,ROUND(H266*الإعدادات!$B$5,2)))</f>
        <v>0</v>
      </c>
      <c r="J266" s="20" t="n">
        <f aca="false">H266+I266</f>
        <v>0</v>
      </c>
      <c r="K266" s="14"/>
      <c r="L266" s="21" t="str">
        <f aca="false">IF(AND(B266="",C266="",E266="",F266=""),"",IF(B266="","⚠ اختر العميل",IF(COUNTIF('دليل العملاء'!$B$4:$B$203,B266)=0,"⚠ عميل غير مسجل",IF(C266="","⚠ اختر الصنف",IF(COUNTIF('دليل الأصناف'!$B$4:$B$203,C266)=0,"⚠ صنف غير مسجل",IF(E266="","⚠ أدخل الكمية",IF(F266="","⚠ أدخل السعر",IF(A266="","⚠ أدخل التاريخ","✓ سليم"))))))))</f>
        <v/>
      </c>
    </row>
    <row r="267" customFormat="false" ht="15" hidden="false" customHeight="false" outlineLevel="0" collapsed="false">
      <c r="A267" s="13"/>
      <c r="B267" s="14"/>
      <c r="C267" s="14"/>
      <c r="D267" s="15" t="str">
        <f aca="false">IF(C267="","",IFERROR(INDEX('دليل الأصناف'!$A$4:$A$203,MATCH(C267,'دليل الأصناف'!$B$4:$B$203,0)),"غير مسجل"))</f>
        <v/>
      </c>
      <c r="E267" s="16"/>
      <c r="F267" s="17"/>
      <c r="G267" s="18"/>
      <c r="H267" s="19" t="n">
        <f aca="false">IF(OR(E267="",F267=""),0,IF(G267="شامل الضريبة",ROUND(ROUND(E267*F267,2)/(1+الإعدادات!$B$5),2),ROUND(E267*F267,2)))</f>
        <v>0</v>
      </c>
      <c r="I267" s="19" t="n">
        <f aca="false">IF(OR(E267="",F267=""),0,IF(G267="شامل الضريبة",ROUND(E267*F267,2)-H267,ROUND(H267*الإعدادات!$B$5,2)))</f>
        <v>0</v>
      </c>
      <c r="J267" s="20" t="n">
        <f aca="false">H267+I267</f>
        <v>0</v>
      </c>
      <c r="K267" s="14"/>
      <c r="L267" s="21" t="str">
        <f aca="false">IF(AND(B267="",C267="",E267="",F267=""),"",IF(B267="","⚠ اختر العميل",IF(COUNTIF('دليل العملاء'!$B$4:$B$203,B267)=0,"⚠ عميل غير مسجل",IF(C267="","⚠ اختر الصنف",IF(COUNTIF('دليل الأصناف'!$B$4:$B$203,C267)=0,"⚠ صنف غير مسجل",IF(E267="","⚠ أدخل الكمية",IF(F267="","⚠ أدخل السعر",IF(A267="","⚠ أدخل التاريخ","✓ سليم"))))))))</f>
        <v/>
      </c>
    </row>
    <row r="268" customFormat="false" ht="15" hidden="false" customHeight="false" outlineLevel="0" collapsed="false">
      <c r="A268" s="13"/>
      <c r="B268" s="14"/>
      <c r="C268" s="14"/>
      <c r="D268" s="15" t="str">
        <f aca="false">IF(C268="","",IFERROR(INDEX('دليل الأصناف'!$A$4:$A$203,MATCH(C268,'دليل الأصناف'!$B$4:$B$203,0)),"غير مسجل"))</f>
        <v/>
      </c>
      <c r="E268" s="16"/>
      <c r="F268" s="17"/>
      <c r="G268" s="18"/>
      <c r="H268" s="19" t="n">
        <f aca="false">IF(OR(E268="",F268=""),0,IF(G268="شامل الضريبة",ROUND(ROUND(E268*F268,2)/(1+الإعدادات!$B$5),2),ROUND(E268*F268,2)))</f>
        <v>0</v>
      </c>
      <c r="I268" s="19" t="n">
        <f aca="false">IF(OR(E268="",F268=""),0,IF(G268="شامل الضريبة",ROUND(E268*F268,2)-H268,ROUND(H268*الإعدادات!$B$5,2)))</f>
        <v>0</v>
      </c>
      <c r="J268" s="20" t="n">
        <f aca="false">H268+I268</f>
        <v>0</v>
      </c>
      <c r="K268" s="14"/>
      <c r="L268" s="21" t="str">
        <f aca="false">IF(AND(B268="",C268="",E268="",F268=""),"",IF(B268="","⚠ اختر العميل",IF(COUNTIF('دليل العملاء'!$B$4:$B$203,B268)=0,"⚠ عميل غير مسجل",IF(C268="","⚠ اختر الصنف",IF(COUNTIF('دليل الأصناف'!$B$4:$B$203,C268)=0,"⚠ صنف غير مسجل",IF(E268="","⚠ أدخل الكمية",IF(F268="","⚠ أدخل السعر",IF(A268="","⚠ أدخل التاريخ","✓ سليم"))))))))</f>
        <v/>
      </c>
    </row>
    <row r="269" customFormat="false" ht="15" hidden="false" customHeight="false" outlineLevel="0" collapsed="false">
      <c r="A269" s="13"/>
      <c r="B269" s="14"/>
      <c r="C269" s="14"/>
      <c r="D269" s="15" t="str">
        <f aca="false">IF(C269="","",IFERROR(INDEX('دليل الأصناف'!$A$4:$A$203,MATCH(C269,'دليل الأصناف'!$B$4:$B$203,0)),"غير مسجل"))</f>
        <v/>
      </c>
      <c r="E269" s="16"/>
      <c r="F269" s="17"/>
      <c r="G269" s="18"/>
      <c r="H269" s="19" t="n">
        <f aca="false">IF(OR(E269="",F269=""),0,IF(G269="شامل الضريبة",ROUND(ROUND(E269*F269,2)/(1+الإعدادات!$B$5),2),ROUND(E269*F269,2)))</f>
        <v>0</v>
      </c>
      <c r="I269" s="19" t="n">
        <f aca="false">IF(OR(E269="",F269=""),0,IF(G269="شامل الضريبة",ROUND(E269*F269,2)-H269,ROUND(H269*الإعدادات!$B$5,2)))</f>
        <v>0</v>
      </c>
      <c r="J269" s="20" t="n">
        <f aca="false">H269+I269</f>
        <v>0</v>
      </c>
      <c r="K269" s="14"/>
      <c r="L269" s="21" t="str">
        <f aca="false">IF(AND(B269="",C269="",E269="",F269=""),"",IF(B269="","⚠ اختر العميل",IF(COUNTIF('دليل العملاء'!$B$4:$B$203,B269)=0,"⚠ عميل غير مسجل",IF(C269="","⚠ اختر الصنف",IF(COUNTIF('دليل الأصناف'!$B$4:$B$203,C269)=0,"⚠ صنف غير مسجل",IF(E269="","⚠ أدخل الكمية",IF(F269="","⚠ أدخل السعر",IF(A269="","⚠ أدخل التاريخ","✓ سليم"))))))))</f>
        <v/>
      </c>
    </row>
    <row r="270" customFormat="false" ht="15" hidden="false" customHeight="false" outlineLevel="0" collapsed="false">
      <c r="A270" s="13"/>
      <c r="B270" s="14"/>
      <c r="C270" s="14"/>
      <c r="D270" s="15" t="str">
        <f aca="false">IF(C270="","",IFERROR(INDEX('دليل الأصناف'!$A$4:$A$203,MATCH(C270,'دليل الأصناف'!$B$4:$B$203,0)),"غير مسجل"))</f>
        <v/>
      </c>
      <c r="E270" s="16"/>
      <c r="F270" s="17"/>
      <c r="G270" s="18"/>
      <c r="H270" s="19" t="n">
        <f aca="false">IF(OR(E270="",F270=""),0,IF(G270="شامل الضريبة",ROUND(ROUND(E270*F270,2)/(1+الإعدادات!$B$5),2),ROUND(E270*F270,2)))</f>
        <v>0</v>
      </c>
      <c r="I270" s="19" t="n">
        <f aca="false">IF(OR(E270="",F270=""),0,IF(G270="شامل الضريبة",ROUND(E270*F270,2)-H270,ROUND(H270*الإعدادات!$B$5,2)))</f>
        <v>0</v>
      </c>
      <c r="J270" s="20" t="n">
        <f aca="false">H270+I270</f>
        <v>0</v>
      </c>
      <c r="K270" s="14"/>
      <c r="L270" s="21" t="str">
        <f aca="false">IF(AND(B270="",C270="",E270="",F270=""),"",IF(B270="","⚠ اختر العميل",IF(COUNTIF('دليل العملاء'!$B$4:$B$203,B270)=0,"⚠ عميل غير مسجل",IF(C270="","⚠ اختر الصنف",IF(COUNTIF('دليل الأصناف'!$B$4:$B$203,C270)=0,"⚠ صنف غير مسجل",IF(E270="","⚠ أدخل الكمية",IF(F270="","⚠ أدخل السعر",IF(A270="","⚠ أدخل التاريخ","✓ سليم"))))))))</f>
        <v/>
      </c>
    </row>
    <row r="271" customFormat="false" ht="15" hidden="false" customHeight="false" outlineLevel="0" collapsed="false">
      <c r="A271" s="13"/>
      <c r="B271" s="14"/>
      <c r="C271" s="14"/>
      <c r="D271" s="15" t="str">
        <f aca="false">IF(C271="","",IFERROR(INDEX('دليل الأصناف'!$A$4:$A$203,MATCH(C271,'دليل الأصناف'!$B$4:$B$203,0)),"غير مسجل"))</f>
        <v/>
      </c>
      <c r="E271" s="16"/>
      <c r="F271" s="17"/>
      <c r="G271" s="18"/>
      <c r="H271" s="19" t="n">
        <f aca="false">IF(OR(E271="",F271=""),0,IF(G271="شامل الضريبة",ROUND(ROUND(E271*F271,2)/(1+الإعدادات!$B$5),2),ROUND(E271*F271,2)))</f>
        <v>0</v>
      </c>
      <c r="I271" s="19" t="n">
        <f aca="false">IF(OR(E271="",F271=""),0,IF(G271="شامل الضريبة",ROUND(E271*F271,2)-H271,ROUND(H271*الإعدادات!$B$5,2)))</f>
        <v>0</v>
      </c>
      <c r="J271" s="20" t="n">
        <f aca="false">H271+I271</f>
        <v>0</v>
      </c>
      <c r="K271" s="14"/>
      <c r="L271" s="21" t="str">
        <f aca="false">IF(AND(B271="",C271="",E271="",F271=""),"",IF(B271="","⚠ اختر العميل",IF(COUNTIF('دليل العملاء'!$B$4:$B$203,B271)=0,"⚠ عميل غير مسجل",IF(C271="","⚠ اختر الصنف",IF(COUNTIF('دليل الأصناف'!$B$4:$B$203,C271)=0,"⚠ صنف غير مسجل",IF(E271="","⚠ أدخل الكمية",IF(F271="","⚠ أدخل السعر",IF(A271="","⚠ أدخل التاريخ","✓ سليم"))))))))</f>
        <v/>
      </c>
    </row>
    <row r="272" customFormat="false" ht="15" hidden="false" customHeight="false" outlineLevel="0" collapsed="false">
      <c r="A272" s="13"/>
      <c r="B272" s="14"/>
      <c r="C272" s="14"/>
      <c r="D272" s="15" t="str">
        <f aca="false">IF(C272="","",IFERROR(INDEX('دليل الأصناف'!$A$4:$A$203,MATCH(C272,'دليل الأصناف'!$B$4:$B$203,0)),"غير مسجل"))</f>
        <v/>
      </c>
      <c r="E272" s="16"/>
      <c r="F272" s="17"/>
      <c r="G272" s="18"/>
      <c r="H272" s="19" t="n">
        <f aca="false">IF(OR(E272="",F272=""),0,IF(G272="شامل الضريبة",ROUND(ROUND(E272*F272,2)/(1+الإعدادات!$B$5),2),ROUND(E272*F272,2)))</f>
        <v>0</v>
      </c>
      <c r="I272" s="19" t="n">
        <f aca="false">IF(OR(E272="",F272=""),0,IF(G272="شامل الضريبة",ROUND(E272*F272,2)-H272,ROUND(H272*الإعدادات!$B$5,2)))</f>
        <v>0</v>
      </c>
      <c r="J272" s="20" t="n">
        <f aca="false">H272+I272</f>
        <v>0</v>
      </c>
      <c r="K272" s="14"/>
      <c r="L272" s="21" t="str">
        <f aca="false">IF(AND(B272="",C272="",E272="",F272=""),"",IF(B272="","⚠ اختر العميل",IF(COUNTIF('دليل العملاء'!$B$4:$B$203,B272)=0,"⚠ عميل غير مسجل",IF(C272="","⚠ اختر الصنف",IF(COUNTIF('دليل الأصناف'!$B$4:$B$203,C272)=0,"⚠ صنف غير مسجل",IF(E272="","⚠ أدخل الكمية",IF(F272="","⚠ أدخل السعر",IF(A272="","⚠ أدخل التاريخ","✓ سليم"))))))))</f>
        <v/>
      </c>
    </row>
    <row r="273" customFormat="false" ht="15" hidden="false" customHeight="false" outlineLevel="0" collapsed="false">
      <c r="A273" s="13"/>
      <c r="B273" s="14"/>
      <c r="C273" s="14"/>
      <c r="D273" s="15" t="str">
        <f aca="false">IF(C273="","",IFERROR(INDEX('دليل الأصناف'!$A$4:$A$203,MATCH(C273,'دليل الأصناف'!$B$4:$B$203,0)),"غير مسجل"))</f>
        <v/>
      </c>
      <c r="E273" s="16"/>
      <c r="F273" s="17"/>
      <c r="G273" s="18"/>
      <c r="H273" s="19" t="n">
        <f aca="false">IF(OR(E273="",F273=""),0,IF(G273="شامل الضريبة",ROUND(ROUND(E273*F273,2)/(1+الإعدادات!$B$5),2),ROUND(E273*F273,2)))</f>
        <v>0</v>
      </c>
      <c r="I273" s="19" t="n">
        <f aca="false">IF(OR(E273="",F273=""),0,IF(G273="شامل الضريبة",ROUND(E273*F273,2)-H273,ROUND(H273*الإعدادات!$B$5,2)))</f>
        <v>0</v>
      </c>
      <c r="J273" s="20" t="n">
        <f aca="false">H273+I273</f>
        <v>0</v>
      </c>
      <c r="K273" s="14"/>
      <c r="L273" s="21" t="str">
        <f aca="false">IF(AND(B273="",C273="",E273="",F273=""),"",IF(B273="","⚠ اختر العميل",IF(COUNTIF('دليل العملاء'!$B$4:$B$203,B273)=0,"⚠ عميل غير مسجل",IF(C273="","⚠ اختر الصنف",IF(COUNTIF('دليل الأصناف'!$B$4:$B$203,C273)=0,"⚠ صنف غير مسجل",IF(E273="","⚠ أدخل الكمية",IF(F273="","⚠ أدخل السعر",IF(A273="","⚠ أدخل التاريخ","✓ سليم"))))))))</f>
        <v/>
      </c>
    </row>
    <row r="274" customFormat="false" ht="15" hidden="false" customHeight="false" outlineLevel="0" collapsed="false">
      <c r="A274" s="13"/>
      <c r="B274" s="14"/>
      <c r="C274" s="14"/>
      <c r="D274" s="15" t="str">
        <f aca="false">IF(C274="","",IFERROR(INDEX('دليل الأصناف'!$A$4:$A$203,MATCH(C274,'دليل الأصناف'!$B$4:$B$203,0)),"غير مسجل"))</f>
        <v/>
      </c>
      <c r="E274" s="16"/>
      <c r="F274" s="17"/>
      <c r="G274" s="18"/>
      <c r="H274" s="19" t="n">
        <f aca="false">IF(OR(E274="",F274=""),0,IF(G274="شامل الضريبة",ROUND(ROUND(E274*F274,2)/(1+الإعدادات!$B$5),2),ROUND(E274*F274,2)))</f>
        <v>0</v>
      </c>
      <c r="I274" s="19" t="n">
        <f aca="false">IF(OR(E274="",F274=""),0,IF(G274="شامل الضريبة",ROUND(E274*F274,2)-H274,ROUND(H274*الإعدادات!$B$5,2)))</f>
        <v>0</v>
      </c>
      <c r="J274" s="20" t="n">
        <f aca="false">H274+I274</f>
        <v>0</v>
      </c>
      <c r="K274" s="14"/>
      <c r="L274" s="21" t="str">
        <f aca="false">IF(AND(B274="",C274="",E274="",F274=""),"",IF(B274="","⚠ اختر العميل",IF(COUNTIF('دليل العملاء'!$B$4:$B$203,B274)=0,"⚠ عميل غير مسجل",IF(C274="","⚠ اختر الصنف",IF(COUNTIF('دليل الأصناف'!$B$4:$B$203,C274)=0,"⚠ صنف غير مسجل",IF(E274="","⚠ أدخل الكمية",IF(F274="","⚠ أدخل السعر",IF(A274="","⚠ أدخل التاريخ","✓ سليم"))))))))</f>
        <v/>
      </c>
    </row>
    <row r="275" customFormat="false" ht="15" hidden="false" customHeight="false" outlineLevel="0" collapsed="false">
      <c r="A275" s="13"/>
      <c r="B275" s="14"/>
      <c r="C275" s="14"/>
      <c r="D275" s="15" t="str">
        <f aca="false">IF(C275="","",IFERROR(INDEX('دليل الأصناف'!$A$4:$A$203,MATCH(C275,'دليل الأصناف'!$B$4:$B$203,0)),"غير مسجل"))</f>
        <v/>
      </c>
      <c r="E275" s="16"/>
      <c r="F275" s="17"/>
      <c r="G275" s="18"/>
      <c r="H275" s="19" t="n">
        <f aca="false">IF(OR(E275="",F275=""),0,IF(G275="شامل الضريبة",ROUND(ROUND(E275*F275,2)/(1+الإعدادات!$B$5),2),ROUND(E275*F275,2)))</f>
        <v>0</v>
      </c>
      <c r="I275" s="19" t="n">
        <f aca="false">IF(OR(E275="",F275=""),0,IF(G275="شامل الضريبة",ROUND(E275*F275,2)-H275,ROUND(H275*الإعدادات!$B$5,2)))</f>
        <v>0</v>
      </c>
      <c r="J275" s="20" t="n">
        <f aca="false">H275+I275</f>
        <v>0</v>
      </c>
      <c r="K275" s="14"/>
      <c r="L275" s="21" t="str">
        <f aca="false">IF(AND(B275="",C275="",E275="",F275=""),"",IF(B275="","⚠ اختر العميل",IF(COUNTIF('دليل العملاء'!$B$4:$B$203,B275)=0,"⚠ عميل غير مسجل",IF(C275="","⚠ اختر الصنف",IF(COUNTIF('دليل الأصناف'!$B$4:$B$203,C275)=0,"⚠ صنف غير مسجل",IF(E275="","⚠ أدخل الكمية",IF(F275="","⚠ أدخل السعر",IF(A275="","⚠ أدخل التاريخ","✓ سليم"))))))))</f>
        <v/>
      </c>
    </row>
    <row r="276" customFormat="false" ht="15" hidden="false" customHeight="false" outlineLevel="0" collapsed="false">
      <c r="A276" s="13"/>
      <c r="B276" s="14"/>
      <c r="C276" s="14"/>
      <c r="D276" s="15" t="str">
        <f aca="false">IF(C276="","",IFERROR(INDEX('دليل الأصناف'!$A$4:$A$203,MATCH(C276,'دليل الأصناف'!$B$4:$B$203,0)),"غير مسجل"))</f>
        <v/>
      </c>
      <c r="E276" s="16"/>
      <c r="F276" s="17"/>
      <c r="G276" s="18"/>
      <c r="H276" s="19" t="n">
        <f aca="false">IF(OR(E276="",F276=""),0,IF(G276="شامل الضريبة",ROUND(ROUND(E276*F276,2)/(1+الإعدادات!$B$5),2),ROUND(E276*F276,2)))</f>
        <v>0</v>
      </c>
      <c r="I276" s="19" t="n">
        <f aca="false">IF(OR(E276="",F276=""),0,IF(G276="شامل الضريبة",ROUND(E276*F276,2)-H276,ROUND(H276*الإعدادات!$B$5,2)))</f>
        <v>0</v>
      </c>
      <c r="J276" s="20" t="n">
        <f aca="false">H276+I276</f>
        <v>0</v>
      </c>
      <c r="K276" s="14"/>
      <c r="L276" s="21" t="str">
        <f aca="false">IF(AND(B276="",C276="",E276="",F276=""),"",IF(B276="","⚠ اختر العميل",IF(COUNTIF('دليل العملاء'!$B$4:$B$203,B276)=0,"⚠ عميل غير مسجل",IF(C276="","⚠ اختر الصنف",IF(COUNTIF('دليل الأصناف'!$B$4:$B$203,C276)=0,"⚠ صنف غير مسجل",IF(E276="","⚠ أدخل الكمية",IF(F276="","⚠ أدخل السعر",IF(A276="","⚠ أدخل التاريخ","✓ سليم"))))))))</f>
        <v/>
      </c>
    </row>
    <row r="277" customFormat="false" ht="15" hidden="false" customHeight="false" outlineLevel="0" collapsed="false">
      <c r="A277" s="13"/>
      <c r="B277" s="14"/>
      <c r="C277" s="14"/>
      <c r="D277" s="15" t="str">
        <f aca="false">IF(C277="","",IFERROR(INDEX('دليل الأصناف'!$A$4:$A$203,MATCH(C277,'دليل الأصناف'!$B$4:$B$203,0)),"غير مسجل"))</f>
        <v/>
      </c>
      <c r="E277" s="16"/>
      <c r="F277" s="17"/>
      <c r="G277" s="18"/>
      <c r="H277" s="19" t="n">
        <f aca="false">IF(OR(E277="",F277=""),0,IF(G277="شامل الضريبة",ROUND(ROUND(E277*F277,2)/(1+الإعدادات!$B$5),2),ROUND(E277*F277,2)))</f>
        <v>0</v>
      </c>
      <c r="I277" s="19" t="n">
        <f aca="false">IF(OR(E277="",F277=""),0,IF(G277="شامل الضريبة",ROUND(E277*F277,2)-H277,ROUND(H277*الإعدادات!$B$5,2)))</f>
        <v>0</v>
      </c>
      <c r="J277" s="20" t="n">
        <f aca="false">H277+I277</f>
        <v>0</v>
      </c>
      <c r="K277" s="14"/>
      <c r="L277" s="21" t="str">
        <f aca="false">IF(AND(B277="",C277="",E277="",F277=""),"",IF(B277="","⚠ اختر العميل",IF(COUNTIF('دليل العملاء'!$B$4:$B$203,B277)=0,"⚠ عميل غير مسجل",IF(C277="","⚠ اختر الصنف",IF(COUNTIF('دليل الأصناف'!$B$4:$B$203,C277)=0,"⚠ صنف غير مسجل",IF(E277="","⚠ أدخل الكمية",IF(F277="","⚠ أدخل السعر",IF(A277="","⚠ أدخل التاريخ","✓ سليم"))))))))</f>
        <v/>
      </c>
    </row>
    <row r="278" customFormat="false" ht="15" hidden="false" customHeight="false" outlineLevel="0" collapsed="false">
      <c r="A278" s="13"/>
      <c r="B278" s="14"/>
      <c r="C278" s="14"/>
      <c r="D278" s="15" t="str">
        <f aca="false">IF(C278="","",IFERROR(INDEX('دليل الأصناف'!$A$4:$A$203,MATCH(C278,'دليل الأصناف'!$B$4:$B$203,0)),"غير مسجل"))</f>
        <v/>
      </c>
      <c r="E278" s="16"/>
      <c r="F278" s="17"/>
      <c r="G278" s="18"/>
      <c r="H278" s="19" t="n">
        <f aca="false">IF(OR(E278="",F278=""),0,IF(G278="شامل الضريبة",ROUND(ROUND(E278*F278,2)/(1+الإعدادات!$B$5),2),ROUND(E278*F278,2)))</f>
        <v>0</v>
      </c>
      <c r="I278" s="19" t="n">
        <f aca="false">IF(OR(E278="",F278=""),0,IF(G278="شامل الضريبة",ROUND(E278*F278,2)-H278,ROUND(H278*الإعدادات!$B$5,2)))</f>
        <v>0</v>
      </c>
      <c r="J278" s="20" t="n">
        <f aca="false">H278+I278</f>
        <v>0</v>
      </c>
      <c r="K278" s="14"/>
      <c r="L278" s="21" t="str">
        <f aca="false">IF(AND(B278="",C278="",E278="",F278=""),"",IF(B278="","⚠ اختر العميل",IF(COUNTIF('دليل العملاء'!$B$4:$B$203,B278)=0,"⚠ عميل غير مسجل",IF(C278="","⚠ اختر الصنف",IF(COUNTIF('دليل الأصناف'!$B$4:$B$203,C278)=0,"⚠ صنف غير مسجل",IF(E278="","⚠ أدخل الكمية",IF(F278="","⚠ أدخل السعر",IF(A278="","⚠ أدخل التاريخ","✓ سليم"))))))))</f>
        <v/>
      </c>
    </row>
    <row r="279" customFormat="false" ht="15" hidden="false" customHeight="false" outlineLevel="0" collapsed="false">
      <c r="A279" s="13"/>
      <c r="B279" s="14"/>
      <c r="C279" s="14"/>
      <c r="D279" s="15" t="str">
        <f aca="false">IF(C279="","",IFERROR(INDEX('دليل الأصناف'!$A$4:$A$203,MATCH(C279,'دليل الأصناف'!$B$4:$B$203,0)),"غير مسجل"))</f>
        <v/>
      </c>
      <c r="E279" s="16"/>
      <c r="F279" s="17"/>
      <c r="G279" s="18"/>
      <c r="H279" s="19" t="n">
        <f aca="false">IF(OR(E279="",F279=""),0,IF(G279="شامل الضريبة",ROUND(ROUND(E279*F279,2)/(1+الإعدادات!$B$5),2),ROUND(E279*F279,2)))</f>
        <v>0</v>
      </c>
      <c r="I279" s="19" t="n">
        <f aca="false">IF(OR(E279="",F279=""),0,IF(G279="شامل الضريبة",ROUND(E279*F279,2)-H279,ROUND(H279*الإعدادات!$B$5,2)))</f>
        <v>0</v>
      </c>
      <c r="J279" s="20" t="n">
        <f aca="false">H279+I279</f>
        <v>0</v>
      </c>
      <c r="K279" s="14"/>
      <c r="L279" s="21" t="str">
        <f aca="false">IF(AND(B279="",C279="",E279="",F279=""),"",IF(B279="","⚠ اختر العميل",IF(COUNTIF('دليل العملاء'!$B$4:$B$203,B279)=0,"⚠ عميل غير مسجل",IF(C279="","⚠ اختر الصنف",IF(COUNTIF('دليل الأصناف'!$B$4:$B$203,C279)=0,"⚠ صنف غير مسجل",IF(E279="","⚠ أدخل الكمية",IF(F279="","⚠ أدخل السعر",IF(A279="","⚠ أدخل التاريخ","✓ سليم"))))))))</f>
        <v/>
      </c>
    </row>
    <row r="280" customFormat="false" ht="15" hidden="false" customHeight="false" outlineLevel="0" collapsed="false">
      <c r="A280" s="13"/>
      <c r="B280" s="14"/>
      <c r="C280" s="14"/>
      <c r="D280" s="15" t="str">
        <f aca="false">IF(C280="","",IFERROR(INDEX('دليل الأصناف'!$A$4:$A$203,MATCH(C280,'دليل الأصناف'!$B$4:$B$203,0)),"غير مسجل"))</f>
        <v/>
      </c>
      <c r="E280" s="16"/>
      <c r="F280" s="17"/>
      <c r="G280" s="18"/>
      <c r="H280" s="19" t="n">
        <f aca="false">IF(OR(E280="",F280=""),0,IF(G280="شامل الضريبة",ROUND(ROUND(E280*F280,2)/(1+الإعدادات!$B$5),2),ROUND(E280*F280,2)))</f>
        <v>0</v>
      </c>
      <c r="I280" s="19" t="n">
        <f aca="false">IF(OR(E280="",F280=""),0,IF(G280="شامل الضريبة",ROUND(E280*F280,2)-H280,ROUND(H280*الإعدادات!$B$5,2)))</f>
        <v>0</v>
      </c>
      <c r="J280" s="20" t="n">
        <f aca="false">H280+I280</f>
        <v>0</v>
      </c>
      <c r="K280" s="14"/>
      <c r="L280" s="21" t="str">
        <f aca="false">IF(AND(B280="",C280="",E280="",F280=""),"",IF(B280="","⚠ اختر العميل",IF(COUNTIF('دليل العملاء'!$B$4:$B$203,B280)=0,"⚠ عميل غير مسجل",IF(C280="","⚠ اختر الصنف",IF(COUNTIF('دليل الأصناف'!$B$4:$B$203,C280)=0,"⚠ صنف غير مسجل",IF(E280="","⚠ أدخل الكمية",IF(F280="","⚠ أدخل السعر",IF(A280="","⚠ أدخل التاريخ","✓ سليم"))))))))</f>
        <v/>
      </c>
    </row>
    <row r="281" customFormat="false" ht="15" hidden="false" customHeight="false" outlineLevel="0" collapsed="false">
      <c r="A281" s="13"/>
      <c r="B281" s="14"/>
      <c r="C281" s="14"/>
      <c r="D281" s="15" t="str">
        <f aca="false">IF(C281="","",IFERROR(INDEX('دليل الأصناف'!$A$4:$A$203,MATCH(C281,'دليل الأصناف'!$B$4:$B$203,0)),"غير مسجل"))</f>
        <v/>
      </c>
      <c r="E281" s="16"/>
      <c r="F281" s="17"/>
      <c r="G281" s="18"/>
      <c r="H281" s="19" t="n">
        <f aca="false">IF(OR(E281="",F281=""),0,IF(G281="شامل الضريبة",ROUND(ROUND(E281*F281,2)/(1+الإعدادات!$B$5),2),ROUND(E281*F281,2)))</f>
        <v>0</v>
      </c>
      <c r="I281" s="19" t="n">
        <f aca="false">IF(OR(E281="",F281=""),0,IF(G281="شامل الضريبة",ROUND(E281*F281,2)-H281,ROUND(H281*الإعدادات!$B$5,2)))</f>
        <v>0</v>
      </c>
      <c r="J281" s="20" t="n">
        <f aca="false">H281+I281</f>
        <v>0</v>
      </c>
      <c r="K281" s="14"/>
      <c r="L281" s="21" t="str">
        <f aca="false">IF(AND(B281="",C281="",E281="",F281=""),"",IF(B281="","⚠ اختر العميل",IF(COUNTIF('دليل العملاء'!$B$4:$B$203,B281)=0,"⚠ عميل غير مسجل",IF(C281="","⚠ اختر الصنف",IF(COUNTIF('دليل الأصناف'!$B$4:$B$203,C281)=0,"⚠ صنف غير مسجل",IF(E281="","⚠ أدخل الكمية",IF(F281="","⚠ أدخل السعر",IF(A281="","⚠ أدخل التاريخ","✓ سليم"))))))))</f>
        <v/>
      </c>
    </row>
    <row r="282" customFormat="false" ht="15" hidden="false" customHeight="false" outlineLevel="0" collapsed="false">
      <c r="A282" s="13"/>
      <c r="B282" s="14"/>
      <c r="C282" s="14"/>
      <c r="D282" s="15" t="str">
        <f aca="false">IF(C282="","",IFERROR(INDEX('دليل الأصناف'!$A$4:$A$203,MATCH(C282,'دليل الأصناف'!$B$4:$B$203,0)),"غير مسجل"))</f>
        <v/>
      </c>
      <c r="E282" s="16"/>
      <c r="F282" s="17"/>
      <c r="G282" s="18"/>
      <c r="H282" s="19" t="n">
        <f aca="false">IF(OR(E282="",F282=""),0,IF(G282="شامل الضريبة",ROUND(ROUND(E282*F282,2)/(1+الإعدادات!$B$5),2),ROUND(E282*F282,2)))</f>
        <v>0</v>
      </c>
      <c r="I282" s="19" t="n">
        <f aca="false">IF(OR(E282="",F282=""),0,IF(G282="شامل الضريبة",ROUND(E282*F282,2)-H282,ROUND(H282*الإعدادات!$B$5,2)))</f>
        <v>0</v>
      </c>
      <c r="J282" s="20" t="n">
        <f aca="false">H282+I282</f>
        <v>0</v>
      </c>
      <c r="K282" s="14"/>
      <c r="L282" s="21" t="str">
        <f aca="false">IF(AND(B282="",C282="",E282="",F282=""),"",IF(B282="","⚠ اختر العميل",IF(COUNTIF('دليل العملاء'!$B$4:$B$203,B282)=0,"⚠ عميل غير مسجل",IF(C282="","⚠ اختر الصنف",IF(COUNTIF('دليل الأصناف'!$B$4:$B$203,C282)=0,"⚠ صنف غير مسجل",IF(E282="","⚠ أدخل الكمية",IF(F282="","⚠ أدخل السعر",IF(A282="","⚠ أدخل التاريخ","✓ سليم"))))))))</f>
        <v/>
      </c>
    </row>
    <row r="283" customFormat="false" ht="15" hidden="false" customHeight="false" outlineLevel="0" collapsed="false">
      <c r="A283" s="13"/>
      <c r="B283" s="14"/>
      <c r="C283" s="14"/>
      <c r="D283" s="15" t="str">
        <f aca="false">IF(C283="","",IFERROR(INDEX('دليل الأصناف'!$A$4:$A$203,MATCH(C283,'دليل الأصناف'!$B$4:$B$203,0)),"غير مسجل"))</f>
        <v/>
      </c>
      <c r="E283" s="16"/>
      <c r="F283" s="17"/>
      <c r="G283" s="18"/>
      <c r="H283" s="19" t="n">
        <f aca="false">IF(OR(E283="",F283=""),0,IF(G283="شامل الضريبة",ROUND(ROUND(E283*F283,2)/(1+الإعدادات!$B$5),2),ROUND(E283*F283,2)))</f>
        <v>0</v>
      </c>
      <c r="I283" s="19" t="n">
        <f aca="false">IF(OR(E283="",F283=""),0,IF(G283="شامل الضريبة",ROUND(E283*F283,2)-H283,ROUND(H283*الإعدادات!$B$5,2)))</f>
        <v>0</v>
      </c>
      <c r="J283" s="20" t="n">
        <f aca="false">H283+I283</f>
        <v>0</v>
      </c>
      <c r="K283" s="14"/>
      <c r="L283" s="21" t="str">
        <f aca="false">IF(AND(B283="",C283="",E283="",F283=""),"",IF(B283="","⚠ اختر العميل",IF(COUNTIF('دليل العملاء'!$B$4:$B$203,B283)=0,"⚠ عميل غير مسجل",IF(C283="","⚠ اختر الصنف",IF(COUNTIF('دليل الأصناف'!$B$4:$B$203,C283)=0,"⚠ صنف غير مسجل",IF(E283="","⚠ أدخل الكمية",IF(F283="","⚠ أدخل السعر",IF(A283="","⚠ أدخل التاريخ","✓ سليم"))))))))</f>
        <v/>
      </c>
    </row>
    <row r="284" customFormat="false" ht="15" hidden="false" customHeight="false" outlineLevel="0" collapsed="false">
      <c r="A284" s="13"/>
      <c r="B284" s="14"/>
      <c r="C284" s="14"/>
      <c r="D284" s="15" t="str">
        <f aca="false">IF(C284="","",IFERROR(INDEX('دليل الأصناف'!$A$4:$A$203,MATCH(C284,'دليل الأصناف'!$B$4:$B$203,0)),"غير مسجل"))</f>
        <v/>
      </c>
      <c r="E284" s="16"/>
      <c r="F284" s="17"/>
      <c r="G284" s="18"/>
      <c r="H284" s="19" t="n">
        <f aca="false">IF(OR(E284="",F284=""),0,IF(G284="شامل الضريبة",ROUND(ROUND(E284*F284,2)/(1+الإعدادات!$B$5),2),ROUND(E284*F284,2)))</f>
        <v>0</v>
      </c>
      <c r="I284" s="19" t="n">
        <f aca="false">IF(OR(E284="",F284=""),0,IF(G284="شامل الضريبة",ROUND(E284*F284,2)-H284,ROUND(H284*الإعدادات!$B$5,2)))</f>
        <v>0</v>
      </c>
      <c r="J284" s="20" t="n">
        <f aca="false">H284+I284</f>
        <v>0</v>
      </c>
      <c r="K284" s="14"/>
      <c r="L284" s="21" t="str">
        <f aca="false">IF(AND(B284="",C284="",E284="",F284=""),"",IF(B284="","⚠ اختر العميل",IF(COUNTIF('دليل العملاء'!$B$4:$B$203,B284)=0,"⚠ عميل غير مسجل",IF(C284="","⚠ اختر الصنف",IF(COUNTIF('دليل الأصناف'!$B$4:$B$203,C284)=0,"⚠ صنف غير مسجل",IF(E284="","⚠ أدخل الكمية",IF(F284="","⚠ أدخل السعر",IF(A284="","⚠ أدخل التاريخ","✓ سليم"))))))))</f>
        <v/>
      </c>
    </row>
    <row r="285" customFormat="false" ht="15" hidden="false" customHeight="false" outlineLevel="0" collapsed="false">
      <c r="A285" s="13"/>
      <c r="B285" s="14"/>
      <c r="C285" s="14"/>
      <c r="D285" s="15" t="str">
        <f aca="false">IF(C285="","",IFERROR(INDEX('دليل الأصناف'!$A$4:$A$203,MATCH(C285,'دليل الأصناف'!$B$4:$B$203,0)),"غير مسجل"))</f>
        <v/>
      </c>
      <c r="E285" s="16"/>
      <c r="F285" s="17"/>
      <c r="G285" s="18"/>
      <c r="H285" s="19" t="n">
        <f aca="false">IF(OR(E285="",F285=""),0,IF(G285="شامل الضريبة",ROUND(ROUND(E285*F285,2)/(1+الإعدادات!$B$5),2),ROUND(E285*F285,2)))</f>
        <v>0</v>
      </c>
      <c r="I285" s="19" t="n">
        <f aca="false">IF(OR(E285="",F285=""),0,IF(G285="شامل الضريبة",ROUND(E285*F285,2)-H285,ROUND(H285*الإعدادات!$B$5,2)))</f>
        <v>0</v>
      </c>
      <c r="J285" s="20" t="n">
        <f aca="false">H285+I285</f>
        <v>0</v>
      </c>
      <c r="K285" s="14"/>
      <c r="L285" s="21" t="str">
        <f aca="false">IF(AND(B285="",C285="",E285="",F285=""),"",IF(B285="","⚠ اختر العميل",IF(COUNTIF('دليل العملاء'!$B$4:$B$203,B285)=0,"⚠ عميل غير مسجل",IF(C285="","⚠ اختر الصنف",IF(COUNTIF('دليل الأصناف'!$B$4:$B$203,C285)=0,"⚠ صنف غير مسجل",IF(E285="","⚠ أدخل الكمية",IF(F285="","⚠ أدخل السعر",IF(A285="","⚠ أدخل التاريخ","✓ سليم"))))))))</f>
        <v/>
      </c>
    </row>
    <row r="286" customFormat="false" ht="15" hidden="false" customHeight="false" outlineLevel="0" collapsed="false">
      <c r="A286" s="13"/>
      <c r="B286" s="14"/>
      <c r="C286" s="14"/>
      <c r="D286" s="15" t="str">
        <f aca="false">IF(C286="","",IFERROR(INDEX('دليل الأصناف'!$A$4:$A$203,MATCH(C286,'دليل الأصناف'!$B$4:$B$203,0)),"غير مسجل"))</f>
        <v/>
      </c>
      <c r="E286" s="16"/>
      <c r="F286" s="17"/>
      <c r="G286" s="18"/>
      <c r="H286" s="19" t="n">
        <f aca="false">IF(OR(E286="",F286=""),0,IF(G286="شامل الضريبة",ROUND(ROUND(E286*F286,2)/(1+الإعدادات!$B$5),2),ROUND(E286*F286,2)))</f>
        <v>0</v>
      </c>
      <c r="I286" s="19" t="n">
        <f aca="false">IF(OR(E286="",F286=""),0,IF(G286="شامل الضريبة",ROUND(E286*F286,2)-H286,ROUND(H286*الإعدادات!$B$5,2)))</f>
        <v>0</v>
      </c>
      <c r="J286" s="20" t="n">
        <f aca="false">H286+I286</f>
        <v>0</v>
      </c>
      <c r="K286" s="14"/>
      <c r="L286" s="21" t="str">
        <f aca="false">IF(AND(B286="",C286="",E286="",F286=""),"",IF(B286="","⚠ اختر العميل",IF(COUNTIF('دليل العملاء'!$B$4:$B$203,B286)=0,"⚠ عميل غير مسجل",IF(C286="","⚠ اختر الصنف",IF(COUNTIF('دليل الأصناف'!$B$4:$B$203,C286)=0,"⚠ صنف غير مسجل",IF(E286="","⚠ أدخل الكمية",IF(F286="","⚠ أدخل السعر",IF(A286="","⚠ أدخل التاريخ","✓ سليم"))))))))</f>
        <v/>
      </c>
    </row>
    <row r="287" customFormat="false" ht="15" hidden="false" customHeight="false" outlineLevel="0" collapsed="false">
      <c r="A287" s="13"/>
      <c r="B287" s="14"/>
      <c r="C287" s="14"/>
      <c r="D287" s="15" t="str">
        <f aca="false">IF(C287="","",IFERROR(INDEX('دليل الأصناف'!$A$4:$A$203,MATCH(C287,'دليل الأصناف'!$B$4:$B$203,0)),"غير مسجل"))</f>
        <v/>
      </c>
      <c r="E287" s="16"/>
      <c r="F287" s="17"/>
      <c r="G287" s="18"/>
      <c r="H287" s="19" t="n">
        <f aca="false">IF(OR(E287="",F287=""),0,IF(G287="شامل الضريبة",ROUND(ROUND(E287*F287,2)/(1+الإعدادات!$B$5),2),ROUND(E287*F287,2)))</f>
        <v>0</v>
      </c>
      <c r="I287" s="19" t="n">
        <f aca="false">IF(OR(E287="",F287=""),0,IF(G287="شامل الضريبة",ROUND(E287*F287,2)-H287,ROUND(H287*الإعدادات!$B$5,2)))</f>
        <v>0</v>
      </c>
      <c r="J287" s="20" t="n">
        <f aca="false">H287+I287</f>
        <v>0</v>
      </c>
      <c r="K287" s="14"/>
      <c r="L287" s="21" t="str">
        <f aca="false">IF(AND(B287="",C287="",E287="",F287=""),"",IF(B287="","⚠ اختر العميل",IF(COUNTIF('دليل العملاء'!$B$4:$B$203,B287)=0,"⚠ عميل غير مسجل",IF(C287="","⚠ اختر الصنف",IF(COUNTIF('دليل الأصناف'!$B$4:$B$203,C287)=0,"⚠ صنف غير مسجل",IF(E287="","⚠ أدخل الكمية",IF(F287="","⚠ أدخل السعر",IF(A287="","⚠ أدخل التاريخ","✓ سليم"))))))))</f>
        <v/>
      </c>
    </row>
    <row r="288" customFormat="false" ht="15" hidden="false" customHeight="false" outlineLevel="0" collapsed="false">
      <c r="A288" s="13"/>
      <c r="B288" s="14"/>
      <c r="C288" s="14"/>
      <c r="D288" s="15" t="str">
        <f aca="false">IF(C288="","",IFERROR(INDEX('دليل الأصناف'!$A$4:$A$203,MATCH(C288,'دليل الأصناف'!$B$4:$B$203,0)),"غير مسجل"))</f>
        <v/>
      </c>
      <c r="E288" s="16"/>
      <c r="F288" s="17"/>
      <c r="G288" s="18"/>
      <c r="H288" s="19" t="n">
        <f aca="false">IF(OR(E288="",F288=""),0,IF(G288="شامل الضريبة",ROUND(ROUND(E288*F288,2)/(1+الإعدادات!$B$5),2),ROUND(E288*F288,2)))</f>
        <v>0</v>
      </c>
      <c r="I288" s="19" t="n">
        <f aca="false">IF(OR(E288="",F288=""),0,IF(G288="شامل الضريبة",ROUND(E288*F288,2)-H288,ROUND(H288*الإعدادات!$B$5,2)))</f>
        <v>0</v>
      </c>
      <c r="J288" s="20" t="n">
        <f aca="false">H288+I288</f>
        <v>0</v>
      </c>
      <c r="K288" s="14"/>
      <c r="L288" s="21" t="str">
        <f aca="false">IF(AND(B288="",C288="",E288="",F288=""),"",IF(B288="","⚠ اختر العميل",IF(COUNTIF('دليل العملاء'!$B$4:$B$203,B288)=0,"⚠ عميل غير مسجل",IF(C288="","⚠ اختر الصنف",IF(COUNTIF('دليل الأصناف'!$B$4:$B$203,C288)=0,"⚠ صنف غير مسجل",IF(E288="","⚠ أدخل الكمية",IF(F288="","⚠ أدخل السعر",IF(A288="","⚠ أدخل التاريخ","✓ سليم"))))))))</f>
        <v/>
      </c>
    </row>
    <row r="289" customFormat="false" ht="15" hidden="false" customHeight="false" outlineLevel="0" collapsed="false">
      <c r="A289" s="13"/>
      <c r="B289" s="14"/>
      <c r="C289" s="14"/>
      <c r="D289" s="15" t="str">
        <f aca="false">IF(C289="","",IFERROR(INDEX('دليل الأصناف'!$A$4:$A$203,MATCH(C289,'دليل الأصناف'!$B$4:$B$203,0)),"غير مسجل"))</f>
        <v/>
      </c>
      <c r="E289" s="16"/>
      <c r="F289" s="17"/>
      <c r="G289" s="18"/>
      <c r="H289" s="19" t="n">
        <f aca="false">IF(OR(E289="",F289=""),0,IF(G289="شامل الضريبة",ROUND(ROUND(E289*F289,2)/(1+الإعدادات!$B$5),2),ROUND(E289*F289,2)))</f>
        <v>0</v>
      </c>
      <c r="I289" s="19" t="n">
        <f aca="false">IF(OR(E289="",F289=""),0,IF(G289="شامل الضريبة",ROUND(E289*F289,2)-H289,ROUND(H289*الإعدادات!$B$5,2)))</f>
        <v>0</v>
      </c>
      <c r="J289" s="20" t="n">
        <f aca="false">H289+I289</f>
        <v>0</v>
      </c>
      <c r="K289" s="14"/>
      <c r="L289" s="21" t="str">
        <f aca="false">IF(AND(B289="",C289="",E289="",F289=""),"",IF(B289="","⚠ اختر العميل",IF(COUNTIF('دليل العملاء'!$B$4:$B$203,B289)=0,"⚠ عميل غير مسجل",IF(C289="","⚠ اختر الصنف",IF(COUNTIF('دليل الأصناف'!$B$4:$B$203,C289)=0,"⚠ صنف غير مسجل",IF(E289="","⚠ أدخل الكمية",IF(F289="","⚠ أدخل السعر",IF(A289="","⚠ أدخل التاريخ","✓ سليم"))))))))</f>
        <v/>
      </c>
    </row>
    <row r="290" customFormat="false" ht="15" hidden="false" customHeight="false" outlineLevel="0" collapsed="false">
      <c r="A290" s="13"/>
      <c r="B290" s="14"/>
      <c r="C290" s="14"/>
      <c r="D290" s="15" t="str">
        <f aca="false">IF(C290="","",IFERROR(INDEX('دليل الأصناف'!$A$4:$A$203,MATCH(C290,'دليل الأصناف'!$B$4:$B$203,0)),"غير مسجل"))</f>
        <v/>
      </c>
      <c r="E290" s="16"/>
      <c r="F290" s="17"/>
      <c r="G290" s="18"/>
      <c r="H290" s="19" t="n">
        <f aca="false">IF(OR(E290="",F290=""),0,IF(G290="شامل الضريبة",ROUND(ROUND(E290*F290,2)/(1+الإعدادات!$B$5),2),ROUND(E290*F290,2)))</f>
        <v>0</v>
      </c>
      <c r="I290" s="19" t="n">
        <f aca="false">IF(OR(E290="",F290=""),0,IF(G290="شامل الضريبة",ROUND(E290*F290,2)-H290,ROUND(H290*الإعدادات!$B$5,2)))</f>
        <v>0</v>
      </c>
      <c r="J290" s="20" t="n">
        <f aca="false">H290+I290</f>
        <v>0</v>
      </c>
      <c r="K290" s="14"/>
      <c r="L290" s="21" t="str">
        <f aca="false">IF(AND(B290="",C290="",E290="",F290=""),"",IF(B290="","⚠ اختر العميل",IF(COUNTIF('دليل العملاء'!$B$4:$B$203,B290)=0,"⚠ عميل غير مسجل",IF(C290="","⚠ اختر الصنف",IF(COUNTIF('دليل الأصناف'!$B$4:$B$203,C290)=0,"⚠ صنف غير مسجل",IF(E290="","⚠ أدخل الكمية",IF(F290="","⚠ أدخل السعر",IF(A290="","⚠ أدخل التاريخ","✓ سليم"))))))))</f>
        <v/>
      </c>
    </row>
    <row r="291" customFormat="false" ht="15" hidden="false" customHeight="false" outlineLevel="0" collapsed="false">
      <c r="A291" s="13"/>
      <c r="B291" s="14"/>
      <c r="C291" s="14"/>
      <c r="D291" s="15" t="str">
        <f aca="false">IF(C291="","",IFERROR(INDEX('دليل الأصناف'!$A$4:$A$203,MATCH(C291,'دليل الأصناف'!$B$4:$B$203,0)),"غير مسجل"))</f>
        <v/>
      </c>
      <c r="E291" s="16"/>
      <c r="F291" s="17"/>
      <c r="G291" s="18"/>
      <c r="H291" s="19" t="n">
        <f aca="false">IF(OR(E291="",F291=""),0,IF(G291="شامل الضريبة",ROUND(ROUND(E291*F291,2)/(1+الإعدادات!$B$5),2),ROUND(E291*F291,2)))</f>
        <v>0</v>
      </c>
      <c r="I291" s="19" t="n">
        <f aca="false">IF(OR(E291="",F291=""),0,IF(G291="شامل الضريبة",ROUND(E291*F291,2)-H291,ROUND(H291*الإعدادات!$B$5,2)))</f>
        <v>0</v>
      </c>
      <c r="J291" s="20" t="n">
        <f aca="false">H291+I291</f>
        <v>0</v>
      </c>
      <c r="K291" s="14"/>
      <c r="L291" s="21" t="str">
        <f aca="false">IF(AND(B291="",C291="",E291="",F291=""),"",IF(B291="","⚠ اختر العميل",IF(COUNTIF('دليل العملاء'!$B$4:$B$203,B291)=0,"⚠ عميل غير مسجل",IF(C291="","⚠ اختر الصنف",IF(COUNTIF('دليل الأصناف'!$B$4:$B$203,C291)=0,"⚠ صنف غير مسجل",IF(E291="","⚠ أدخل الكمية",IF(F291="","⚠ أدخل السعر",IF(A291="","⚠ أدخل التاريخ","✓ سليم"))))))))</f>
        <v/>
      </c>
    </row>
    <row r="292" customFormat="false" ht="15" hidden="false" customHeight="false" outlineLevel="0" collapsed="false">
      <c r="A292" s="13"/>
      <c r="B292" s="14"/>
      <c r="C292" s="14"/>
      <c r="D292" s="15" t="str">
        <f aca="false">IF(C292="","",IFERROR(INDEX('دليل الأصناف'!$A$4:$A$203,MATCH(C292,'دليل الأصناف'!$B$4:$B$203,0)),"غير مسجل"))</f>
        <v/>
      </c>
      <c r="E292" s="16"/>
      <c r="F292" s="17"/>
      <c r="G292" s="18"/>
      <c r="H292" s="19" t="n">
        <f aca="false">IF(OR(E292="",F292=""),0,IF(G292="شامل الضريبة",ROUND(ROUND(E292*F292,2)/(1+الإعدادات!$B$5),2),ROUND(E292*F292,2)))</f>
        <v>0</v>
      </c>
      <c r="I292" s="19" t="n">
        <f aca="false">IF(OR(E292="",F292=""),0,IF(G292="شامل الضريبة",ROUND(E292*F292,2)-H292,ROUND(H292*الإعدادات!$B$5,2)))</f>
        <v>0</v>
      </c>
      <c r="J292" s="20" t="n">
        <f aca="false">H292+I292</f>
        <v>0</v>
      </c>
      <c r="K292" s="14"/>
      <c r="L292" s="21" t="str">
        <f aca="false">IF(AND(B292="",C292="",E292="",F292=""),"",IF(B292="","⚠ اختر العميل",IF(COUNTIF('دليل العملاء'!$B$4:$B$203,B292)=0,"⚠ عميل غير مسجل",IF(C292="","⚠ اختر الصنف",IF(COUNTIF('دليل الأصناف'!$B$4:$B$203,C292)=0,"⚠ صنف غير مسجل",IF(E292="","⚠ أدخل الكمية",IF(F292="","⚠ أدخل السعر",IF(A292="","⚠ أدخل التاريخ","✓ سليم"))))))))</f>
        <v/>
      </c>
    </row>
    <row r="293" customFormat="false" ht="15" hidden="false" customHeight="false" outlineLevel="0" collapsed="false">
      <c r="A293" s="13"/>
      <c r="B293" s="14"/>
      <c r="C293" s="14"/>
      <c r="D293" s="15" t="str">
        <f aca="false">IF(C293="","",IFERROR(INDEX('دليل الأصناف'!$A$4:$A$203,MATCH(C293,'دليل الأصناف'!$B$4:$B$203,0)),"غير مسجل"))</f>
        <v/>
      </c>
      <c r="E293" s="16"/>
      <c r="F293" s="17"/>
      <c r="G293" s="18"/>
      <c r="H293" s="19" t="n">
        <f aca="false">IF(OR(E293="",F293=""),0,IF(G293="شامل الضريبة",ROUND(ROUND(E293*F293,2)/(1+الإعدادات!$B$5),2),ROUND(E293*F293,2)))</f>
        <v>0</v>
      </c>
      <c r="I293" s="19" t="n">
        <f aca="false">IF(OR(E293="",F293=""),0,IF(G293="شامل الضريبة",ROUND(E293*F293,2)-H293,ROUND(H293*الإعدادات!$B$5,2)))</f>
        <v>0</v>
      </c>
      <c r="J293" s="20" t="n">
        <f aca="false">H293+I293</f>
        <v>0</v>
      </c>
      <c r="K293" s="14"/>
      <c r="L293" s="21" t="str">
        <f aca="false">IF(AND(B293="",C293="",E293="",F293=""),"",IF(B293="","⚠ اختر العميل",IF(COUNTIF('دليل العملاء'!$B$4:$B$203,B293)=0,"⚠ عميل غير مسجل",IF(C293="","⚠ اختر الصنف",IF(COUNTIF('دليل الأصناف'!$B$4:$B$203,C293)=0,"⚠ صنف غير مسجل",IF(E293="","⚠ أدخل الكمية",IF(F293="","⚠ أدخل السعر",IF(A293="","⚠ أدخل التاريخ","✓ سليم"))))))))</f>
        <v/>
      </c>
    </row>
    <row r="294" customFormat="false" ht="15" hidden="false" customHeight="false" outlineLevel="0" collapsed="false">
      <c r="A294" s="13"/>
      <c r="B294" s="14"/>
      <c r="C294" s="14"/>
      <c r="D294" s="15" t="str">
        <f aca="false">IF(C294="","",IFERROR(INDEX('دليل الأصناف'!$A$4:$A$203,MATCH(C294,'دليل الأصناف'!$B$4:$B$203,0)),"غير مسجل"))</f>
        <v/>
      </c>
      <c r="E294" s="16"/>
      <c r="F294" s="17"/>
      <c r="G294" s="18"/>
      <c r="H294" s="19" t="n">
        <f aca="false">IF(OR(E294="",F294=""),0,IF(G294="شامل الضريبة",ROUND(ROUND(E294*F294,2)/(1+الإعدادات!$B$5),2),ROUND(E294*F294,2)))</f>
        <v>0</v>
      </c>
      <c r="I294" s="19" t="n">
        <f aca="false">IF(OR(E294="",F294=""),0,IF(G294="شامل الضريبة",ROUND(E294*F294,2)-H294,ROUND(H294*الإعدادات!$B$5,2)))</f>
        <v>0</v>
      </c>
      <c r="J294" s="20" t="n">
        <f aca="false">H294+I294</f>
        <v>0</v>
      </c>
      <c r="K294" s="14"/>
      <c r="L294" s="21" t="str">
        <f aca="false">IF(AND(B294="",C294="",E294="",F294=""),"",IF(B294="","⚠ اختر العميل",IF(COUNTIF('دليل العملاء'!$B$4:$B$203,B294)=0,"⚠ عميل غير مسجل",IF(C294="","⚠ اختر الصنف",IF(COUNTIF('دليل الأصناف'!$B$4:$B$203,C294)=0,"⚠ صنف غير مسجل",IF(E294="","⚠ أدخل الكمية",IF(F294="","⚠ أدخل السعر",IF(A294="","⚠ أدخل التاريخ","✓ سليم"))))))))</f>
        <v/>
      </c>
    </row>
    <row r="295" customFormat="false" ht="15" hidden="false" customHeight="false" outlineLevel="0" collapsed="false">
      <c r="A295" s="13"/>
      <c r="B295" s="14"/>
      <c r="C295" s="14"/>
      <c r="D295" s="15" t="str">
        <f aca="false">IF(C295="","",IFERROR(INDEX('دليل الأصناف'!$A$4:$A$203,MATCH(C295,'دليل الأصناف'!$B$4:$B$203,0)),"غير مسجل"))</f>
        <v/>
      </c>
      <c r="E295" s="16"/>
      <c r="F295" s="17"/>
      <c r="G295" s="18"/>
      <c r="H295" s="19" t="n">
        <f aca="false">IF(OR(E295="",F295=""),0,IF(G295="شامل الضريبة",ROUND(ROUND(E295*F295,2)/(1+الإعدادات!$B$5),2),ROUND(E295*F295,2)))</f>
        <v>0</v>
      </c>
      <c r="I295" s="19" t="n">
        <f aca="false">IF(OR(E295="",F295=""),0,IF(G295="شامل الضريبة",ROUND(E295*F295,2)-H295,ROUND(H295*الإعدادات!$B$5,2)))</f>
        <v>0</v>
      </c>
      <c r="J295" s="20" t="n">
        <f aca="false">H295+I295</f>
        <v>0</v>
      </c>
      <c r="K295" s="14"/>
      <c r="L295" s="21" t="str">
        <f aca="false">IF(AND(B295="",C295="",E295="",F295=""),"",IF(B295="","⚠ اختر العميل",IF(COUNTIF('دليل العملاء'!$B$4:$B$203,B295)=0,"⚠ عميل غير مسجل",IF(C295="","⚠ اختر الصنف",IF(COUNTIF('دليل الأصناف'!$B$4:$B$203,C295)=0,"⚠ صنف غير مسجل",IF(E295="","⚠ أدخل الكمية",IF(F295="","⚠ أدخل السعر",IF(A295="","⚠ أدخل التاريخ","✓ سليم"))))))))</f>
        <v/>
      </c>
    </row>
    <row r="296" customFormat="false" ht="15" hidden="false" customHeight="false" outlineLevel="0" collapsed="false">
      <c r="A296" s="13"/>
      <c r="B296" s="14"/>
      <c r="C296" s="14"/>
      <c r="D296" s="15" t="str">
        <f aca="false">IF(C296="","",IFERROR(INDEX('دليل الأصناف'!$A$4:$A$203,MATCH(C296,'دليل الأصناف'!$B$4:$B$203,0)),"غير مسجل"))</f>
        <v/>
      </c>
      <c r="E296" s="16"/>
      <c r="F296" s="17"/>
      <c r="G296" s="18"/>
      <c r="H296" s="19" t="n">
        <f aca="false">IF(OR(E296="",F296=""),0,IF(G296="شامل الضريبة",ROUND(ROUND(E296*F296,2)/(1+الإعدادات!$B$5),2),ROUND(E296*F296,2)))</f>
        <v>0</v>
      </c>
      <c r="I296" s="19" t="n">
        <f aca="false">IF(OR(E296="",F296=""),0,IF(G296="شامل الضريبة",ROUND(E296*F296,2)-H296,ROUND(H296*الإعدادات!$B$5,2)))</f>
        <v>0</v>
      </c>
      <c r="J296" s="20" t="n">
        <f aca="false">H296+I296</f>
        <v>0</v>
      </c>
      <c r="K296" s="14"/>
      <c r="L296" s="21" t="str">
        <f aca="false">IF(AND(B296="",C296="",E296="",F296=""),"",IF(B296="","⚠ اختر العميل",IF(COUNTIF('دليل العملاء'!$B$4:$B$203,B296)=0,"⚠ عميل غير مسجل",IF(C296="","⚠ اختر الصنف",IF(COUNTIF('دليل الأصناف'!$B$4:$B$203,C296)=0,"⚠ صنف غير مسجل",IF(E296="","⚠ أدخل الكمية",IF(F296="","⚠ أدخل السعر",IF(A296="","⚠ أدخل التاريخ","✓ سليم"))))))))</f>
        <v/>
      </c>
    </row>
    <row r="297" customFormat="false" ht="15" hidden="false" customHeight="false" outlineLevel="0" collapsed="false">
      <c r="A297" s="13"/>
      <c r="B297" s="14"/>
      <c r="C297" s="14"/>
      <c r="D297" s="15" t="str">
        <f aca="false">IF(C297="","",IFERROR(INDEX('دليل الأصناف'!$A$4:$A$203,MATCH(C297,'دليل الأصناف'!$B$4:$B$203,0)),"غير مسجل"))</f>
        <v/>
      </c>
      <c r="E297" s="16"/>
      <c r="F297" s="17"/>
      <c r="G297" s="18"/>
      <c r="H297" s="19" t="n">
        <f aca="false">IF(OR(E297="",F297=""),0,IF(G297="شامل الضريبة",ROUND(ROUND(E297*F297,2)/(1+الإعدادات!$B$5),2),ROUND(E297*F297,2)))</f>
        <v>0</v>
      </c>
      <c r="I297" s="19" t="n">
        <f aca="false">IF(OR(E297="",F297=""),0,IF(G297="شامل الضريبة",ROUND(E297*F297,2)-H297,ROUND(H297*الإعدادات!$B$5,2)))</f>
        <v>0</v>
      </c>
      <c r="J297" s="20" t="n">
        <f aca="false">H297+I297</f>
        <v>0</v>
      </c>
      <c r="K297" s="14"/>
      <c r="L297" s="21" t="str">
        <f aca="false">IF(AND(B297="",C297="",E297="",F297=""),"",IF(B297="","⚠ اختر العميل",IF(COUNTIF('دليل العملاء'!$B$4:$B$203,B297)=0,"⚠ عميل غير مسجل",IF(C297="","⚠ اختر الصنف",IF(COUNTIF('دليل الأصناف'!$B$4:$B$203,C297)=0,"⚠ صنف غير مسجل",IF(E297="","⚠ أدخل الكمية",IF(F297="","⚠ أدخل السعر",IF(A297="","⚠ أدخل التاريخ","✓ سليم"))))))))</f>
        <v/>
      </c>
    </row>
    <row r="298" customFormat="false" ht="15" hidden="false" customHeight="false" outlineLevel="0" collapsed="false">
      <c r="A298" s="13"/>
      <c r="B298" s="14"/>
      <c r="C298" s="14"/>
      <c r="D298" s="15" t="str">
        <f aca="false">IF(C298="","",IFERROR(INDEX('دليل الأصناف'!$A$4:$A$203,MATCH(C298,'دليل الأصناف'!$B$4:$B$203,0)),"غير مسجل"))</f>
        <v/>
      </c>
      <c r="E298" s="16"/>
      <c r="F298" s="17"/>
      <c r="G298" s="18"/>
      <c r="H298" s="19" t="n">
        <f aca="false">IF(OR(E298="",F298=""),0,IF(G298="شامل الضريبة",ROUND(ROUND(E298*F298,2)/(1+الإعدادات!$B$5),2),ROUND(E298*F298,2)))</f>
        <v>0</v>
      </c>
      <c r="I298" s="19" t="n">
        <f aca="false">IF(OR(E298="",F298=""),0,IF(G298="شامل الضريبة",ROUND(E298*F298,2)-H298,ROUND(H298*الإعدادات!$B$5,2)))</f>
        <v>0</v>
      </c>
      <c r="J298" s="20" t="n">
        <f aca="false">H298+I298</f>
        <v>0</v>
      </c>
      <c r="K298" s="14"/>
      <c r="L298" s="21" t="str">
        <f aca="false">IF(AND(B298="",C298="",E298="",F298=""),"",IF(B298="","⚠ اختر العميل",IF(COUNTIF('دليل العملاء'!$B$4:$B$203,B298)=0,"⚠ عميل غير مسجل",IF(C298="","⚠ اختر الصنف",IF(COUNTIF('دليل الأصناف'!$B$4:$B$203,C298)=0,"⚠ صنف غير مسجل",IF(E298="","⚠ أدخل الكمية",IF(F298="","⚠ أدخل السعر",IF(A298="","⚠ أدخل التاريخ","✓ سليم"))))))))</f>
        <v/>
      </c>
    </row>
    <row r="299" customFormat="false" ht="15" hidden="false" customHeight="false" outlineLevel="0" collapsed="false">
      <c r="A299" s="13"/>
      <c r="B299" s="14"/>
      <c r="C299" s="14"/>
      <c r="D299" s="15" t="str">
        <f aca="false">IF(C299="","",IFERROR(INDEX('دليل الأصناف'!$A$4:$A$203,MATCH(C299,'دليل الأصناف'!$B$4:$B$203,0)),"غير مسجل"))</f>
        <v/>
      </c>
      <c r="E299" s="16"/>
      <c r="F299" s="17"/>
      <c r="G299" s="18"/>
      <c r="H299" s="19" t="n">
        <f aca="false">IF(OR(E299="",F299=""),0,IF(G299="شامل الضريبة",ROUND(ROUND(E299*F299,2)/(1+الإعدادات!$B$5),2),ROUND(E299*F299,2)))</f>
        <v>0</v>
      </c>
      <c r="I299" s="19" t="n">
        <f aca="false">IF(OR(E299="",F299=""),0,IF(G299="شامل الضريبة",ROUND(E299*F299,2)-H299,ROUND(H299*الإعدادات!$B$5,2)))</f>
        <v>0</v>
      </c>
      <c r="J299" s="20" t="n">
        <f aca="false">H299+I299</f>
        <v>0</v>
      </c>
      <c r="K299" s="14"/>
      <c r="L299" s="21" t="str">
        <f aca="false">IF(AND(B299="",C299="",E299="",F299=""),"",IF(B299="","⚠ اختر العميل",IF(COUNTIF('دليل العملاء'!$B$4:$B$203,B299)=0,"⚠ عميل غير مسجل",IF(C299="","⚠ اختر الصنف",IF(COUNTIF('دليل الأصناف'!$B$4:$B$203,C299)=0,"⚠ صنف غير مسجل",IF(E299="","⚠ أدخل الكمية",IF(F299="","⚠ أدخل السعر",IF(A299="","⚠ أدخل التاريخ","✓ سليم"))))))))</f>
        <v/>
      </c>
    </row>
    <row r="300" customFormat="false" ht="15" hidden="false" customHeight="false" outlineLevel="0" collapsed="false">
      <c r="A300" s="13"/>
      <c r="B300" s="14"/>
      <c r="C300" s="14"/>
      <c r="D300" s="15" t="str">
        <f aca="false">IF(C300="","",IFERROR(INDEX('دليل الأصناف'!$A$4:$A$203,MATCH(C300,'دليل الأصناف'!$B$4:$B$203,0)),"غير مسجل"))</f>
        <v/>
      </c>
      <c r="E300" s="16"/>
      <c r="F300" s="17"/>
      <c r="G300" s="18"/>
      <c r="H300" s="19" t="n">
        <f aca="false">IF(OR(E300="",F300=""),0,IF(G300="شامل الضريبة",ROUND(ROUND(E300*F300,2)/(1+الإعدادات!$B$5),2),ROUND(E300*F300,2)))</f>
        <v>0</v>
      </c>
      <c r="I300" s="19" t="n">
        <f aca="false">IF(OR(E300="",F300=""),0,IF(G300="شامل الضريبة",ROUND(E300*F300,2)-H300,ROUND(H300*الإعدادات!$B$5,2)))</f>
        <v>0</v>
      </c>
      <c r="J300" s="20" t="n">
        <f aca="false">H300+I300</f>
        <v>0</v>
      </c>
      <c r="K300" s="14"/>
      <c r="L300" s="21" t="str">
        <f aca="false">IF(AND(B300="",C300="",E300="",F300=""),"",IF(B300="","⚠ اختر العميل",IF(COUNTIF('دليل العملاء'!$B$4:$B$203,B300)=0,"⚠ عميل غير مسجل",IF(C300="","⚠ اختر الصنف",IF(COUNTIF('دليل الأصناف'!$B$4:$B$203,C300)=0,"⚠ صنف غير مسجل",IF(E300="","⚠ أدخل الكمية",IF(F300="","⚠ أدخل السعر",IF(A300="","⚠ أدخل التاريخ","✓ سليم"))))))))</f>
        <v/>
      </c>
    </row>
    <row r="301" customFormat="false" ht="15" hidden="false" customHeight="false" outlineLevel="0" collapsed="false">
      <c r="A301" s="13"/>
      <c r="B301" s="14"/>
      <c r="C301" s="14"/>
      <c r="D301" s="15" t="str">
        <f aca="false">IF(C301="","",IFERROR(INDEX('دليل الأصناف'!$A$4:$A$203,MATCH(C301,'دليل الأصناف'!$B$4:$B$203,0)),"غير مسجل"))</f>
        <v/>
      </c>
      <c r="E301" s="16"/>
      <c r="F301" s="17"/>
      <c r="G301" s="18"/>
      <c r="H301" s="19" t="n">
        <f aca="false">IF(OR(E301="",F301=""),0,IF(G301="شامل الضريبة",ROUND(ROUND(E301*F301,2)/(1+الإعدادات!$B$5),2),ROUND(E301*F301,2)))</f>
        <v>0</v>
      </c>
      <c r="I301" s="19" t="n">
        <f aca="false">IF(OR(E301="",F301=""),0,IF(G301="شامل الضريبة",ROUND(E301*F301,2)-H301,ROUND(H301*الإعدادات!$B$5,2)))</f>
        <v>0</v>
      </c>
      <c r="J301" s="20" t="n">
        <f aca="false">H301+I301</f>
        <v>0</v>
      </c>
      <c r="K301" s="14"/>
      <c r="L301" s="21" t="str">
        <f aca="false">IF(AND(B301="",C301="",E301="",F301=""),"",IF(B301="","⚠ اختر العميل",IF(COUNTIF('دليل العملاء'!$B$4:$B$203,B301)=0,"⚠ عميل غير مسجل",IF(C301="","⚠ اختر الصنف",IF(COUNTIF('دليل الأصناف'!$B$4:$B$203,C301)=0,"⚠ صنف غير مسجل",IF(E301="","⚠ أدخل الكمية",IF(F301="","⚠ أدخل السعر",IF(A301="","⚠ أدخل التاريخ","✓ سليم"))))))))</f>
        <v/>
      </c>
    </row>
    <row r="302" customFormat="false" ht="15" hidden="false" customHeight="false" outlineLevel="0" collapsed="false">
      <c r="A302" s="13"/>
      <c r="B302" s="14"/>
      <c r="C302" s="14"/>
      <c r="D302" s="15" t="str">
        <f aca="false">IF(C302="","",IFERROR(INDEX('دليل الأصناف'!$A$4:$A$203,MATCH(C302,'دليل الأصناف'!$B$4:$B$203,0)),"غير مسجل"))</f>
        <v/>
      </c>
      <c r="E302" s="16"/>
      <c r="F302" s="17"/>
      <c r="G302" s="18"/>
      <c r="H302" s="19" t="n">
        <f aca="false">IF(OR(E302="",F302=""),0,IF(G302="شامل الضريبة",ROUND(ROUND(E302*F302,2)/(1+الإعدادات!$B$5),2),ROUND(E302*F302,2)))</f>
        <v>0</v>
      </c>
      <c r="I302" s="19" t="n">
        <f aca="false">IF(OR(E302="",F302=""),0,IF(G302="شامل الضريبة",ROUND(E302*F302,2)-H302,ROUND(H302*الإعدادات!$B$5,2)))</f>
        <v>0</v>
      </c>
      <c r="J302" s="20" t="n">
        <f aca="false">H302+I302</f>
        <v>0</v>
      </c>
      <c r="K302" s="14"/>
      <c r="L302" s="21" t="str">
        <f aca="false">IF(AND(B302="",C302="",E302="",F302=""),"",IF(B302="","⚠ اختر العميل",IF(COUNTIF('دليل العملاء'!$B$4:$B$203,B302)=0,"⚠ عميل غير مسجل",IF(C302="","⚠ اختر الصنف",IF(COUNTIF('دليل الأصناف'!$B$4:$B$203,C302)=0,"⚠ صنف غير مسجل",IF(E302="","⚠ أدخل الكمية",IF(F302="","⚠ أدخل السعر",IF(A302="","⚠ أدخل التاريخ","✓ سليم"))))))))</f>
        <v/>
      </c>
    </row>
    <row r="303" customFormat="false" ht="15" hidden="false" customHeight="false" outlineLevel="0" collapsed="false">
      <c r="A303" s="13"/>
      <c r="B303" s="14"/>
      <c r="C303" s="14"/>
      <c r="D303" s="15" t="str">
        <f aca="false">IF(C303="","",IFERROR(INDEX('دليل الأصناف'!$A$4:$A$203,MATCH(C303,'دليل الأصناف'!$B$4:$B$203,0)),"غير مسجل"))</f>
        <v/>
      </c>
      <c r="E303" s="16"/>
      <c r="F303" s="17"/>
      <c r="G303" s="18"/>
      <c r="H303" s="19" t="n">
        <f aca="false">IF(OR(E303="",F303=""),0,IF(G303="شامل الضريبة",ROUND(ROUND(E303*F303,2)/(1+الإعدادات!$B$5),2),ROUND(E303*F303,2)))</f>
        <v>0</v>
      </c>
      <c r="I303" s="19" t="n">
        <f aca="false">IF(OR(E303="",F303=""),0,IF(G303="شامل الضريبة",ROUND(E303*F303,2)-H303,ROUND(H303*الإعدادات!$B$5,2)))</f>
        <v>0</v>
      </c>
      <c r="J303" s="20" t="n">
        <f aca="false">H303+I303</f>
        <v>0</v>
      </c>
      <c r="K303" s="14"/>
      <c r="L303" s="21" t="str">
        <f aca="false">IF(AND(B303="",C303="",E303="",F303=""),"",IF(B303="","⚠ اختر العميل",IF(COUNTIF('دليل العملاء'!$B$4:$B$203,B303)=0,"⚠ عميل غير مسجل",IF(C303="","⚠ اختر الصنف",IF(COUNTIF('دليل الأصناف'!$B$4:$B$203,C303)=0,"⚠ صنف غير مسجل",IF(E303="","⚠ أدخل الكمية",IF(F303="","⚠ أدخل السعر",IF(A303="","⚠ أدخل التاريخ","✓ سليم"))))))))</f>
        <v/>
      </c>
    </row>
    <row r="304" customFormat="false" ht="15" hidden="false" customHeight="false" outlineLevel="0" collapsed="false">
      <c r="A304" s="13"/>
      <c r="B304" s="14"/>
      <c r="C304" s="14"/>
      <c r="D304" s="15" t="str">
        <f aca="false">IF(C304="","",IFERROR(INDEX('دليل الأصناف'!$A$4:$A$203,MATCH(C304,'دليل الأصناف'!$B$4:$B$203,0)),"غير مسجل"))</f>
        <v/>
      </c>
      <c r="E304" s="16"/>
      <c r="F304" s="17"/>
      <c r="G304" s="18"/>
      <c r="H304" s="19" t="n">
        <f aca="false">IF(OR(E304="",F304=""),0,IF(G304="شامل الضريبة",ROUND(ROUND(E304*F304,2)/(1+الإعدادات!$B$5),2),ROUND(E304*F304,2)))</f>
        <v>0</v>
      </c>
      <c r="I304" s="19" t="n">
        <f aca="false">IF(OR(E304="",F304=""),0,IF(G304="شامل الضريبة",ROUND(E304*F304,2)-H304,ROUND(H304*الإعدادات!$B$5,2)))</f>
        <v>0</v>
      </c>
      <c r="J304" s="20" t="n">
        <f aca="false">H304+I304</f>
        <v>0</v>
      </c>
      <c r="K304" s="14"/>
      <c r="L304" s="21" t="str">
        <f aca="false">IF(AND(B304="",C304="",E304="",F304=""),"",IF(B304="","⚠ اختر العميل",IF(COUNTIF('دليل العملاء'!$B$4:$B$203,B304)=0,"⚠ عميل غير مسجل",IF(C304="","⚠ اختر الصنف",IF(COUNTIF('دليل الأصناف'!$B$4:$B$203,C304)=0,"⚠ صنف غير مسجل",IF(E304="","⚠ أدخل الكمية",IF(F304="","⚠ أدخل السعر",IF(A304="","⚠ أدخل التاريخ","✓ سليم"))))))))</f>
        <v/>
      </c>
    </row>
    <row r="305" customFormat="false" ht="15" hidden="false" customHeight="false" outlineLevel="0" collapsed="false">
      <c r="A305" s="13"/>
      <c r="B305" s="14"/>
      <c r="C305" s="14"/>
      <c r="D305" s="15" t="str">
        <f aca="false">IF(C305="","",IFERROR(INDEX('دليل الأصناف'!$A$4:$A$203,MATCH(C305,'دليل الأصناف'!$B$4:$B$203,0)),"غير مسجل"))</f>
        <v/>
      </c>
      <c r="E305" s="16"/>
      <c r="F305" s="17"/>
      <c r="G305" s="18"/>
      <c r="H305" s="19" t="n">
        <f aca="false">IF(OR(E305="",F305=""),0,IF(G305="شامل الضريبة",ROUND(ROUND(E305*F305,2)/(1+الإعدادات!$B$5),2),ROUND(E305*F305,2)))</f>
        <v>0</v>
      </c>
      <c r="I305" s="19" t="n">
        <f aca="false">IF(OR(E305="",F305=""),0,IF(G305="شامل الضريبة",ROUND(E305*F305,2)-H305,ROUND(H305*الإعدادات!$B$5,2)))</f>
        <v>0</v>
      </c>
      <c r="J305" s="20" t="n">
        <f aca="false">H305+I305</f>
        <v>0</v>
      </c>
      <c r="K305" s="14"/>
      <c r="L305" s="21" t="str">
        <f aca="false">IF(AND(B305="",C305="",E305="",F305=""),"",IF(B305="","⚠ اختر العميل",IF(COUNTIF('دليل العملاء'!$B$4:$B$203,B305)=0,"⚠ عميل غير مسجل",IF(C305="","⚠ اختر الصنف",IF(COUNTIF('دليل الأصناف'!$B$4:$B$203,C305)=0,"⚠ صنف غير مسجل",IF(E305="","⚠ أدخل الكمية",IF(F305="","⚠ أدخل السعر",IF(A305="","⚠ أدخل التاريخ","✓ سليم"))))))))</f>
        <v/>
      </c>
    </row>
    <row r="306" customFormat="false" ht="15" hidden="false" customHeight="false" outlineLevel="0" collapsed="false">
      <c r="A306" s="13"/>
      <c r="B306" s="14"/>
      <c r="C306" s="14"/>
      <c r="D306" s="15" t="str">
        <f aca="false">IF(C306="","",IFERROR(INDEX('دليل الأصناف'!$A$4:$A$203,MATCH(C306,'دليل الأصناف'!$B$4:$B$203,0)),"غير مسجل"))</f>
        <v/>
      </c>
      <c r="E306" s="16"/>
      <c r="F306" s="17"/>
      <c r="G306" s="18"/>
      <c r="H306" s="19" t="n">
        <f aca="false">IF(OR(E306="",F306=""),0,IF(G306="شامل الضريبة",ROUND(ROUND(E306*F306,2)/(1+الإعدادات!$B$5),2),ROUND(E306*F306,2)))</f>
        <v>0</v>
      </c>
      <c r="I306" s="19" t="n">
        <f aca="false">IF(OR(E306="",F306=""),0,IF(G306="شامل الضريبة",ROUND(E306*F306,2)-H306,ROUND(H306*الإعدادات!$B$5,2)))</f>
        <v>0</v>
      </c>
      <c r="J306" s="20" t="n">
        <f aca="false">H306+I306</f>
        <v>0</v>
      </c>
      <c r="K306" s="14"/>
      <c r="L306" s="21" t="str">
        <f aca="false">IF(AND(B306="",C306="",E306="",F306=""),"",IF(B306="","⚠ اختر العميل",IF(COUNTIF('دليل العملاء'!$B$4:$B$203,B306)=0,"⚠ عميل غير مسجل",IF(C306="","⚠ اختر الصنف",IF(COUNTIF('دليل الأصناف'!$B$4:$B$203,C306)=0,"⚠ صنف غير مسجل",IF(E306="","⚠ أدخل الكمية",IF(F306="","⚠ أدخل السعر",IF(A306="","⚠ أدخل التاريخ","✓ سليم"))))))))</f>
        <v/>
      </c>
    </row>
    <row r="307" customFormat="false" ht="15" hidden="false" customHeight="false" outlineLevel="0" collapsed="false">
      <c r="A307" s="13"/>
      <c r="B307" s="14"/>
      <c r="C307" s="14"/>
      <c r="D307" s="15" t="str">
        <f aca="false">IF(C307="","",IFERROR(INDEX('دليل الأصناف'!$A$4:$A$203,MATCH(C307,'دليل الأصناف'!$B$4:$B$203,0)),"غير مسجل"))</f>
        <v/>
      </c>
      <c r="E307" s="16"/>
      <c r="F307" s="17"/>
      <c r="G307" s="18"/>
      <c r="H307" s="19" t="n">
        <f aca="false">IF(OR(E307="",F307=""),0,IF(G307="شامل الضريبة",ROUND(ROUND(E307*F307,2)/(1+الإعدادات!$B$5),2),ROUND(E307*F307,2)))</f>
        <v>0</v>
      </c>
      <c r="I307" s="19" t="n">
        <f aca="false">IF(OR(E307="",F307=""),0,IF(G307="شامل الضريبة",ROUND(E307*F307,2)-H307,ROUND(H307*الإعدادات!$B$5,2)))</f>
        <v>0</v>
      </c>
      <c r="J307" s="20" t="n">
        <f aca="false">H307+I307</f>
        <v>0</v>
      </c>
      <c r="K307" s="14"/>
      <c r="L307" s="21" t="str">
        <f aca="false">IF(AND(B307="",C307="",E307="",F307=""),"",IF(B307="","⚠ اختر العميل",IF(COUNTIF('دليل العملاء'!$B$4:$B$203,B307)=0,"⚠ عميل غير مسجل",IF(C307="","⚠ اختر الصنف",IF(COUNTIF('دليل الأصناف'!$B$4:$B$203,C307)=0,"⚠ صنف غير مسجل",IF(E307="","⚠ أدخل الكمية",IF(F307="","⚠ أدخل السعر",IF(A307="","⚠ أدخل التاريخ","✓ سليم"))))))))</f>
        <v/>
      </c>
    </row>
    <row r="308" customFormat="false" ht="15" hidden="false" customHeight="false" outlineLevel="0" collapsed="false">
      <c r="A308" s="13"/>
      <c r="B308" s="14"/>
      <c r="C308" s="14"/>
      <c r="D308" s="15" t="str">
        <f aca="false">IF(C308="","",IFERROR(INDEX('دليل الأصناف'!$A$4:$A$203,MATCH(C308,'دليل الأصناف'!$B$4:$B$203,0)),"غير مسجل"))</f>
        <v/>
      </c>
      <c r="E308" s="16"/>
      <c r="F308" s="17"/>
      <c r="G308" s="18"/>
      <c r="H308" s="19" t="n">
        <f aca="false">IF(OR(E308="",F308=""),0,IF(G308="شامل الضريبة",ROUND(ROUND(E308*F308,2)/(1+الإعدادات!$B$5),2),ROUND(E308*F308,2)))</f>
        <v>0</v>
      </c>
      <c r="I308" s="19" t="n">
        <f aca="false">IF(OR(E308="",F308=""),0,IF(G308="شامل الضريبة",ROUND(E308*F308,2)-H308,ROUND(H308*الإعدادات!$B$5,2)))</f>
        <v>0</v>
      </c>
      <c r="J308" s="20" t="n">
        <f aca="false">H308+I308</f>
        <v>0</v>
      </c>
      <c r="K308" s="14"/>
      <c r="L308" s="21" t="str">
        <f aca="false">IF(AND(B308="",C308="",E308="",F308=""),"",IF(B308="","⚠ اختر العميل",IF(COUNTIF('دليل العملاء'!$B$4:$B$203,B308)=0,"⚠ عميل غير مسجل",IF(C308="","⚠ اختر الصنف",IF(COUNTIF('دليل الأصناف'!$B$4:$B$203,C308)=0,"⚠ صنف غير مسجل",IF(E308="","⚠ أدخل الكمية",IF(F308="","⚠ أدخل السعر",IF(A308="","⚠ أدخل التاريخ","✓ سليم"))))))))</f>
        <v/>
      </c>
    </row>
    <row r="309" customFormat="false" ht="25.5" hidden="false" customHeight="true" outlineLevel="0" collapsed="false">
      <c r="A309" s="22" t="s">
        <v>77</v>
      </c>
      <c r="B309" s="22"/>
      <c r="C309" s="22"/>
      <c r="D309" s="22"/>
      <c r="E309" s="23" t="n">
        <f aca="false">SUM($E$9:$E$308)</f>
        <v>1817</v>
      </c>
      <c r="F309" s="22"/>
      <c r="G309" s="22"/>
      <c r="H309" s="22" t="n">
        <f aca="false">SUM($H$9:$H$308)</f>
        <v>11944.5</v>
      </c>
      <c r="I309" s="22" t="n">
        <f aca="false">SUM($I$9:$I$308)</f>
        <v>1791.68</v>
      </c>
      <c r="J309" s="22" t="n">
        <f aca="false">SUM($J$9:$J$308)</f>
        <v>13736.18</v>
      </c>
      <c r="K309" s="22"/>
      <c r="L309" s="22"/>
    </row>
  </sheetData>
  <autoFilter ref="A8:L308"/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L7"/>
    <mergeCell ref="A309:D309"/>
  </mergeCells>
  <conditionalFormatting sqref="K5">
    <cfRule type="cellIs" priority="2" operator="greaterThan" aboveAverage="0" equalAverage="0" bottom="0" percent="0" rank="0" text="" dxfId="9">
      <formula>0</formula>
    </cfRule>
  </conditionalFormatting>
  <conditionalFormatting sqref="L9:L308">
    <cfRule type="expression" priority="3" aboveAverage="0" equalAverage="0" bottom="0" percent="0" rank="0" text="" dxfId="9">
      <formula>LEFT($L9,1)="⚠"</formula>
    </cfRule>
    <cfRule type="expression" priority="4" aboveAverage="0" equalAverage="0" bottom="0" percent="0" rank="0" text="" dxfId="10">
      <formula>LEFT($L9,1)="✓"</formula>
    </cfRule>
  </conditionalFormatting>
  <conditionalFormatting sqref="D9:D308">
    <cfRule type="cellIs" priority="5" operator="equal" aboveAverage="0" equalAverage="0" bottom="0" percent="0" rank="0" text="" dxfId="11">
      <formula>"غير مسجل"</formula>
    </cfRule>
  </conditionalFormatting>
  <conditionalFormatting sqref="H9:J308">
    <cfRule type="expression" priority="6" aboveAverage="0" equalAverage="0" bottom="0" percent="0" rank="0" text="" dxfId="12">
      <formula>MOD(ROW(),2)=0</formula>
    </cfRule>
  </conditionalFormatting>
  <dataValidations count="6">
    <dataValidation allowBlank="true" error="أدخل تاريخاً صحيحاً بصيغة yyyy/mm/dd" errorStyle="stop" errorTitle="تاريخ غير صحيح" operator="between" prompt="مثال: 2026/10/24" promptTitle="التاريخ" showDropDown="false" showErrorMessage="true" showInputMessage="true" sqref="A9:A308" type="date">
      <formula1>DATE(2020,1,1)</formula1>
      <formula2>DATE(2100,12,31)</formula2>
    </dataValidation>
    <dataValidation allowBlank="true" error="اختر العميل من القائمة، أو أضفه أولاً في ورقة &quot;دليل العملاء&quot;." errorStyle="stop" errorTitle="عميل غير مسجل" operator="between" showDropDown="false" showErrorMessage="true" showInputMessage="true" sqref="B9:B308" type="list">
      <formula1>'دليل العملاء'!$B$4:$B$203</formula1>
      <formula2>0</formula2>
    </dataValidation>
    <dataValidation allowBlank="true" error="اختر الصنف من القائمة، أو أضفه أولاً في ورقة &quot;دليل الأصناف&quot;." errorStyle="stop" errorTitle="صنف غير مسجل" operator="between" showDropDown="false" showErrorMessage="true" showInputMessage="true" sqref="C9:C308" type="list">
      <formula1>'دليل الأصناف'!$B$4:$B$203</formula1>
      <formula2>0</formula2>
    </dataValidation>
    <dataValidation allowBlank="true" error="الكمية يجب أن تكون رقماً أكبر من صفر." errorStyle="stop" errorTitle="كمية غير صحيحة" operator="greaterThan" showDropDown="false" showErrorMessage="true" showInputMessage="true" sqref="E9:E308" type="decimal">
      <formula1>0</formula1>
      <formula2>0</formula2>
    </dataValidation>
    <dataValidation allowBlank="true" error="السعر يجب أن يكون رقماً (صفر أو أكثر)." errorStyle="stop" errorTitle="سعر غير صحيح" operator="greaterThanOrEqual" prompt="راجع &quot;سعر البيع الافتراضي&quot; في دليل الأصناف." promptTitle="سعر الوحدة" showDropDown="false" showErrorMessage="true" showInputMessage="true" sqref="F9:F308" type="decimal">
      <formula1>0</formula1>
      <formula2>0</formula2>
    </dataValidation>
    <dataValidation allowBlank="true" error="اختر: غير شامل الضريبة أو شامل الضريبة." errorStyle="stop" errorTitle="نوع السعر" operator="between" showDropDown="false" showErrorMessage="true" showInputMessage="true" sqref="G9:G308" type="list">
      <formula1>"غير شامل الضريبة,شامل الضريبة"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J10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6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7" t="s">
        <v>79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26.85" hidden="false" customHeight="false" outlineLevel="0" collapsed="false">
      <c r="A4" s="24" t="s">
        <v>80</v>
      </c>
      <c r="B4" s="13"/>
      <c r="D4" s="25" t="str">
        <f aca="false">IF(AND(B4&lt;&gt;"",B5&lt;&gt;"",B4&gt;B5),"⚠ تاريخ البداية بعد تاريخ النهاية","")</f>
        <v/>
      </c>
      <c r="E4" s="25"/>
      <c r="F4" s="25"/>
      <c r="G4" s="25"/>
      <c r="H4" s="25"/>
    </row>
    <row r="5" customFormat="false" ht="26.85" hidden="false" customHeight="false" outlineLevel="0" collapsed="false">
      <c r="A5" s="24" t="s">
        <v>81</v>
      </c>
      <c r="B5" s="13"/>
    </row>
    <row r="7" customFormat="false" ht="42" hidden="false" customHeight="true" outlineLevel="0" collapsed="false">
      <c r="A7" s="26" t="s">
        <v>82</v>
      </c>
      <c r="B7" s="26" t="s">
        <v>83</v>
      </c>
      <c r="C7" s="26" t="s">
        <v>84</v>
      </c>
      <c r="D7" s="26" t="s">
        <v>85</v>
      </c>
      <c r="E7" s="26" t="s">
        <v>86</v>
      </c>
      <c r="F7" s="26" t="s">
        <v>47</v>
      </c>
      <c r="G7" s="26" t="s">
        <v>87</v>
      </c>
      <c r="H7" s="26" t="s">
        <v>49</v>
      </c>
      <c r="I7" s="26" t="s">
        <v>88</v>
      </c>
      <c r="J7" s="26" t="s">
        <v>89</v>
      </c>
    </row>
    <row r="8" customFormat="false" ht="15" hidden="false" customHeight="false" outlineLevel="0" collapsed="false">
      <c r="A8" s="21" t="n">
        <f aca="false">IF(C8="","",1)</f>
        <v>1</v>
      </c>
      <c r="B8" s="21" t="n">
        <f aca="false">IF('دليل العملاء'!$B$4="","",'دليل العملاء'!$A$4)</f>
        <v>101</v>
      </c>
      <c r="C8" s="4" t="str">
        <f aca="false">IF('دليل العملاء'!$B$4="","",'دليل العملاء'!$B$4)</f>
        <v>شركة التخصص الذهبي -النسيم</v>
      </c>
      <c r="D8" s="27" t="n">
        <f aca="false">IF($C8="","",IF($B$4&amp;$B$5="",COUNTIFS('المبيعات اليومية'!$B$9:$B$308,$C8),COUNTIFS('المبيعات اليومية'!$B$9:$B$308,$C8,'المبيعات اليومية'!$A$9:$A$308,"&gt;="&amp;IF($B$4="",0,$B$4),'المبيعات اليومية'!$A$9:$A$308,"&lt;="&amp;IF($B$5="",2958465,$B$5))))</f>
        <v>0</v>
      </c>
      <c r="E8" s="28" t="n">
        <f aca="false">IF($C8="","",IF($B$4&amp;$B$5="",SUMIFS('المبيعات اليومية'!$E$9:$E$308,'المبيعات اليومية'!$B$9:$B$308,$C8),SUMIFS('المبيعات اليومية'!$E$9:$E$308,'المبيعات اليومية'!$B$9:$B$308,$C8,'المبيعات اليومية'!$A$9:$A$308,"&gt;="&amp;IF($B$4="",0,$B$4),'المبيعات اليومية'!$A$9:$A$308,"&lt;="&amp;IF($B$5="",2958465,$B$5))))</f>
        <v>0</v>
      </c>
      <c r="F8" s="19" t="n">
        <f aca="false">IF($C8="","",IF($B$4&amp;$B$5="",SUMIFS('المبيعات اليومية'!$H$9:$H$308,'المبيعات اليومية'!$B$9:$B$308,$C8),SUMIFS('المبيعات اليومية'!$H$9:$H$308,'المبيعات اليومية'!$B$9:$B$308,$C8,'المبيعات اليومية'!$A$9:$A$308,"&gt;="&amp;IF($B$4="",0,$B$4),'المبيعات اليومية'!$A$9:$A$308,"&lt;="&amp;IF($B$5="",2958465,$B$5))))</f>
        <v>0</v>
      </c>
      <c r="G8" s="19" t="n">
        <f aca="false">IF($C8="","",IF($B$4&amp;$B$5="",SUMIFS('المبيعات اليومية'!$I$9:$I$308,'المبيعات اليومية'!$B$9:$B$308,$C8),SUMIFS('المبيعات اليومية'!$I$9:$I$308,'المبيعات اليومية'!$B$9:$B$308,$C8,'المبيعات اليومية'!$A$9:$A$308,"&gt;="&amp;IF($B$4="",0,$B$4),'المبيعات اليومية'!$A$9:$A$308,"&lt;="&amp;IF($B$5="",2958465,$B$5))))</f>
        <v>0</v>
      </c>
      <c r="H8" s="20" t="n">
        <f aca="false">IF($C8="","",IF($B$4&amp;$B$5="",SUMIFS('المبيعات اليومية'!$J$9:$J$308,'المبيعات اليومية'!$B$9:$B$308,$C8),SUMIFS('المبيعات اليومية'!$J$9:$J$308,'المبيعات اليومية'!$B$9:$B$308,$C8,'المبيعات اليومية'!$A$9:$A$308,"&gt;="&amp;IF($B$4="",0,$B$4),'المبيعات اليومية'!$A$9:$A$308,"&lt;="&amp;IF($B$5="",2958465,$B$5))))</f>
        <v>0</v>
      </c>
      <c r="I8" s="29" t="n">
        <f aca="false">IF(OR($C8="",$H$108=0),"",H8/$H$108)</f>
        <v>0</v>
      </c>
      <c r="J8" s="21" t="str">
        <f aca="false">IF(C8="","",IF(D8&gt;0,"نشط","لا يوجد مبيعات"))</f>
        <v>لا يوجد مبيعات</v>
      </c>
    </row>
    <row r="9" customFormat="false" ht="15" hidden="false" customHeight="false" outlineLevel="0" collapsed="false">
      <c r="A9" s="21" t="n">
        <f aca="false">IF(C9="","",2)</f>
        <v>2</v>
      </c>
      <c r="B9" s="21" t="n">
        <f aca="false">IF('دليل العملاء'!$B$5="","",'دليل العملاء'!$A$5)</f>
        <v>102</v>
      </c>
      <c r="C9" s="4" t="str">
        <f aca="false">IF('دليل العملاء'!$B$5="","",'دليل العملاء'!$B$5)</f>
        <v>شركة التخصص الذهبي -حراء</v>
      </c>
      <c r="D9" s="27" t="n">
        <f aca="false">IF($C9="","",IF($B$4&amp;$B$5="",COUNTIFS('المبيعات اليومية'!$B$9:$B$308,$C9),COUNTIFS('المبيعات اليومية'!$B$9:$B$308,$C9,'المبيعات اليومية'!$A$9:$A$308,"&gt;="&amp;IF($B$4="",0,$B$4),'المبيعات اليومية'!$A$9:$A$308,"&lt;="&amp;IF($B$5="",2958465,$B$5))))</f>
        <v>1</v>
      </c>
      <c r="E9" s="28" t="n">
        <f aca="false">IF($C9="","",IF($B$4&amp;$B$5="",SUMIFS('المبيعات اليومية'!$E$9:$E$308,'المبيعات اليومية'!$B$9:$B$308,$C9),SUMIFS('المبيعات اليومية'!$E$9:$E$308,'المبيعات اليومية'!$B$9:$B$308,$C9,'المبيعات اليومية'!$A$9:$A$308,"&gt;="&amp;IF($B$4="",0,$B$4),'المبيعات اليومية'!$A$9:$A$308,"&lt;="&amp;IF($B$5="",2958465,$B$5))))</f>
        <v>297</v>
      </c>
      <c r="F9" s="19" t="n">
        <f aca="false">IF($C9="","",IF($B$4&amp;$B$5="",SUMIFS('المبيعات اليومية'!$H$9:$H$308,'المبيعات اليومية'!$B$9:$B$308,$C9),SUMIFS('المبيعات اليومية'!$H$9:$H$308,'المبيعات اليومية'!$B$9:$B$308,$C9,'المبيعات اليومية'!$A$9:$A$308,"&gt;="&amp;IF($B$4="",0,$B$4),'المبيعات اليومية'!$A$9:$A$308,"&lt;="&amp;IF($B$5="",2958465,$B$5))))</f>
        <v>2524.5</v>
      </c>
      <c r="G9" s="19" t="n">
        <f aca="false">IF($C9="","",IF($B$4&amp;$B$5="",SUMIFS('المبيعات اليومية'!$I$9:$I$308,'المبيعات اليومية'!$B$9:$B$308,$C9),SUMIFS('المبيعات اليومية'!$I$9:$I$308,'المبيعات اليومية'!$B$9:$B$308,$C9,'المبيعات اليومية'!$A$9:$A$308,"&gt;="&amp;IF($B$4="",0,$B$4),'المبيعات اليومية'!$A$9:$A$308,"&lt;="&amp;IF($B$5="",2958465,$B$5))))</f>
        <v>378.68</v>
      </c>
      <c r="H9" s="20" t="n">
        <f aca="false">IF($C9="","",IF($B$4&amp;$B$5="",SUMIFS('المبيعات اليومية'!$J$9:$J$308,'المبيعات اليومية'!$B$9:$B$308,$C9),SUMIFS('المبيعات اليومية'!$J$9:$J$308,'المبيعات اليومية'!$B$9:$B$308,$C9,'المبيعات اليومية'!$A$9:$A$308,"&gt;="&amp;IF($B$4="",0,$B$4),'المبيعات اليومية'!$A$9:$A$308,"&lt;="&amp;IF($B$5="",2958465,$B$5))))</f>
        <v>2903.18</v>
      </c>
      <c r="I9" s="29" t="n">
        <f aca="false">IF(OR($C9="",$H$108=0),"",H9/$H$108)</f>
        <v>0.211352792406623</v>
      </c>
      <c r="J9" s="21" t="str">
        <f aca="false">IF(C9="","",IF(D9&gt;0,"نشط","لا يوجد مبيعات"))</f>
        <v>نشط</v>
      </c>
    </row>
    <row r="10" customFormat="false" ht="15" hidden="false" customHeight="false" outlineLevel="0" collapsed="false">
      <c r="A10" s="21" t="n">
        <f aca="false">IF(C10="","",3)</f>
        <v>3</v>
      </c>
      <c r="B10" s="21" t="n">
        <f aca="false">IF('دليل العملاء'!$B$6="","",'دليل العملاء'!$A$6)</f>
        <v>103</v>
      </c>
      <c r="C10" s="4" t="str">
        <f aca="false">IF('دليل العملاء'!$B$6="","",'دليل العملاء'!$B$6)</f>
        <v>شركة التخصص الذهبي -المنار</v>
      </c>
      <c r="D10" s="27" t="n">
        <f aca="false">IF($C10="","",IF($B$4&amp;$B$5="",COUNTIFS('المبيعات اليومية'!$B$9:$B$308,$C10),COUNTIFS('المبيعات اليومية'!$B$9:$B$308,$C10,'المبيعات اليومية'!$A$9:$A$308,"&gt;="&amp;IF($B$4="",0,$B$4),'المبيعات اليومية'!$A$9:$A$308,"&lt;="&amp;IF($B$5="",2958465,$B$5))))</f>
        <v>0</v>
      </c>
      <c r="E10" s="28" t="n">
        <f aca="false">IF($C10="","",IF($B$4&amp;$B$5="",SUMIFS('المبيعات اليومية'!$E$9:$E$308,'المبيعات اليومية'!$B$9:$B$308,$C10),SUMIFS('المبيعات اليومية'!$E$9:$E$308,'المبيعات اليومية'!$B$9:$B$308,$C10,'المبيعات اليومية'!$A$9:$A$308,"&gt;="&amp;IF($B$4="",0,$B$4),'المبيعات اليومية'!$A$9:$A$308,"&lt;="&amp;IF($B$5="",2958465,$B$5))))</f>
        <v>0</v>
      </c>
      <c r="F10" s="19" t="n">
        <f aca="false">IF($C10="","",IF($B$4&amp;$B$5="",SUMIFS('المبيعات اليومية'!$H$9:$H$308,'المبيعات اليومية'!$B$9:$B$308,$C10),SUMIFS('المبيعات اليومية'!$H$9:$H$308,'المبيعات اليومية'!$B$9:$B$308,$C10,'المبيعات اليومية'!$A$9:$A$308,"&gt;="&amp;IF($B$4="",0,$B$4),'المبيعات اليومية'!$A$9:$A$308,"&lt;="&amp;IF($B$5="",2958465,$B$5))))</f>
        <v>0</v>
      </c>
      <c r="G10" s="19" t="n">
        <f aca="false">IF($C10="","",IF($B$4&amp;$B$5="",SUMIFS('المبيعات اليومية'!$I$9:$I$308,'المبيعات اليومية'!$B$9:$B$308,$C10),SUMIFS('المبيعات اليومية'!$I$9:$I$308,'المبيعات اليومية'!$B$9:$B$308,$C10,'المبيعات اليومية'!$A$9:$A$308,"&gt;="&amp;IF($B$4="",0,$B$4),'المبيعات اليومية'!$A$9:$A$308,"&lt;="&amp;IF($B$5="",2958465,$B$5))))</f>
        <v>0</v>
      </c>
      <c r="H10" s="20" t="n">
        <f aca="false">IF($C10="","",IF($B$4&amp;$B$5="",SUMIFS('المبيعات اليومية'!$J$9:$J$308,'المبيعات اليومية'!$B$9:$B$308,$C10),SUMIFS('المبيعات اليومية'!$J$9:$J$308,'المبيعات اليومية'!$B$9:$B$308,$C10,'المبيعات اليومية'!$A$9:$A$308,"&gt;="&amp;IF($B$4="",0,$B$4),'المبيعات اليومية'!$A$9:$A$308,"&lt;="&amp;IF($B$5="",2958465,$B$5))))</f>
        <v>0</v>
      </c>
      <c r="I10" s="29" t="n">
        <f aca="false">IF(OR($C10="",$H$108=0),"",H10/$H$108)</f>
        <v>0</v>
      </c>
      <c r="J10" s="21" t="str">
        <f aca="false">IF(C10="","",IF(D10&gt;0,"نشط","لا يوجد مبيعات"))</f>
        <v>لا يوجد مبيعات</v>
      </c>
    </row>
    <row r="11" customFormat="false" ht="15" hidden="false" customHeight="false" outlineLevel="0" collapsed="false">
      <c r="A11" s="21" t="n">
        <f aca="false">IF(C11="","",4)</f>
        <v>4</v>
      </c>
      <c r="B11" s="21" t="n">
        <f aca="false">IF('دليل العملاء'!$B$7="","",'دليل العملاء'!$A$7)</f>
        <v>104</v>
      </c>
      <c r="C11" s="4" t="str">
        <f aca="false">IF('دليل العملاء'!$B$7="","",'دليل العملاء'!$B$7)</f>
        <v>شركة التخصص الذهبي -الصفا</v>
      </c>
      <c r="D11" s="27" t="n">
        <f aca="false">IF($C11="","",IF($B$4&amp;$B$5="",COUNTIFS('المبيعات اليومية'!$B$9:$B$308,$C11),COUNTIFS('المبيعات اليومية'!$B$9:$B$308,$C11,'المبيعات اليومية'!$A$9:$A$308,"&gt;="&amp;IF($B$4="",0,$B$4),'المبيعات اليومية'!$A$9:$A$308,"&lt;="&amp;IF($B$5="",2958465,$B$5))))</f>
        <v>1</v>
      </c>
      <c r="E11" s="28" t="n">
        <f aca="false">IF($C11="","",IF($B$4&amp;$B$5="",SUMIFS('المبيعات اليومية'!$E$9:$E$308,'المبيعات اليومية'!$B$9:$B$308,$C11),SUMIFS('المبيعات اليومية'!$E$9:$E$308,'المبيعات اليومية'!$B$9:$B$308,$C11,'المبيعات اليومية'!$A$9:$A$308,"&gt;="&amp;IF($B$4="",0,$B$4),'المبيعات اليومية'!$A$9:$A$308,"&lt;="&amp;IF($B$5="",2958465,$B$5))))</f>
        <v>150</v>
      </c>
      <c r="F11" s="19" t="n">
        <f aca="false">IF($C11="","",IF($B$4&amp;$B$5="",SUMIFS('المبيعات اليومية'!$H$9:$H$308,'المبيعات اليومية'!$B$9:$B$308,$C11),SUMIFS('المبيعات اليومية'!$H$9:$H$308,'المبيعات اليومية'!$B$9:$B$308,$C11,'المبيعات اليومية'!$A$9:$A$308,"&gt;="&amp;IF($B$4="",0,$B$4),'المبيعات اليومية'!$A$9:$A$308,"&lt;="&amp;IF($B$5="",2958465,$B$5))))</f>
        <v>750</v>
      </c>
      <c r="G11" s="19" t="n">
        <f aca="false">IF($C11="","",IF($B$4&amp;$B$5="",SUMIFS('المبيعات اليومية'!$I$9:$I$308,'المبيعات اليومية'!$B$9:$B$308,$C11),SUMIFS('المبيعات اليومية'!$I$9:$I$308,'المبيعات اليومية'!$B$9:$B$308,$C11,'المبيعات اليومية'!$A$9:$A$308,"&gt;="&amp;IF($B$4="",0,$B$4),'المبيعات اليومية'!$A$9:$A$308,"&lt;="&amp;IF($B$5="",2958465,$B$5))))</f>
        <v>112.5</v>
      </c>
      <c r="H11" s="20" t="n">
        <f aca="false">IF($C11="","",IF($B$4&amp;$B$5="",SUMIFS('المبيعات اليومية'!$J$9:$J$308,'المبيعات اليومية'!$B$9:$B$308,$C11),SUMIFS('المبيعات اليومية'!$J$9:$J$308,'المبيعات اليومية'!$B$9:$B$308,$C11,'المبيعات اليومية'!$A$9:$A$308,"&gt;="&amp;IF($B$4="",0,$B$4),'المبيعات اليومية'!$A$9:$A$308,"&lt;="&amp;IF($B$5="",2958465,$B$5))))</f>
        <v>862.5</v>
      </c>
      <c r="I11" s="29" t="n">
        <f aca="false">IF(OR($C11="",$H$108=0),"",H11/$H$108)</f>
        <v>0.0627903827701734</v>
      </c>
      <c r="J11" s="21" t="str">
        <f aca="false">IF(C11="","",IF(D11&gt;0,"نشط","لا يوجد مبيعات"))</f>
        <v>نشط</v>
      </c>
    </row>
    <row r="12" customFormat="false" ht="15" hidden="false" customHeight="false" outlineLevel="0" collapsed="false">
      <c r="A12" s="21" t="n">
        <f aca="false">IF(C12="","",5)</f>
        <v>5</v>
      </c>
      <c r="B12" s="21" t="n">
        <f aca="false">IF('دليل العملاء'!$B$8="","",'دليل العملاء'!$A$8)</f>
        <v>105</v>
      </c>
      <c r="C12" s="4" t="str">
        <f aca="false">IF('دليل العملاء'!$B$8="","",'دليل العملاء'!$B$8)</f>
        <v>شركة التخصص الذهبي -الربوه</v>
      </c>
      <c r="D12" s="27" t="n">
        <f aca="false">IF($C12="","",IF($B$4&amp;$B$5="",COUNTIFS('المبيعات اليومية'!$B$9:$B$308,$C12),COUNTIFS('المبيعات اليومية'!$B$9:$B$308,$C12,'المبيعات اليومية'!$A$9:$A$308,"&gt;="&amp;IF($B$4="",0,$B$4),'المبيعات اليومية'!$A$9:$A$308,"&lt;="&amp;IF($B$5="",2958465,$B$5))))</f>
        <v>1</v>
      </c>
      <c r="E12" s="28" t="n">
        <f aca="false">IF($C12="","",IF($B$4&amp;$B$5="",SUMIFS('المبيعات اليومية'!$E$9:$E$308,'المبيعات اليومية'!$B$9:$B$308,$C12),SUMIFS('المبيعات اليومية'!$E$9:$E$308,'المبيعات اليومية'!$B$9:$B$308,$C12,'المبيعات اليومية'!$A$9:$A$308,"&gt;="&amp;IF($B$4="",0,$B$4),'المبيعات اليومية'!$A$9:$A$308,"&lt;="&amp;IF($B$5="",2958465,$B$5))))</f>
        <v>470</v>
      </c>
      <c r="F12" s="19" t="n">
        <f aca="false">IF($C12="","",IF($B$4&amp;$B$5="",SUMIFS('المبيعات اليومية'!$H$9:$H$308,'المبيعات اليومية'!$B$9:$B$308,$C12),SUMIFS('المبيعات اليومية'!$H$9:$H$308,'المبيعات اليومية'!$B$9:$B$308,$C12,'المبيعات اليومية'!$A$9:$A$308,"&gt;="&amp;IF($B$4="",0,$B$4),'المبيعات اليومية'!$A$9:$A$308,"&lt;="&amp;IF($B$5="",2958465,$B$5))))</f>
        <v>2115</v>
      </c>
      <c r="G12" s="19" t="n">
        <f aca="false">IF($C12="","",IF($B$4&amp;$B$5="",SUMIFS('المبيعات اليومية'!$I$9:$I$308,'المبيعات اليومية'!$B$9:$B$308,$C12),SUMIFS('المبيعات اليومية'!$I$9:$I$308,'المبيعات اليومية'!$B$9:$B$308,$C12,'المبيعات اليومية'!$A$9:$A$308,"&gt;="&amp;IF($B$4="",0,$B$4),'المبيعات اليومية'!$A$9:$A$308,"&lt;="&amp;IF($B$5="",2958465,$B$5))))</f>
        <v>317.25</v>
      </c>
      <c r="H12" s="20" t="n">
        <f aca="false">IF($C12="","",IF($B$4&amp;$B$5="",SUMIFS('المبيعات اليومية'!$J$9:$J$308,'المبيعات اليومية'!$B$9:$B$308,$C12),SUMIFS('المبيعات اليومية'!$J$9:$J$308,'المبيعات اليومية'!$B$9:$B$308,$C12,'المبيعات اليومية'!$A$9:$A$308,"&gt;="&amp;IF($B$4="",0,$B$4),'المبيعات اليومية'!$A$9:$A$308,"&lt;="&amp;IF($B$5="",2958465,$B$5))))</f>
        <v>2432.25</v>
      </c>
      <c r="I12" s="29" t="n">
        <f aca="false">IF(OR($C12="",$H$108=0),"",H12/$H$108)</f>
        <v>0.177068879411889</v>
      </c>
      <c r="J12" s="21" t="str">
        <f aca="false">IF(C12="","",IF(D12&gt;0,"نشط","لا يوجد مبيعات"))</f>
        <v>نشط</v>
      </c>
    </row>
    <row r="13" customFormat="false" ht="15" hidden="false" customHeight="false" outlineLevel="0" collapsed="false">
      <c r="A13" s="21" t="n">
        <f aca="false">IF(C13="","",6)</f>
        <v>6</v>
      </c>
      <c r="B13" s="21" t="n">
        <f aca="false">IF('دليل العملاء'!$B$9="","",'دليل العملاء'!$A$9)</f>
        <v>106</v>
      </c>
      <c r="C13" s="4" t="str">
        <f aca="false">IF('دليل العملاء'!$B$9="","",'دليل العملاء'!$B$9)</f>
        <v>شركة التخصص الذهبي -الرحاب</v>
      </c>
      <c r="D13" s="27" t="n">
        <f aca="false">IF($C13="","",IF($B$4&amp;$B$5="",COUNTIFS('المبيعات اليومية'!$B$9:$B$308,$C13),COUNTIFS('المبيعات اليومية'!$B$9:$B$308,$C13,'المبيعات اليومية'!$A$9:$A$308,"&gt;="&amp;IF($B$4="",0,$B$4),'المبيعات اليومية'!$A$9:$A$308,"&lt;="&amp;IF($B$5="",2958465,$B$5))))</f>
        <v>0</v>
      </c>
      <c r="E13" s="28" t="n">
        <f aca="false">IF($C13="","",IF($B$4&amp;$B$5="",SUMIFS('المبيعات اليومية'!$E$9:$E$308,'المبيعات اليومية'!$B$9:$B$308,$C13),SUMIFS('المبيعات اليومية'!$E$9:$E$308,'المبيعات اليومية'!$B$9:$B$308,$C13,'المبيعات اليومية'!$A$9:$A$308,"&gt;="&amp;IF($B$4="",0,$B$4),'المبيعات اليومية'!$A$9:$A$308,"&lt;="&amp;IF($B$5="",2958465,$B$5))))</f>
        <v>0</v>
      </c>
      <c r="F13" s="19" t="n">
        <f aca="false">IF($C13="","",IF($B$4&amp;$B$5="",SUMIFS('المبيعات اليومية'!$H$9:$H$308,'المبيعات اليومية'!$B$9:$B$308,$C13),SUMIFS('المبيعات اليومية'!$H$9:$H$308,'المبيعات اليومية'!$B$9:$B$308,$C13,'المبيعات اليومية'!$A$9:$A$308,"&gt;="&amp;IF($B$4="",0,$B$4),'المبيعات اليومية'!$A$9:$A$308,"&lt;="&amp;IF($B$5="",2958465,$B$5))))</f>
        <v>0</v>
      </c>
      <c r="G13" s="19" t="n">
        <f aca="false">IF($C13="","",IF($B$4&amp;$B$5="",SUMIFS('المبيعات اليومية'!$I$9:$I$308,'المبيعات اليومية'!$B$9:$B$308,$C13),SUMIFS('المبيعات اليومية'!$I$9:$I$308,'المبيعات اليومية'!$B$9:$B$308,$C13,'المبيعات اليومية'!$A$9:$A$308,"&gt;="&amp;IF($B$4="",0,$B$4),'المبيعات اليومية'!$A$9:$A$308,"&lt;="&amp;IF($B$5="",2958465,$B$5))))</f>
        <v>0</v>
      </c>
      <c r="H13" s="20" t="n">
        <f aca="false">IF($C13="","",IF($B$4&amp;$B$5="",SUMIFS('المبيعات اليومية'!$J$9:$J$308,'المبيعات اليومية'!$B$9:$B$308,$C13),SUMIFS('المبيعات اليومية'!$J$9:$J$308,'المبيعات اليومية'!$B$9:$B$308,$C13,'المبيعات اليومية'!$A$9:$A$308,"&gt;="&amp;IF($B$4="",0,$B$4),'المبيعات اليومية'!$A$9:$A$308,"&lt;="&amp;IF($B$5="",2958465,$B$5))))</f>
        <v>0</v>
      </c>
      <c r="I13" s="29" t="n">
        <f aca="false">IF(OR($C13="",$H$108=0),"",H13/$H$108)</f>
        <v>0</v>
      </c>
      <c r="J13" s="21" t="str">
        <f aca="false">IF(C13="","",IF(D13&gt;0,"نشط","لا يوجد مبيعات"))</f>
        <v>لا يوجد مبيعات</v>
      </c>
    </row>
    <row r="14" customFormat="false" ht="15" hidden="false" customHeight="false" outlineLevel="0" collapsed="false">
      <c r="A14" s="21" t="n">
        <f aca="false">IF(C14="","",7)</f>
        <v>7</v>
      </c>
      <c r="B14" s="21" t="n">
        <f aca="false">IF('دليل العملاء'!$B$10="","",'دليل العملاء'!$A$10)</f>
        <v>107</v>
      </c>
      <c r="C14" s="4" t="str">
        <f aca="false">IF('دليل العملاء'!$B$10="","",'دليل العملاء'!$B$10)</f>
        <v>عبر الإقليم</v>
      </c>
      <c r="D14" s="27" t="n">
        <f aca="false">IF($C14="","",IF($B$4&amp;$B$5="",COUNTIFS('المبيعات اليومية'!$B$9:$B$308,$C14),COUNTIFS('المبيعات اليومية'!$B$9:$B$308,$C14,'المبيعات اليومية'!$A$9:$A$308,"&gt;="&amp;IF($B$4="",0,$B$4),'المبيعات اليومية'!$A$9:$A$308,"&lt;="&amp;IF($B$5="",2958465,$B$5))))</f>
        <v>1</v>
      </c>
      <c r="E14" s="28" t="n">
        <f aca="false">IF($C14="","",IF($B$4&amp;$B$5="",SUMIFS('المبيعات اليومية'!$E$9:$E$308,'المبيعات اليومية'!$B$9:$B$308,$C14),SUMIFS('المبيعات اليومية'!$E$9:$E$308,'المبيعات اليومية'!$B$9:$B$308,$C14,'المبيعات اليومية'!$A$9:$A$308,"&gt;="&amp;IF($B$4="",0,$B$4),'المبيعات اليومية'!$A$9:$A$308,"&lt;="&amp;IF($B$5="",2958465,$B$5))))</f>
        <v>200</v>
      </c>
      <c r="F14" s="19" t="n">
        <f aca="false">IF($C14="","",IF($B$4&amp;$B$5="",SUMIFS('المبيعات اليومية'!$H$9:$H$308,'المبيعات اليومية'!$B$9:$B$308,$C14),SUMIFS('المبيعات اليومية'!$H$9:$H$308,'المبيعات اليومية'!$B$9:$B$308,$C14,'المبيعات اليومية'!$A$9:$A$308,"&gt;="&amp;IF($B$4="",0,$B$4),'المبيعات اليومية'!$A$9:$A$308,"&lt;="&amp;IF($B$5="",2958465,$B$5))))</f>
        <v>1600</v>
      </c>
      <c r="G14" s="19" t="n">
        <f aca="false">IF($C14="","",IF($B$4&amp;$B$5="",SUMIFS('المبيعات اليومية'!$I$9:$I$308,'المبيعات اليومية'!$B$9:$B$308,$C14),SUMIFS('المبيعات اليومية'!$I$9:$I$308,'المبيعات اليومية'!$B$9:$B$308,$C14,'المبيعات اليومية'!$A$9:$A$308,"&gt;="&amp;IF($B$4="",0,$B$4),'المبيعات اليومية'!$A$9:$A$308,"&lt;="&amp;IF($B$5="",2958465,$B$5))))</f>
        <v>240</v>
      </c>
      <c r="H14" s="20" t="n">
        <f aca="false">IF($C14="","",IF($B$4&amp;$B$5="",SUMIFS('المبيعات اليومية'!$J$9:$J$308,'المبيعات اليومية'!$B$9:$B$308,$C14),SUMIFS('المبيعات اليومية'!$J$9:$J$308,'المبيعات اليومية'!$B$9:$B$308,$C14,'المبيعات اليومية'!$A$9:$A$308,"&gt;="&amp;IF($B$4="",0,$B$4),'المبيعات اليومية'!$A$9:$A$308,"&lt;="&amp;IF($B$5="",2958465,$B$5))))</f>
        <v>1840</v>
      </c>
      <c r="I14" s="29" t="n">
        <f aca="false">IF(OR($C14="",$H$108=0),"",H14/$H$108)</f>
        <v>0.13395281657637</v>
      </c>
      <c r="J14" s="21" t="str">
        <f aca="false">IF(C14="","",IF(D14&gt;0,"نشط","لا يوجد مبيعات"))</f>
        <v>نشط</v>
      </c>
    </row>
    <row r="15" customFormat="false" ht="15" hidden="false" customHeight="false" outlineLevel="0" collapsed="false">
      <c r="A15" s="21" t="n">
        <f aca="false">IF(C15="","",8)</f>
        <v>8</v>
      </c>
      <c r="B15" s="21" t="n">
        <f aca="false">IF('دليل العملاء'!$B$11="","",'دليل العملاء'!$A$11)</f>
        <v>108</v>
      </c>
      <c r="C15" s="4" t="str">
        <f aca="false">IF('دليل العملاء'!$B$11="","",'دليل العملاء'!$B$11)</f>
        <v>حقيبة الفواكه</v>
      </c>
      <c r="D15" s="27" t="n">
        <f aca="false">IF($C15="","",IF($B$4&amp;$B$5="",COUNTIFS('المبيعات اليومية'!$B$9:$B$308,$C15),COUNTIFS('المبيعات اليومية'!$B$9:$B$308,$C15,'المبيعات اليومية'!$A$9:$A$308,"&gt;="&amp;IF($B$4="",0,$B$4),'المبيعات اليومية'!$A$9:$A$308,"&lt;="&amp;IF($B$5="",2958465,$B$5))))</f>
        <v>1</v>
      </c>
      <c r="E15" s="28" t="n">
        <f aca="false">IF($C15="","",IF($B$4&amp;$B$5="",SUMIFS('المبيعات اليومية'!$E$9:$E$308,'المبيعات اليومية'!$B$9:$B$308,$C15),SUMIFS('المبيعات اليومية'!$E$9:$E$308,'المبيعات اليومية'!$B$9:$B$308,$C15,'المبيعات اليومية'!$A$9:$A$308,"&gt;="&amp;IF($B$4="",0,$B$4),'المبيعات اليومية'!$A$9:$A$308,"&lt;="&amp;IF($B$5="",2958465,$B$5))))</f>
        <v>150</v>
      </c>
      <c r="F15" s="19" t="n">
        <f aca="false">IF($C15="","",IF($B$4&amp;$B$5="",SUMIFS('المبيعات اليومية'!$H$9:$H$308,'المبيعات اليومية'!$B$9:$B$308,$C15),SUMIFS('المبيعات اليومية'!$H$9:$H$308,'المبيعات اليومية'!$B$9:$B$308,$C15,'المبيعات اليومية'!$A$9:$A$308,"&gt;="&amp;IF($B$4="",0,$B$4),'المبيعات اليومية'!$A$9:$A$308,"&lt;="&amp;IF($B$5="",2958465,$B$5))))</f>
        <v>1125</v>
      </c>
      <c r="G15" s="19" t="n">
        <f aca="false">IF($C15="","",IF($B$4&amp;$B$5="",SUMIFS('المبيعات اليومية'!$I$9:$I$308,'المبيعات اليومية'!$B$9:$B$308,$C15),SUMIFS('المبيعات اليومية'!$I$9:$I$308,'المبيعات اليومية'!$B$9:$B$308,$C15,'المبيعات اليومية'!$A$9:$A$308,"&gt;="&amp;IF($B$4="",0,$B$4),'المبيعات اليومية'!$A$9:$A$308,"&lt;="&amp;IF($B$5="",2958465,$B$5))))</f>
        <v>168.75</v>
      </c>
      <c r="H15" s="20" t="n">
        <f aca="false">IF($C15="","",IF($B$4&amp;$B$5="",SUMIFS('المبيعات اليومية'!$J$9:$J$308,'المبيعات اليومية'!$B$9:$B$308,$C15),SUMIFS('المبيعات اليومية'!$J$9:$J$308,'المبيعات اليومية'!$B$9:$B$308,$C15,'المبيعات اليومية'!$A$9:$A$308,"&gt;="&amp;IF($B$4="",0,$B$4),'المبيعات اليومية'!$A$9:$A$308,"&lt;="&amp;IF($B$5="",2958465,$B$5))))</f>
        <v>1293.75</v>
      </c>
      <c r="I15" s="29" t="n">
        <f aca="false">IF(OR($C15="",$H$108=0),"",H15/$H$108)</f>
        <v>0.0941855741552601</v>
      </c>
      <c r="J15" s="21" t="str">
        <f aca="false">IF(C15="","",IF(D15&gt;0,"نشط","لا يوجد مبيعات"))</f>
        <v>نشط</v>
      </c>
    </row>
    <row r="16" customFormat="false" ht="15" hidden="false" customHeight="false" outlineLevel="0" collapsed="false">
      <c r="A16" s="21" t="n">
        <f aca="false">IF(C16="","",9)</f>
        <v>9</v>
      </c>
      <c r="B16" s="21" t="n">
        <f aca="false">IF('دليل العملاء'!$B$12="","",'دليل العملاء'!$A$12)</f>
        <v>109</v>
      </c>
      <c r="C16" s="4" t="str">
        <f aca="false">IF('دليل العملاء'!$B$12="","",'دليل العملاء'!$B$12)</f>
        <v>فيض الكرم</v>
      </c>
      <c r="D16" s="27" t="n">
        <f aca="false">IF($C16="","",IF($B$4&amp;$B$5="",COUNTIFS('المبيعات اليومية'!$B$9:$B$308,$C16),COUNTIFS('المبيعات اليومية'!$B$9:$B$308,$C16,'المبيعات اليومية'!$A$9:$A$308,"&gt;="&amp;IF($B$4="",0,$B$4),'المبيعات اليومية'!$A$9:$A$308,"&lt;="&amp;IF($B$5="",2958465,$B$5))))</f>
        <v>1</v>
      </c>
      <c r="E16" s="28" t="n">
        <f aca="false">IF($C16="","",IF($B$4&amp;$B$5="",SUMIFS('المبيعات اليومية'!$E$9:$E$308,'المبيعات اليومية'!$B$9:$B$308,$C16),SUMIFS('المبيعات اليومية'!$E$9:$E$308,'المبيعات اليومية'!$B$9:$B$308,$C16,'المبيعات اليومية'!$A$9:$A$308,"&gt;="&amp;IF($B$4="",0,$B$4),'المبيعات اليومية'!$A$9:$A$308,"&lt;="&amp;IF($B$5="",2958465,$B$5))))</f>
        <v>80</v>
      </c>
      <c r="F16" s="19" t="n">
        <f aca="false">IF($C16="","",IF($B$4&amp;$B$5="",SUMIFS('المبيعات اليومية'!$H$9:$H$308,'المبيعات اليومية'!$B$9:$B$308,$C16),SUMIFS('المبيعات اليومية'!$H$9:$H$308,'المبيعات اليومية'!$B$9:$B$308,$C16,'المبيعات اليومية'!$A$9:$A$308,"&gt;="&amp;IF($B$4="",0,$B$4),'المبيعات اليومية'!$A$9:$A$308,"&lt;="&amp;IF($B$5="",2958465,$B$5))))</f>
        <v>1000</v>
      </c>
      <c r="G16" s="19" t="n">
        <f aca="false">IF($C16="","",IF($B$4&amp;$B$5="",SUMIFS('المبيعات اليومية'!$I$9:$I$308,'المبيعات اليومية'!$B$9:$B$308,$C16),SUMIFS('المبيعات اليومية'!$I$9:$I$308,'المبيعات اليومية'!$B$9:$B$308,$C16,'المبيعات اليومية'!$A$9:$A$308,"&gt;="&amp;IF($B$4="",0,$B$4),'المبيعات اليومية'!$A$9:$A$308,"&lt;="&amp;IF($B$5="",2958465,$B$5))))</f>
        <v>150</v>
      </c>
      <c r="H16" s="20" t="n">
        <f aca="false">IF($C16="","",IF($B$4&amp;$B$5="",SUMIFS('المبيعات اليومية'!$J$9:$J$308,'المبيعات اليومية'!$B$9:$B$308,$C16),SUMIFS('المبيعات اليومية'!$J$9:$J$308,'المبيعات اليومية'!$B$9:$B$308,$C16,'المبيعات اليومية'!$A$9:$A$308,"&gt;="&amp;IF($B$4="",0,$B$4),'المبيعات اليومية'!$A$9:$A$308,"&lt;="&amp;IF($B$5="",2958465,$B$5))))</f>
        <v>1150</v>
      </c>
      <c r="I16" s="29" t="n">
        <f aca="false">IF(OR($C16="",$H$108=0),"",H16/$H$108)</f>
        <v>0.0837205103602312</v>
      </c>
      <c r="J16" s="21" t="str">
        <f aca="false">IF(C16="","",IF(D16&gt;0,"نشط","لا يوجد مبيعات"))</f>
        <v>نشط</v>
      </c>
    </row>
    <row r="17" customFormat="false" ht="15" hidden="false" customHeight="false" outlineLevel="0" collapsed="false">
      <c r="A17" s="21" t="n">
        <f aca="false">IF(C17="","",10)</f>
        <v>10</v>
      </c>
      <c r="B17" s="21" t="n">
        <f aca="false">IF('دليل العملاء'!$B$13="","",'دليل العملاء'!$A$13)</f>
        <v>110</v>
      </c>
      <c r="C17" s="4" t="str">
        <f aca="false">IF('دليل العملاء'!$B$13="","",'دليل العملاء'!$B$13)</f>
        <v>غصون الفاكهه</v>
      </c>
      <c r="D17" s="27" t="n">
        <f aca="false">IF($C17="","",IF($B$4&amp;$B$5="",COUNTIFS('المبيعات اليومية'!$B$9:$B$308,$C17),COUNTIFS('المبيعات اليومية'!$B$9:$B$308,$C17,'المبيعات اليومية'!$A$9:$A$308,"&gt;="&amp;IF($B$4="",0,$B$4),'المبيعات اليومية'!$A$9:$A$308,"&lt;="&amp;IF($B$5="",2958465,$B$5))))</f>
        <v>1</v>
      </c>
      <c r="E17" s="28" t="n">
        <f aca="false">IF($C17="","",IF($B$4&amp;$B$5="",SUMIFS('المبيعات اليومية'!$E$9:$E$308,'المبيعات اليومية'!$B$9:$B$308,$C17),SUMIFS('المبيعات اليومية'!$E$9:$E$308,'المبيعات اليومية'!$B$9:$B$308,$C17,'المبيعات اليومية'!$A$9:$A$308,"&gt;="&amp;IF($B$4="",0,$B$4),'المبيعات اليومية'!$A$9:$A$308,"&lt;="&amp;IF($B$5="",2958465,$B$5))))</f>
        <v>350</v>
      </c>
      <c r="F17" s="19" t="n">
        <f aca="false">IF($C17="","",IF($B$4&amp;$B$5="",SUMIFS('المبيعات اليومية'!$H$9:$H$308,'المبيعات اليومية'!$B$9:$B$308,$C17),SUMIFS('المبيعات اليومية'!$H$9:$H$308,'المبيعات اليومية'!$B$9:$B$308,$C17,'المبيعات اليومية'!$A$9:$A$308,"&gt;="&amp;IF($B$4="",0,$B$4),'المبيعات اليومية'!$A$9:$A$308,"&lt;="&amp;IF($B$5="",2958465,$B$5))))</f>
        <v>1750</v>
      </c>
      <c r="G17" s="19" t="n">
        <f aca="false">IF($C17="","",IF($B$4&amp;$B$5="",SUMIFS('المبيعات اليومية'!$I$9:$I$308,'المبيعات اليومية'!$B$9:$B$308,$C17),SUMIFS('المبيعات اليومية'!$I$9:$I$308,'المبيعات اليومية'!$B$9:$B$308,$C17,'المبيعات اليومية'!$A$9:$A$308,"&gt;="&amp;IF($B$4="",0,$B$4),'المبيعات اليومية'!$A$9:$A$308,"&lt;="&amp;IF($B$5="",2958465,$B$5))))</f>
        <v>262.5</v>
      </c>
      <c r="H17" s="20" t="n">
        <f aca="false">IF($C17="","",IF($B$4&amp;$B$5="",SUMIFS('المبيعات اليومية'!$J$9:$J$308,'المبيعات اليومية'!$B$9:$B$308,$C17),SUMIFS('المبيعات اليومية'!$J$9:$J$308,'المبيعات اليومية'!$B$9:$B$308,$C17,'المبيعات اليومية'!$A$9:$A$308,"&gt;="&amp;IF($B$4="",0,$B$4),'المبيعات اليومية'!$A$9:$A$308,"&lt;="&amp;IF($B$5="",2958465,$B$5))))</f>
        <v>2012.5</v>
      </c>
      <c r="I17" s="29" t="n">
        <f aca="false">IF(OR($C17="",$H$108=0),"",H17/$H$108)</f>
        <v>0.146510893130405</v>
      </c>
      <c r="J17" s="21" t="str">
        <f aca="false">IF(C17="","",IF(D17&gt;0,"نشط","لا يوجد مبيعات"))</f>
        <v>نشط</v>
      </c>
    </row>
    <row r="18" customFormat="false" ht="15" hidden="false" customHeight="false" outlineLevel="0" collapsed="false">
      <c r="A18" s="21" t="n">
        <f aca="false">IF(C18="","",11)</f>
        <v>11</v>
      </c>
      <c r="B18" s="21" t="n">
        <f aca="false">IF('دليل العملاء'!$B$14="","",'دليل العملاء'!$A$14)</f>
        <v>111</v>
      </c>
      <c r="C18" s="4" t="str">
        <f aca="false">IF('دليل العملاء'!$B$14="","",'دليل العملاء'!$B$14)</f>
        <v>نقاوه بس</v>
      </c>
      <c r="D18" s="27" t="n">
        <f aca="false">IF($C18="","",IF($B$4&amp;$B$5="",COUNTIFS('المبيعات اليومية'!$B$9:$B$308,$C18),COUNTIFS('المبيعات اليومية'!$B$9:$B$308,$C18,'المبيعات اليومية'!$A$9:$A$308,"&gt;="&amp;IF($B$4="",0,$B$4),'المبيعات اليومية'!$A$9:$A$308,"&lt;="&amp;IF($B$5="",2958465,$B$5))))</f>
        <v>1</v>
      </c>
      <c r="E18" s="28" t="n">
        <f aca="false">IF($C18="","",IF($B$4&amp;$B$5="",SUMIFS('المبيعات اليومية'!$E$9:$E$308,'المبيعات اليومية'!$B$9:$B$308,$C18),SUMIFS('المبيعات اليومية'!$E$9:$E$308,'المبيعات اليومية'!$B$9:$B$308,$C18,'المبيعات اليومية'!$A$9:$A$308,"&gt;="&amp;IF($B$4="",0,$B$4),'المبيعات اليومية'!$A$9:$A$308,"&lt;="&amp;IF($B$5="",2958465,$B$5))))</f>
        <v>120</v>
      </c>
      <c r="F18" s="19" t="n">
        <f aca="false">IF($C18="","",IF($B$4&amp;$B$5="",SUMIFS('المبيعات اليومية'!$H$9:$H$308,'المبيعات اليومية'!$B$9:$B$308,$C18),SUMIFS('المبيعات اليومية'!$H$9:$H$308,'المبيعات اليومية'!$B$9:$B$308,$C18,'المبيعات اليومية'!$A$9:$A$308,"&gt;="&amp;IF($B$4="",0,$B$4),'المبيعات اليومية'!$A$9:$A$308,"&lt;="&amp;IF($B$5="",2958465,$B$5))))</f>
        <v>1080</v>
      </c>
      <c r="G18" s="19" t="n">
        <f aca="false">IF($C18="","",IF($B$4&amp;$B$5="",SUMIFS('المبيعات اليومية'!$I$9:$I$308,'المبيعات اليومية'!$B$9:$B$308,$C18),SUMIFS('المبيعات اليومية'!$I$9:$I$308,'المبيعات اليومية'!$B$9:$B$308,$C18,'المبيعات اليومية'!$A$9:$A$308,"&gt;="&amp;IF($B$4="",0,$B$4),'المبيعات اليومية'!$A$9:$A$308,"&lt;="&amp;IF($B$5="",2958465,$B$5))))</f>
        <v>162</v>
      </c>
      <c r="H18" s="20" t="n">
        <f aca="false">IF($C18="","",IF($B$4&amp;$B$5="",SUMIFS('المبيعات اليومية'!$J$9:$J$308,'المبيعات اليومية'!$B$9:$B$308,$C18),SUMIFS('المبيعات اليومية'!$J$9:$J$308,'المبيعات اليومية'!$B$9:$B$308,$C18,'المبيعات اليومية'!$A$9:$A$308,"&gt;="&amp;IF($B$4="",0,$B$4),'المبيعات اليومية'!$A$9:$A$308,"&lt;="&amp;IF($B$5="",2958465,$B$5))))</f>
        <v>1242</v>
      </c>
      <c r="I18" s="29" t="n">
        <f aca="false">IF(OR($C18="",$H$108=0),"",H18/$H$108)</f>
        <v>0.0904181511890497</v>
      </c>
      <c r="J18" s="21" t="str">
        <f aca="false">IF(C18="","",IF(D18&gt;0,"نشط","لا يوجد مبيعات"))</f>
        <v>نشط</v>
      </c>
    </row>
    <row r="19" customFormat="false" ht="15" hidden="false" customHeight="false" outlineLevel="0" collapsed="false">
      <c r="A19" s="21" t="str">
        <f aca="false">IF(C19="","",12)</f>
        <v/>
      </c>
      <c r="B19" s="21" t="str">
        <f aca="false">IF('دليل العملاء'!$B$15="","",'دليل العملاء'!$A$15)</f>
        <v/>
      </c>
      <c r="C19" s="4" t="str">
        <f aca="false">IF('دليل العملاء'!$B$15="","",'دليل العملاء'!$B$15)</f>
        <v/>
      </c>
      <c r="D19" s="27" t="str">
        <f aca="false">IF($C19="","",IF($B$4&amp;$B$5="",COUNTIFS('المبيعات اليومية'!$B$9:$B$308,$C19),COUNTIFS('المبيعات اليومية'!$B$9:$B$308,$C19,'المبيعات اليومية'!$A$9:$A$308,"&gt;="&amp;IF($B$4="",0,$B$4),'المبيعات اليومية'!$A$9:$A$308,"&lt;="&amp;IF($B$5="",2958465,$B$5))))</f>
        <v/>
      </c>
      <c r="E19" s="28" t="str">
        <f aca="false">IF($C19="","",IF($B$4&amp;$B$5="",SUMIFS('المبيعات اليومية'!$E$9:$E$308,'المبيعات اليومية'!$B$9:$B$308,$C19),SUMIFS('المبيعات اليومية'!$E$9:$E$308,'المبيعات اليومية'!$B$9:$B$308,$C19,'المبيعات اليومية'!$A$9:$A$308,"&gt;="&amp;IF($B$4="",0,$B$4),'المبيعات اليومية'!$A$9:$A$308,"&lt;="&amp;IF($B$5="",2958465,$B$5))))</f>
        <v/>
      </c>
      <c r="F19" s="19" t="str">
        <f aca="false">IF($C19="","",IF($B$4&amp;$B$5="",SUMIFS('المبيعات اليومية'!$H$9:$H$308,'المبيعات اليومية'!$B$9:$B$308,$C19),SUMIFS('المبيعات اليومية'!$H$9:$H$308,'المبيعات اليومية'!$B$9:$B$308,$C19,'المبيعات اليومية'!$A$9:$A$308,"&gt;="&amp;IF($B$4="",0,$B$4),'المبيعات اليومية'!$A$9:$A$308,"&lt;="&amp;IF($B$5="",2958465,$B$5))))</f>
        <v/>
      </c>
      <c r="G19" s="19" t="str">
        <f aca="false">IF($C19="","",IF($B$4&amp;$B$5="",SUMIFS('المبيعات اليومية'!$I$9:$I$308,'المبيعات اليومية'!$B$9:$B$308,$C19),SUMIFS('المبيعات اليومية'!$I$9:$I$308,'المبيعات اليومية'!$B$9:$B$308,$C19,'المبيعات اليومية'!$A$9:$A$308,"&gt;="&amp;IF($B$4="",0,$B$4),'المبيعات اليومية'!$A$9:$A$308,"&lt;="&amp;IF($B$5="",2958465,$B$5))))</f>
        <v/>
      </c>
      <c r="H19" s="20" t="str">
        <f aca="false">IF($C19="","",IF($B$4&amp;$B$5="",SUMIFS('المبيعات اليومية'!$J$9:$J$308,'المبيعات اليومية'!$B$9:$B$308,$C19),SUMIFS('المبيعات اليومية'!$J$9:$J$308,'المبيعات اليومية'!$B$9:$B$308,$C19,'المبيعات اليومية'!$A$9:$A$308,"&gt;="&amp;IF($B$4="",0,$B$4),'المبيعات اليومية'!$A$9:$A$308,"&lt;="&amp;IF($B$5="",2958465,$B$5))))</f>
        <v/>
      </c>
      <c r="I19" s="29" t="str">
        <f aca="false">IF(OR($C19="",$H$108=0),"",H19/$H$108)</f>
        <v/>
      </c>
      <c r="J19" s="21" t="str">
        <f aca="false">IF(C19="","",IF(D19&gt;0,"نشط","لا يوجد مبيعات"))</f>
        <v/>
      </c>
    </row>
    <row r="20" customFormat="false" ht="15" hidden="false" customHeight="false" outlineLevel="0" collapsed="false">
      <c r="A20" s="21" t="str">
        <f aca="false">IF(C20="","",13)</f>
        <v/>
      </c>
      <c r="B20" s="21" t="str">
        <f aca="false">IF('دليل العملاء'!$B$16="","",'دليل العملاء'!$A$16)</f>
        <v/>
      </c>
      <c r="C20" s="4" t="str">
        <f aca="false">IF('دليل العملاء'!$B$16="","",'دليل العملاء'!$B$16)</f>
        <v/>
      </c>
      <c r="D20" s="27" t="str">
        <f aca="false">IF($C20="","",IF($B$4&amp;$B$5="",COUNTIFS('المبيعات اليومية'!$B$9:$B$308,$C20),COUNTIFS('المبيعات اليومية'!$B$9:$B$308,$C20,'المبيعات اليومية'!$A$9:$A$308,"&gt;="&amp;IF($B$4="",0,$B$4),'المبيعات اليومية'!$A$9:$A$308,"&lt;="&amp;IF($B$5="",2958465,$B$5))))</f>
        <v/>
      </c>
      <c r="E20" s="28" t="str">
        <f aca="false">IF($C20="","",IF($B$4&amp;$B$5="",SUMIFS('المبيعات اليومية'!$E$9:$E$308,'المبيعات اليومية'!$B$9:$B$308,$C20),SUMIFS('المبيعات اليومية'!$E$9:$E$308,'المبيعات اليومية'!$B$9:$B$308,$C20,'المبيعات اليومية'!$A$9:$A$308,"&gt;="&amp;IF($B$4="",0,$B$4),'المبيعات اليومية'!$A$9:$A$308,"&lt;="&amp;IF($B$5="",2958465,$B$5))))</f>
        <v/>
      </c>
      <c r="F20" s="19" t="str">
        <f aca="false">IF($C20="","",IF($B$4&amp;$B$5="",SUMIFS('المبيعات اليومية'!$H$9:$H$308,'المبيعات اليومية'!$B$9:$B$308,$C20),SUMIFS('المبيعات اليومية'!$H$9:$H$308,'المبيعات اليومية'!$B$9:$B$308,$C20,'المبيعات اليومية'!$A$9:$A$308,"&gt;="&amp;IF($B$4="",0,$B$4),'المبيعات اليومية'!$A$9:$A$308,"&lt;="&amp;IF($B$5="",2958465,$B$5))))</f>
        <v/>
      </c>
      <c r="G20" s="19" t="str">
        <f aca="false">IF($C20="","",IF($B$4&amp;$B$5="",SUMIFS('المبيعات اليومية'!$I$9:$I$308,'المبيعات اليومية'!$B$9:$B$308,$C20),SUMIFS('المبيعات اليومية'!$I$9:$I$308,'المبيعات اليومية'!$B$9:$B$308,$C20,'المبيعات اليومية'!$A$9:$A$308,"&gt;="&amp;IF($B$4="",0,$B$4),'المبيعات اليومية'!$A$9:$A$308,"&lt;="&amp;IF($B$5="",2958465,$B$5))))</f>
        <v/>
      </c>
      <c r="H20" s="20" t="str">
        <f aca="false">IF($C20="","",IF($B$4&amp;$B$5="",SUMIFS('المبيعات اليومية'!$J$9:$J$308,'المبيعات اليومية'!$B$9:$B$308,$C20),SUMIFS('المبيعات اليومية'!$J$9:$J$308,'المبيعات اليومية'!$B$9:$B$308,$C20,'المبيعات اليومية'!$A$9:$A$308,"&gt;="&amp;IF($B$4="",0,$B$4),'المبيعات اليومية'!$A$9:$A$308,"&lt;="&amp;IF($B$5="",2958465,$B$5))))</f>
        <v/>
      </c>
      <c r="I20" s="29" t="str">
        <f aca="false">IF(OR($C20="",$H$108=0),"",H20/$H$108)</f>
        <v/>
      </c>
      <c r="J20" s="21" t="str">
        <f aca="false">IF(C20="","",IF(D20&gt;0,"نشط","لا يوجد مبيعات"))</f>
        <v/>
      </c>
    </row>
    <row r="21" customFormat="false" ht="15" hidden="false" customHeight="false" outlineLevel="0" collapsed="false">
      <c r="A21" s="21" t="str">
        <f aca="false">IF(C21="","",14)</f>
        <v/>
      </c>
      <c r="B21" s="21" t="str">
        <f aca="false">IF('دليل العملاء'!$B$17="","",'دليل العملاء'!$A$17)</f>
        <v/>
      </c>
      <c r="C21" s="4" t="str">
        <f aca="false">IF('دليل العملاء'!$B$17="","",'دليل العملاء'!$B$17)</f>
        <v/>
      </c>
      <c r="D21" s="27" t="str">
        <f aca="false">IF($C21="","",IF($B$4&amp;$B$5="",COUNTIFS('المبيعات اليومية'!$B$9:$B$308,$C21),COUNTIFS('المبيعات اليومية'!$B$9:$B$308,$C21,'المبيعات اليومية'!$A$9:$A$308,"&gt;="&amp;IF($B$4="",0,$B$4),'المبيعات اليومية'!$A$9:$A$308,"&lt;="&amp;IF($B$5="",2958465,$B$5))))</f>
        <v/>
      </c>
      <c r="E21" s="28" t="str">
        <f aca="false">IF($C21="","",IF($B$4&amp;$B$5="",SUMIFS('المبيعات اليومية'!$E$9:$E$308,'المبيعات اليومية'!$B$9:$B$308,$C21),SUMIFS('المبيعات اليومية'!$E$9:$E$308,'المبيعات اليومية'!$B$9:$B$308,$C21,'المبيعات اليومية'!$A$9:$A$308,"&gt;="&amp;IF($B$4="",0,$B$4),'المبيعات اليومية'!$A$9:$A$308,"&lt;="&amp;IF($B$5="",2958465,$B$5))))</f>
        <v/>
      </c>
      <c r="F21" s="19" t="str">
        <f aca="false">IF($C21="","",IF($B$4&amp;$B$5="",SUMIFS('المبيعات اليومية'!$H$9:$H$308,'المبيعات اليومية'!$B$9:$B$308,$C21),SUMIFS('المبيعات اليومية'!$H$9:$H$308,'المبيعات اليومية'!$B$9:$B$308,$C21,'المبيعات اليومية'!$A$9:$A$308,"&gt;="&amp;IF($B$4="",0,$B$4),'المبيعات اليومية'!$A$9:$A$308,"&lt;="&amp;IF($B$5="",2958465,$B$5))))</f>
        <v/>
      </c>
      <c r="G21" s="19" t="str">
        <f aca="false">IF($C21="","",IF($B$4&amp;$B$5="",SUMIFS('المبيعات اليومية'!$I$9:$I$308,'المبيعات اليومية'!$B$9:$B$308,$C21),SUMIFS('المبيعات اليومية'!$I$9:$I$308,'المبيعات اليومية'!$B$9:$B$308,$C21,'المبيعات اليومية'!$A$9:$A$308,"&gt;="&amp;IF($B$4="",0,$B$4),'المبيعات اليومية'!$A$9:$A$308,"&lt;="&amp;IF($B$5="",2958465,$B$5))))</f>
        <v/>
      </c>
      <c r="H21" s="20" t="str">
        <f aca="false">IF($C21="","",IF($B$4&amp;$B$5="",SUMIFS('المبيعات اليومية'!$J$9:$J$308,'المبيعات اليومية'!$B$9:$B$308,$C21),SUMIFS('المبيعات اليومية'!$J$9:$J$308,'المبيعات اليومية'!$B$9:$B$308,$C21,'المبيعات اليومية'!$A$9:$A$308,"&gt;="&amp;IF($B$4="",0,$B$4),'المبيعات اليومية'!$A$9:$A$308,"&lt;="&amp;IF($B$5="",2958465,$B$5))))</f>
        <v/>
      </c>
      <c r="I21" s="29" t="str">
        <f aca="false">IF(OR($C21="",$H$108=0),"",H21/$H$108)</f>
        <v/>
      </c>
      <c r="J21" s="21" t="str">
        <f aca="false">IF(C21="","",IF(D21&gt;0,"نشط","لا يوجد مبيعات"))</f>
        <v/>
      </c>
    </row>
    <row r="22" customFormat="false" ht="15" hidden="false" customHeight="false" outlineLevel="0" collapsed="false">
      <c r="A22" s="21" t="str">
        <f aca="false">IF(C22="","",15)</f>
        <v/>
      </c>
      <c r="B22" s="21" t="str">
        <f aca="false">IF('دليل العملاء'!$B$18="","",'دليل العملاء'!$A$18)</f>
        <v/>
      </c>
      <c r="C22" s="4" t="str">
        <f aca="false">IF('دليل العملاء'!$B$18="","",'دليل العملاء'!$B$18)</f>
        <v/>
      </c>
      <c r="D22" s="27" t="str">
        <f aca="false">IF($C22="","",IF($B$4&amp;$B$5="",COUNTIFS('المبيعات اليومية'!$B$9:$B$308,$C22),COUNTIFS('المبيعات اليومية'!$B$9:$B$308,$C22,'المبيعات اليومية'!$A$9:$A$308,"&gt;="&amp;IF($B$4="",0,$B$4),'المبيعات اليومية'!$A$9:$A$308,"&lt;="&amp;IF($B$5="",2958465,$B$5))))</f>
        <v/>
      </c>
      <c r="E22" s="28" t="str">
        <f aca="false">IF($C22="","",IF($B$4&amp;$B$5="",SUMIFS('المبيعات اليومية'!$E$9:$E$308,'المبيعات اليومية'!$B$9:$B$308,$C22),SUMIFS('المبيعات اليومية'!$E$9:$E$308,'المبيعات اليومية'!$B$9:$B$308,$C22,'المبيعات اليومية'!$A$9:$A$308,"&gt;="&amp;IF($B$4="",0,$B$4),'المبيعات اليومية'!$A$9:$A$308,"&lt;="&amp;IF($B$5="",2958465,$B$5))))</f>
        <v/>
      </c>
      <c r="F22" s="19" t="str">
        <f aca="false">IF($C22="","",IF($B$4&amp;$B$5="",SUMIFS('المبيعات اليومية'!$H$9:$H$308,'المبيعات اليومية'!$B$9:$B$308,$C22),SUMIFS('المبيعات اليومية'!$H$9:$H$308,'المبيعات اليومية'!$B$9:$B$308,$C22,'المبيعات اليومية'!$A$9:$A$308,"&gt;="&amp;IF($B$4="",0,$B$4),'المبيعات اليومية'!$A$9:$A$308,"&lt;="&amp;IF($B$5="",2958465,$B$5))))</f>
        <v/>
      </c>
      <c r="G22" s="19" t="str">
        <f aca="false">IF($C22="","",IF($B$4&amp;$B$5="",SUMIFS('المبيعات اليومية'!$I$9:$I$308,'المبيعات اليومية'!$B$9:$B$308,$C22),SUMIFS('المبيعات اليومية'!$I$9:$I$308,'المبيعات اليومية'!$B$9:$B$308,$C22,'المبيعات اليومية'!$A$9:$A$308,"&gt;="&amp;IF($B$4="",0,$B$4),'المبيعات اليومية'!$A$9:$A$308,"&lt;="&amp;IF($B$5="",2958465,$B$5))))</f>
        <v/>
      </c>
      <c r="H22" s="20" t="str">
        <f aca="false">IF($C22="","",IF($B$4&amp;$B$5="",SUMIFS('المبيعات اليومية'!$J$9:$J$308,'المبيعات اليومية'!$B$9:$B$308,$C22),SUMIFS('المبيعات اليومية'!$J$9:$J$308,'المبيعات اليومية'!$B$9:$B$308,$C22,'المبيعات اليومية'!$A$9:$A$308,"&gt;="&amp;IF($B$4="",0,$B$4),'المبيعات اليومية'!$A$9:$A$308,"&lt;="&amp;IF($B$5="",2958465,$B$5))))</f>
        <v/>
      </c>
      <c r="I22" s="29" t="str">
        <f aca="false">IF(OR($C22="",$H$108=0),"",H22/$H$108)</f>
        <v/>
      </c>
      <c r="J22" s="21" t="str">
        <f aca="false">IF(C22="","",IF(D22&gt;0,"نشط","لا يوجد مبيعات"))</f>
        <v/>
      </c>
    </row>
    <row r="23" customFormat="false" ht="15" hidden="false" customHeight="false" outlineLevel="0" collapsed="false">
      <c r="A23" s="21" t="str">
        <f aca="false">IF(C23="","",16)</f>
        <v/>
      </c>
      <c r="B23" s="21" t="str">
        <f aca="false">IF('دليل العملاء'!$B$19="","",'دليل العملاء'!$A$19)</f>
        <v/>
      </c>
      <c r="C23" s="4" t="str">
        <f aca="false">IF('دليل العملاء'!$B$19="","",'دليل العملاء'!$B$19)</f>
        <v/>
      </c>
      <c r="D23" s="27" t="str">
        <f aca="false">IF($C23="","",IF($B$4&amp;$B$5="",COUNTIFS('المبيعات اليومية'!$B$9:$B$308,$C23),COUNTIFS('المبيعات اليومية'!$B$9:$B$308,$C23,'المبيعات اليومية'!$A$9:$A$308,"&gt;="&amp;IF($B$4="",0,$B$4),'المبيعات اليومية'!$A$9:$A$308,"&lt;="&amp;IF($B$5="",2958465,$B$5))))</f>
        <v/>
      </c>
      <c r="E23" s="28" t="str">
        <f aca="false">IF($C23="","",IF($B$4&amp;$B$5="",SUMIFS('المبيعات اليومية'!$E$9:$E$308,'المبيعات اليومية'!$B$9:$B$308,$C23),SUMIFS('المبيعات اليومية'!$E$9:$E$308,'المبيعات اليومية'!$B$9:$B$308,$C23,'المبيعات اليومية'!$A$9:$A$308,"&gt;="&amp;IF($B$4="",0,$B$4),'المبيعات اليومية'!$A$9:$A$308,"&lt;="&amp;IF($B$5="",2958465,$B$5))))</f>
        <v/>
      </c>
      <c r="F23" s="19" t="str">
        <f aca="false">IF($C23="","",IF($B$4&amp;$B$5="",SUMIFS('المبيعات اليومية'!$H$9:$H$308,'المبيعات اليومية'!$B$9:$B$308,$C23),SUMIFS('المبيعات اليومية'!$H$9:$H$308,'المبيعات اليومية'!$B$9:$B$308,$C23,'المبيعات اليومية'!$A$9:$A$308,"&gt;="&amp;IF($B$4="",0,$B$4),'المبيعات اليومية'!$A$9:$A$308,"&lt;="&amp;IF($B$5="",2958465,$B$5))))</f>
        <v/>
      </c>
      <c r="G23" s="19" t="str">
        <f aca="false">IF($C23="","",IF($B$4&amp;$B$5="",SUMIFS('المبيعات اليومية'!$I$9:$I$308,'المبيعات اليومية'!$B$9:$B$308,$C23),SUMIFS('المبيعات اليومية'!$I$9:$I$308,'المبيعات اليومية'!$B$9:$B$308,$C23,'المبيعات اليومية'!$A$9:$A$308,"&gt;="&amp;IF($B$4="",0,$B$4),'المبيعات اليومية'!$A$9:$A$308,"&lt;="&amp;IF($B$5="",2958465,$B$5))))</f>
        <v/>
      </c>
      <c r="H23" s="20" t="str">
        <f aca="false">IF($C23="","",IF($B$4&amp;$B$5="",SUMIFS('المبيعات اليومية'!$J$9:$J$308,'المبيعات اليومية'!$B$9:$B$308,$C23),SUMIFS('المبيعات اليومية'!$J$9:$J$308,'المبيعات اليومية'!$B$9:$B$308,$C23,'المبيعات اليومية'!$A$9:$A$308,"&gt;="&amp;IF($B$4="",0,$B$4),'المبيعات اليومية'!$A$9:$A$308,"&lt;="&amp;IF($B$5="",2958465,$B$5))))</f>
        <v/>
      </c>
      <c r="I23" s="29" t="str">
        <f aca="false">IF(OR($C23="",$H$108=0),"",H23/$H$108)</f>
        <v/>
      </c>
      <c r="J23" s="21" t="str">
        <f aca="false">IF(C23="","",IF(D23&gt;0,"نشط","لا يوجد مبيعات"))</f>
        <v/>
      </c>
    </row>
    <row r="24" customFormat="false" ht="15" hidden="false" customHeight="false" outlineLevel="0" collapsed="false">
      <c r="A24" s="21" t="str">
        <f aca="false">IF(C24="","",17)</f>
        <v/>
      </c>
      <c r="B24" s="21" t="str">
        <f aca="false">IF('دليل العملاء'!$B$20="","",'دليل العملاء'!$A$20)</f>
        <v/>
      </c>
      <c r="C24" s="4" t="str">
        <f aca="false">IF('دليل العملاء'!$B$20="","",'دليل العملاء'!$B$20)</f>
        <v/>
      </c>
      <c r="D24" s="27" t="str">
        <f aca="false">IF($C24="","",IF($B$4&amp;$B$5="",COUNTIFS('المبيعات اليومية'!$B$9:$B$308,$C24),COUNTIFS('المبيعات اليومية'!$B$9:$B$308,$C24,'المبيعات اليومية'!$A$9:$A$308,"&gt;="&amp;IF($B$4="",0,$B$4),'المبيعات اليومية'!$A$9:$A$308,"&lt;="&amp;IF($B$5="",2958465,$B$5))))</f>
        <v/>
      </c>
      <c r="E24" s="28" t="str">
        <f aca="false">IF($C24="","",IF($B$4&amp;$B$5="",SUMIFS('المبيعات اليومية'!$E$9:$E$308,'المبيعات اليومية'!$B$9:$B$308,$C24),SUMIFS('المبيعات اليومية'!$E$9:$E$308,'المبيعات اليومية'!$B$9:$B$308,$C24,'المبيعات اليومية'!$A$9:$A$308,"&gt;="&amp;IF($B$4="",0,$B$4),'المبيعات اليومية'!$A$9:$A$308,"&lt;="&amp;IF($B$5="",2958465,$B$5))))</f>
        <v/>
      </c>
      <c r="F24" s="19" t="str">
        <f aca="false">IF($C24="","",IF($B$4&amp;$B$5="",SUMIFS('المبيعات اليومية'!$H$9:$H$308,'المبيعات اليومية'!$B$9:$B$308,$C24),SUMIFS('المبيعات اليومية'!$H$9:$H$308,'المبيعات اليومية'!$B$9:$B$308,$C24,'المبيعات اليومية'!$A$9:$A$308,"&gt;="&amp;IF($B$4="",0,$B$4),'المبيعات اليومية'!$A$9:$A$308,"&lt;="&amp;IF($B$5="",2958465,$B$5))))</f>
        <v/>
      </c>
      <c r="G24" s="19" t="str">
        <f aca="false">IF($C24="","",IF($B$4&amp;$B$5="",SUMIFS('المبيعات اليومية'!$I$9:$I$308,'المبيعات اليومية'!$B$9:$B$308,$C24),SUMIFS('المبيعات اليومية'!$I$9:$I$308,'المبيعات اليومية'!$B$9:$B$308,$C24,'المبيعات اليومية'!$A$9:$A$308,"&gt;="&amp;IF($B$4="",0,$B$4),'المبيعات اليومية'!$A$9:$A$308,"&lt;="&amp;IF($B$5="",2958465,$B$5))))</f>
        <v/>
      </c>
      <c r="H24" s="20" t="str">
        <f aca="false">IF($C24="","",IF($B$4&amp;$B$5="",SUMIFS('المبيعات اليومية'!$J$9:$J$308,'المبيعات اليومية'!$B$9:$B$308,$C24),SUMIFS('المبيعات اليومية'!$J$9:$J$308,'المبيعات اليومية'!$B$9:$B$308,$C24,'المبيعات اليومية'!$A$9:$A$308,"&gt;="&amp;IF($B$4="",0,$B$4),'المبيعات اليومية'!$A$9:$A$308,"&lt;="&amp;IF($B$5="",2958465,$B$5))))</f>
        <v/>
      </c>
      <c r="I24" s="29" t="str">
        <f aca="false">IF(OR($C24="",$H$108=0),"",H24/$H$108)</f>
        <v/>
      </c>
      <c r="J24" s="21" t="str">
        <f aca="false">IF(C24="","",IF(D24&gt;0,"نشط","لا يوجد مبيعات"))</f>
        <v/>
      </c>
    </row>
    <row r="25" customFormat="false" ht="15" hidden="false" customHeight="false" outlineLevel="0" collapsed="false">
      <c r="A25" s="21" t="str">
        <f aca="false">IF(C25="","",18)</f>
        <v/>
      </c>
      <c r="B25" s="21" t="str">
        <f aca="false">IF('دليل العملاء'!$B$21="","",'دليل العملاء'!$A$21)</f>
        <v/>
      </c>
      <c r="C25" s="4" t="str">
        <f aca="false">IF('دليل العملاء'!$B$21="","",'دليل العملاء'!$B$21)</f>
        <v/>
      </c>
      <c r="D25" s="27" t="str">
        <f aca="false">IF($C25="","",IF($B$4&amp;$B$5="",COUNTIFS('المبيعات اليومية'!$B$9:$B$308,$C25),COUNTIFS('المبيعات اليومية'!$B$9:$B$308,$C25,'المبيعات اليومية'!$A$9:$A$308,"&gt;="&amp;IF($B$4="",0,$B$4),'المبيعات اليومية'!$A$9:$A$308,"&lt;="&amp;IF($B$5="",2958465,$B$5))))</f>
        <v/>
      </c>
      <c r="E25" s="28" t="str">
        <f aca="false">IF($C25="","",IF($B$4&amp;$B$5="",SUMIFS('المبيعات اليومية'!$E$9:$E$308,'المبيعات اليومية'!$B$9:$B$308,$C25),SUMIFS('المبيعات اليومية'!$E$9:$E$308,'المبيعات اليومية'!$B$9:$B$308,$C25,'المبيعات اليومية'!$A$9:$A$308,"&gt;="&amp;IF($B$4="",0,$B$4),'المبيعات اليومية'!$A$9:$A$308,"&lt;="&amp;IF($B$5="",2958465,$B$5))))</f>
        <v/>
      </c>
      <c r="F25" s="19" t="str">
        <f aca="false">IF($C25="","",IF($B$4&amp;$B$5="",SUMIFS('المبيعات اليومية'!$H$9:$H$308,'المبيعات اليومية'!$B$9:$B$308,$C25),SUMIFS('المبيعات اليومية'!$H$9:$H$308,'المبيعات اليومية'!$B$9:$B$308,$C25,'المبيعات اليومية'!$A$9:$A$308,"&gt;="&amp;IF($B$4="",0,$B$4),'المبيعات اليومية'!$A$9:$A$308,"&lt;="&amp;IF($B$5="",2958465,$B$5))))</f>
        <v/>
      </c>
      <c r="G25" s="19" t="str">
        <f aca="false">IF($C25="","",IF($B$4&amp;$B$5="",SUMIFS('المبيعات اليومية'!$I$9:$I$308,'المبيعات اليومية'!$B$9:$B$308,$C25),SUMIFS('المبيعات اليومية'!$I$9:$I$308,'المبيعات اليومية'!$B$9:$B$308,$C25,'المبيعات اليومية'!$A$9:$A$308,"&gt;="&amp;IF($B$4="",0,$B$4),'المبيعات اليومية'!$A$9:$A$308,"&lt;="&amp;IF($B$5="",2958465,$B$5))))</f>
        <v/>
      </c>
      <c r="H25" s="20" t="str">
        <f aca="false">IF($C25="","",IF($B$4&amp;$B$5="",SUMIFS('المبيعات اليومية'!$J$9:$J$308,'المبيعات اليومية'!$B$9:$B$308,$C25),SUMIFS('المبيعات اليومية'!$J$9:$J$308,'المبيعات اليومية'!$B$9:$B$308,$C25,'المبيعات اليومية'!$A$9:$A$308,"&gt;="&amp;IF($B$4="",0,$B$4),'المبيعات اليومية'!$A$9:$A$308,"&lt;="&amp;IF($B$5="",2958465,$B$5))))</f>
        <v/>
      </c>
      <c r="I25" s="29" t="str">
        <f aca="false">IF(OR($C25="",$H$108=0),"",H25/$H$108)</f>
        <v/>
      </c>
      <c r="J25" s="21" t="str">
        <f aca="false">IF(C25="","",IF(D25&gt;0,"نشط","لا يوجد مبيعات"))</f>
        <v/>
      </c>
    </row>
    <row r="26" customFormat="false" ht="15" hidden="false" customHeight="false" outlineLevel="0" collapsed="false">
      <c r="A26" s="21" t="str">
        <f aca="false">IF(C26="","",19)</f>
        <v/>
      </c>
      <c r="B26" s="21" t="str">
        <f aca="false">IF('دليل العملاء'!$B$22="","",'دليل العملاء'!$A$22)</f>
        <v/>
      </c>
      <c r="C26" s="4" t="str">
        <f aca="false">IF('دليل العملاء'!$B$22="","",'دليل العملاء'!$B$22)</f>
        <v/>
      </c>
      <c r="D26" s="27" t="str">
        <f aca="false">IF($C26="","",IF($B$4&amp;$B$5="",COUNTIFS('المبيعات اليومية'!$B$9:$B$308,$C26),COUNTIFS('المبيعات اليومية'!$B$9:$B$308,$C26,'المبيعات اليومية'!$A$9:$A$308,"&gt;="&amp;IF($B$4="",0,$B$4),'المبيعات اليومية'!$A$9:$A$308,"&lt;="&amp;IF($B$5="",2958465,$B$5))))</f>
        <v/>
      </c>
      <c r="E26" s="28" t="str">
        <f aca="false">IF($C26="","",IF($B$4&amp;$B$5="",SUMIFS('المبيعات اليومية'!$E$9:$E$308,'المبيعات اليومية'!$B$9:$B$308,$C26),SUMIFS('المبيعات اليومية'!$E$9:$E$308,'المبيعات اليومية'!$B$9:$B$308,$C26,'المبيعات اليومية'!$A$9:$A$308,"&gt;="&amp;IF($B$4="",0,$B$4),'المبيعات اليومية'!$A$9:$A$308,"&lt;="&amp;IF($B$5="",2958465,$B$5))))</f>
        <v/>
      </c>
      <c r="F26" s="19" t="str">
        <f aca="false">IF($C26="","",IF($B$4&amp;$B$5="",SUMIFS('المبيعات اليومية'!$H$9:$H$308,'المبيعات اليومية'!$B$9:$B$308,$C26),SUMIFS('المبيعات اليومية'!$H$9:$H$308,'المبيعات اليومية'!$B$9:$B$308,$C26,'المبيعات اليومية'!$A$9:$A$308,"&gt;="&amp;IF($B$4="",0,$B$4),'المبيعات اليومية'!$A$9:$A$308,"&lt;="&amp;IF($B$5="",2958465,$B$5))))</f>
        <v/>
      </c>
      <c r="G26" s="19" t="str">
        <f aca="false">IF($C26="","",IF($B$4&amp;$B$5="",SUMIFS('المبيعات اليومية'!$I$9:$I$308,'المبيعات اليومية'!$B$9:$B$308,$C26),SUMIFS('المبيعات اليومية'!$I$9:$I$308,'المبيعات اليومية'!$B$9:$B$308,$C26,'المبيعات اليومية'!$A$9:$A$308,"&gt;="&amp;IF($B$4="",0,$B$4),'المبيعات اليومية'!$A$9:$A$308,"&lt;="&amp;IF($B$5="",2958465,$B$5))))</f>
        <v/>
      </c>
      <c r="H26" s="20" t="str">
        <f aca="false">IF($C26="","",IF($B$4&amp;$B$5="",SUMIFS('المبيعات اليومية'!$J$9:$J$308,'المبيعات اليومية'!$B$9:$B$308,$C26),SUMIFS('المبيعات اليومية'!$J$9:$J$308,'المبيعات اليومية'!$B$9:$B$308,$C26,'المبيعات اليومية'!$A$9:$A$308,"&gt;="&amp;IF($B$4="",0,$B$4),'المبيعات اليومية'!$A$9:$A$308,"&lt;="&amp;IF($B$5="",2958465,$B$5))))</f>
        <v/>
      </c>
      <c r="I26" s="29" t="str">
        <f aca="false">IF(OR($C26="",$H$108=0),"",H26/$H$108)</f>
        <v/>
      </c>
      <c r="J26" s="21" t="str">
        <f aca="false">IF(C26="","",IF(D26&gt;0,"نشط","لا يوجد مبيعات"))</f>
        <v/>
      </c>
    </row>
    <row r="27" customFormat="false" ht="15" hidden="false" customHeight="false" outlineLevel="0" collapsed="false">
      <c r="A27" s="21" t="str">
        <f aca="false">IF(C27="","",20)</f>
        <v/>
      </c>
      <c r="B27" s="21" t="str">
        <f aca="false">IF('دليل العملاء'!$B$23="","",'دليل العملاء'!$A$23)</f>
        <v/>
      </c>
      <c r="C27" s="4" t="str">
        <f aca="false">IF('دليل العملاء'!$B$23="","",'دليل العملاء'!$B$23)</f>
        <v/>
      </c>
      <c r="D27" s="27" t="str">
        <f aca="false">IF($C27="","",IF($B$4&amp;$B$5="",COUNTIFS('المبيعات اليومية'!$B$9:$B$308,$C27),COUNTIFS('المبيعات اليومية'!$B$9:$B$308,$C27,'المبيعات اليومية'!$A$9:$A$308,"&gt;="&amp;IF($B$4="",0,$B$4),'المبيعات اليومية'!$A$9:$A$308,"&lt;="&amp;IF($B$5="",2958465,$B$5))))</f>
        <v/>
      </c>
      <c r="E27" s="28" t="str">
        <f aca="false">IF($C27="","",IF($B$4&amp;$B$5="",SUMIFS('المبيعات اليومية'!$E$9:$E$308,'المبيعات اليومية'!$B$9:$B$308,$C27),SUMIFS('المبيعات اليومية'!$E$9:$E$308,'المبيعات اليومية'!$B$9:$B$308,$C27,'المبيعات اليومية'!$A$9:$A$308,"&gt;="&amp;IF($B$4="",0,$B$4),'المبيعات اليومية'!$A$9:$A$308,"&lt;="&amp;IF($B$5="",2958465,$B$5))))</f>
        <v/>
      </c>
      <c r="F27" s="19" t="str">
        <f aca="false">IF($C27="","",IF($B$4&amp;$B$5="",SUMIFS('المبيعات اليومية'!$H$9:$H$308,'المبيعات اليومية'!$B$9:$B$308,$C27),SUMIFS('المبيعات اليومية'!$H$9:$H$308,'المبيعات اليومية'!$B$9:$B$308,$C27,'المبيعات اليومية'!$A$9:$A$308,"&gt;="&amp;IF($B$4="",0,$B$4),'المبيعات اليومية'!$A$9:$A$308,"&lt;="&amp;IF($B$5="",2958465,$B$5))))</f>
        <v/>
      </c>
      <c r="G27" s="19" t="str">
        <f aca="false">IF($C27="","",IF($B$4&amp;$B$5="",SUMIFS('المبيعات اليومية'!$I$9:$I$308,'المبيعات اليومية'!$B$9:$B$308,$C27),SUMIFS('المبيعات اليومية'!$I$9:$I$308,'المبيعات اليومية'!$B$9:$B$308,$C27,'المبيعات اليومية'!$A$9:$A$308,"&gt;="&amp;IF($B$4="",0,$B$4),'المبيعات اليومية'!$A$9:$A$308,"&lt;="&amp;IF($B$5="",2958465,$B$5))))</f>
        <v/>
      </c>
      <c r="H27" s="20" t="str">
        <f aca="false">IF($C27="","",IF($B$4&amp;$B$5="",SUMIFS('المبيعات اليومية'!$J$9:$J$308,'المبيعات اليومية'!$B$9:$B$308,$C27),SUMIFS('المبيعات اليومية'!$J$9:$J$308,'المبيعات اليومية'!$B$9:$B$308,$C27,'المبيعات اليومية'!$A$9:$A$308,"&gt;="&amp;IF($B$4="",0,$B$4),'المبيعات اليومية'!$A$9:$A$308,"&lt;="&amp;IF($B$5="",2958465,$B$5))))</f>
        <v/>
      </c>
      <c r="I27" s="29" t="str">
        <f aca="false">IF(OR($C27="",$H$108=0),"",H27/$H$108)</f>
        <v/>
      </c>
      <c r="J27" s="21" t="str">
        <f aca="false">IF(C27="","",IF(D27&gt;0,"نشط","لا يوجد مبيعات"))</f>
        <v/>
      </c>
    </row>
    <row r="28" customFormat="false" ht="15" hidden="false" customHeight="false" outlineLevel="0" collapsed="false">
      <c r="A28" s="21" t="str">
        <f aca="false">IF(C28="","",21)</f>
        <v/>
      </c>
      <c r="B28" s="21" t="str">
        <f aca="false">IF('دليل العملاء'!$B$24="","",'دليل العملاء'!$A$24)</f>
        <v/>
      </c>
      <c r="C28" s="4" t="str">
        <f aca="false">IF('دليل العملاء'!$B$24="","",'دليل العملاء'!$B$24)</f>
        <v/>
      </c>
      <c r="D28" s="27" t="str">
        <f aca="false">IF($C28="","",IF($B$4&amp;$B$5="",COUNTIFS('المبيعات اليومية'!$B$9:$B$308,$C28),COUNTIFS('المبيعات اليومية'!$B$9:$B$308,$C28,'المبيعات اليومية'!$A$9:$A$308,"&gt;="&amp;IF($B$4="",0,$B$4),'المبيعات اليومية'!$A$9:$A$308,"&lt;="&amp;IF($B$5="",2958465,$B$5))))</f>
        <v/>
      </c>
      <c r="E28" s="28" t="str">
        <f aca="false">IF($C28="","",IF($B$4&amp;$B$5="",SUMIFS('المبيعات اليومية'!$E$9:$E$308,'المبيعات اليومية'!$B$9:$B$308,$C28),SUMIFS('المبيعات اليومية'!$E$9:$E$308,'المبيعات اليومية'!$B$9:$B$308,$C28,'المبيعات اليومية'!$A$9:$A$308,"&gt;="&amp;IF($B$4="",0,$B$4),'المبيعات اليومية'!$A$9:$A$308,"&lt;="&amp;IF($B$5="",2958465,$B$5))))</f>
        <v/>
      </c>
      <c r="F28" s="19" t="str">
        <f aca="false">IF($C28="","",IF($B$4&amp;$B$5="",SUMIFS('المبيعات اليومية'!$H$9:$H$308,'المبيعات اليومية'!$B$9:$B$308,$C28),SUMIFS('المبيعات اليومية'!$H$9:$H$308,'المبيعات اليومية'!$B$9:$B$308,$C28,'المبيعات اليومية'!$A$9:$A$308,"&gt;="&amp;IF($B$4="",0,$B$4),'المبيعات اليومية'!$A$9:$A$308,"&lt;="&amp;IF($B$5="",2958465,$B$5))))</f>
        <v/>
      </c>
      <c r="G28" s="19" t="str">
        <f aca="false">IF($C28="","",IF($B$4&amp;$B$5="",SUMIFS('المبيعات اليومية'!$I$9:$I$308,'المبيعات اليومية'!$B$9:$B$308,$C28),SUMIFS('المبيعات اليومية'!$I$9:$I$308,'المبيعات اليومية'!$B$9:$B$308,$C28,'المبيعات اليومية'!$A$9:$A$308,"&gt;="&amp;IF($B$4="",0,$B$4),'المبيعات اليومية'!$A$9:$A$308,"&lt;="&amp;IF($B$5="",2958465,$B$5))))</f>
        <v/>
      </c>
      <c r="H28" s="20" t="str">
        <f aca="false">IF($C28="","",IF($B$4&amp;$B$5="",SUMIFS('المبيعات اليومية'!$J$9:$J$308,'المبيعات اليومية'!$B$9:$B$308,$C28),SUMIFS('المبيعات اليومية'!$J$9:$J$308,'المبيعات اليومية'!$B$9:$B$308,$C28,'المبيعات اليومية'!$A$9:$A$308,"&gt;="&amp;IF($B$4="",0,$B$4),'المبيعات اليومية'!$A$9:$A$308,"&lt;="&amp;IF($B$5="",2958465,$B$5))))</f>
        <v/>
      </c>
      <c r="I28" s="29" t="str">
        <f aca="false">IF(OR($C28="",$H$108=0),"",H28/$H$108)</f>
        <v/>
      </c>
      <c r="J28" s="21" t="str">
        <f aca="false">IF(C28="","",IF(D28&gt;0,"نشط","لا يوجد مبيعات"))</f>
        <v/>
      </c>
    </row>
    <row r="29" customFormat="false" ht="15" hidden="false" customHeight="false" outlineLevel="0" collapsed="false">
      <c r="A29" s="21" t="str">
        <f aca="false">IF(C29="","",22)</f>
        <v/>
      </c>
      <c r="B29" s="21" t="str">
        <f aca="false">IF('دليل العملاء'!$B$25="","",'دليل العملاء'!$A$25)</f>
        <v/>
      </c>
      <c r="C29" s="4" t="str">
        <f aca="false">IF('دليل العملاء'!$B$25="","",'دليل العملاء'!$B$25)</f>
        <v/>
      </c>
      <c r="D29" s="27" t="str">
        <f aca="false">IF($C29="","",IF($B$4&amp;$B$5="",COUNTIFS('المبيعات اليومية'!$B$9:$B$308,$C29),COUNTIFS('المبيعات اليومية'!$B$9:$B$308,$C29,'المبيعات اليومية'!$A$9:$A$308,"&gt;="&amp;IF($B$4="",0,$B$4),'المبيعات اليومية'!$A$9:$A$308,"&lt;="&amp;IF($B$5="",2958465,$B$5))))</f>
        <v/>
      </c>
      <c r="E29" s="28" t="str">
        <f aca="false">IF($C29="","",IF($B$4&amp;$B$5="",SUMIFS('المبيعات اليومية'!$E$9:$E$308,'المبيعات اليومية'!$B$9:$B$308,$C29),SUMIFS('المبيعات اليومية'!$E$9:$E$308,'المبيعات اليومية'!$B$9:$B$308,$C29,'المبيعات اليومية'!$A$9:$A$308,"&gt;="&amp;IF($B$4="",0,$B$4),'المبيعات اليومية'!$A$9:$A$308,"&lt;="&amp;IF($B$5="",2958465,$B$5))))</f>
        <v/>
      </c>
      <c r="F29" s="19" t="str">
        <f aca="false">IF($C29="","",IF($B$4&amp;$B$5="",SUMIFS('المبيعات اليومية'!$H$9:$H$308,'المبيعات اليومية'!$B$9:$B$308,$C29),SUMIFS('المبيعات اليومية'!$H$9:$H$308,'المبيعات اليومية'!$B$9:$B$308,$C29,'المبيعات اليومية'!$A$9:$A$308,"&gt;="&amp;IF($B$4="",0,$B$4),'المبيعات اليومية'!$A$9:$A$308,"&lt;="&amp;IF($B$5="",2958465,$B$5))))</f>
        <v/>
      </c>
      <c r="G29" s="19" t="str">
        <f aca="false">IF($C29="","",IF($B$4&amp;$B$5="",SUMIFS('المبيعات اليومية'!$I$9:$I$308,'المبيعات اليومية'!$B$9:$B$308,$C29),SUMIFS('المبيعات اليومية'!$I$9:$I$308,'المبيعات اليومية'!$B$9:$B$308,$C29,'المبيعات اليومية'!$A$9:$A$308,"&gt;="&amp;IF($B$4="",0,$B$4),'المبيعات اليومية'!$A$9:$A$308,"&lt;="&amp;IF($B$5="",2958465,$B$5))))</f>
        <v/>
      </c>
      <c r="H29" s="20" t="str">
        <f aca="false">IF($C29="","",IF($B$4&amp;$B$5="",SUMIFS('المبيعات اليومية'!$J$9:$J$308,'المبيعات اليومية'!$B$9:$B$308,$C29),SUMIFS('المبيعات اليومية'!$J$9:$J$308,'المبيعات اليومية'!$B$9:$B$308,$C29,'المبيعات اليومية'!$A$9:$A$308,"&gt;="&amp;IF($B$4="",0,$B$4),'المبيعات اليومية'!$A$9:$A$308,"&lt;="&amp;IF($B$5="",2958465,$B$5))))</f>
        <v/>
      </c>
      <c r="I29" s="29" t="str">
        <f aca="false">IF(OR($C29="",$H$108=0),"",H29/$H$108)</f>
        <v/>
      </c>
      <c r="J29" s="21" t="str">
        <f aca="false">IF(C29="","",IF(D29&gt;0,"نشط","لا يوجد مبيعات"))</f>
        <v/>
      </c>
    </row>
    <row r="30" customFormat="false" ht="15" hidden="false" customHeight="false" outlineLevel="0" collapsed="false">
      <c r="A30" s="21" t="str">
        <f aca="false">IF(C30="","",23)</f>
        <v/>
      </c>
      <c r="B30" s="21" t="str">
        <f aca="false">IF('دليل العملاء'!$B$26="","",'دليل العملاء'!$A$26)</f>
        <v/>
      </c>
      <c r="C30" s="4" t="str">
        <f aca="false">IF('دليل العملاء'!$B$26="","",'دليل العملاء'!$B$26)</f>
        <v/>
      </c>
      <c r="D30" s="27" t="str">
        <f aca="false">IF($C30="","",IF($B$4&amp;$B$5="",COUNTIFS('المبيعات اليومية'!$B$9:$B$308,$C30),COUNTIFS('المبيعات اليومية'!$B$9:$B$308,$C30,'المبيعات اليومية'!$A$9:$A$308,"&gt;="&amp;IF($B$4="",0,$B$4),'المبيعات اليومية'!$A$9:$A$308,"&lt;="&amp;IF($B$5="",2958465,$B$5))))</f>
        <v/>
      </c>
      <c r="E30" s="28" t="str">
        <f aca="false">IF($C30="","",IF($B$4&amp;$B$5="",SUMIFS('المبيعات اليومية'!$E$9:$E$308,'المبيعات اليومية'!$B$9:$B$308,$C30),SUMIFS('المبيعات اليومية'!$E$9:$E$308,'المبيعات اليومية'!$B$9:$B$308,$C30,'المبيعات اليومية'!$A$9:$A$308,"&gt;="&amp;IF($B$4="",0,$B$4),'المبيعات اليومية'!$A$9:$A$308,"&lt;="&amp;IF($B$5="",2958465,$B$5))))</f>
        <v/>
      </c>
      <c r="F30" s="19" t="str">
        <f aca="false">IF($C30="","",IF($B$4&amp;$B$5="",SUMIFS('المبيعات اليومية'!$H$9:$H$308,'المبيعات اليومية'!$B$9:$B$308,$C30),SUMIFS('المبيعات اليومية'!$H$9:$H$308,'المبيعات اليومية'!$B$9:$B$308,$C30,'المبيعات اليومية'!$A$9:$A$308,"&gt;="&amp;IF($B$4="",0,$B$4),'المبيعات اليومية'!$A$9:$A$308,"&lt;="&amp;IF($B$5="",2958465,$B$5))))</f>
        <v/>
      </c>
      <c r="G30" s="19" t="str">
        <f aca="false">IF($C30="","",IF($B$4&amp;$B$5="",SUMIFS('المبيعات اليومية'!$I$9:$I$308,'المبيعات اليومية'!$B$9:$B$308,$C30),SUMIFS('المبيعات اليومية'!$I$9:$I$308,'المبيعات اليومية'!$B$9:$B$308,$C30,'المبيعات اليومية'!$A$9:$A$308,"&gt;="&amp;IF($B$4="",0,$B$4),'المبيعات اليومية'!$A$9:$A$308,"&lt;="&amp;IF($B$5="",2958465,$B$5))))</f>
        <v/>
      </c>
      <c r="H30" s="20" t="str">
        <f aca="false">IF($C30="","",IF($B$4&amp;$B$5="",SUMIFS('المبيعات اليومية'!$J$9:$J$308,'المبيعات اليومية'!$B$9:$B$308,$C30),SUMIFS('المبيعات اليومية'!$J$9:$J$308,'المبيعات اليومية'!$B$9:$B$308,$C30,'المبيعات اليومية'!$A$9:$A$308,"&gt;="&amp;IF($B$4="",0,$B$4),'المبيعات اليومية'!$A$9:$A$308,"&lt;="&amp;IF($B$5="",2958465,$B$5))))</f>
        <v/>
      </c>
      <c r="I30" s="29" t="str">
        <f aca="false">IF(OR($C30="",$H$108=0),"",H30/$H$108)</f>
        <v/>
      </c>
      <c r="J30" s="21" t="str">
        <f aca="false">IF(C30="","",IF(D30&gt;0,"نشط","لا يوجد مبيعات"))</f>
        <v/>
      </c>
    </row>
    <row r="31" customFormat="false" ht="15" hidden="false" customHeight="false" outlineLevel="0" collapsed="false">
      <c r="A31" s="21" t="str">
        <f aca="false">IF(C31="","",24)</f>
        <v/>
      </c>
      <c r="B31" s="21" t="str">
        <f aca="false">IF('دليل العملاء'!$B$27="","",'دليل العملاء'!$A$27)</f>
        <v/>
      </c>
      <c r="C31" s="4" t="str">
        <f aca="false">IF('دليل العملاء'!$B$27="","",'دليل العملاء'!$B$27)</f>
        <v/>
      </c>
      <c r="D31" s="27" t="str">
        <f aca="false">IF($C31="","",IF($B$4&amp;$B$5="",COUNTIFS('المبيعات اليومية'!$B$9:$B$308,$C31),COUNTIFS('المبيعات اليومية'!$B$9:$B$308,$C31,'المبيعات اليومية'!$A$9:$A$308,"&gt;="&amp;IF($B$4="",0,$B$4),'المبيعات اليومية'!$A$9:$A$308,"&lt;="&amp;IF($B$5="",2958465,$B$5))))</f>
        <v/>
      </c>
      <c r="E31" s="28" t="str">
        <f aca="false">IF($C31="","",IF($B$4&amp;$B$5="",SUMIFS('المبيعات اليومية'!$E$9:$E$308,'المبيعات اليومية'!$B$9:$B$308,$C31),SUMIFS('المبيعات اليومية'!$E$9:$E$308,'المبيعات اليومية'!$B$9:$B$308,$C31,'المبيعات اليومية'!$A$9:$A$308,"&gt;="&amp;IF($B$4="",0,$B$4),'المبيعات اليومية'!$A$9:$A$308,"&lt;="&amp;IF($B$5="",2958465,$B$5))))</f>
        <v/>
      </c>
      <c r="F31" s="19" t="str">
        <f aca="false">IF($C31="","",IF($B$4&amp;$B$5="",SUMIFS('المبيعات اليومية'!$H$9:$H$308,'المبيعات اليومية'!$B$9:$B$308,$C31),SUMIFS('المبيعات اليومية'!$H$9:$H$308,'المبيعات اليومية'!$B$9:$B$308,$C31,'المبيعات اليومية'!$A$9:$A$308,"&gt;="&amp;IF($B$4="",0,$B$4),'المبيعات اليومية'!$A$9:$A$308,"&lt;="&amp;IF($B$5="",2958465,$B$5))))</f>
        <v/>
      </c>
      <c r="G31" s="19" t="str">
        <f aca="false">IF($C31="","",IF($B$4&amp;$B$5="",SUMIFS('المبيعات اليومية'!$I$9:$I$308,'المبيعات اليومية'!$B$9:$B$308,$C31),SUMIFS('المبيعات اليومية'!$I$9:$I$308,'المبيعات اليومية'!$B$9:$B$308,$C31,'المبيعات اليومية'!$A$9:$A$308,"&gt;="&amp;IF($B$4="",0,$B$4),'المبيعات اليومية'!$A$9:$A$308,"&lt;="&amp;IF($B$5="",2958465,$B$5))))</f>
        <v/>
      </c>
      <c r="H31" s="20" t="str">
        <f aca="false">IF($C31="","",IF($B$4&amp;$B$5="",SUMIFS('المبيعات اليومية'!$J$9:$J$308,'المبيعات اليومية'!$B$9:$B$308,$C31),SUMIFS('المبيعات اليومية'!$J$9:$J$308,'المبيعات اليومية'!$B$9:$B$308,$C31,'المبيعات اليومية'!$A$9:$A$308,"&gt;="&amp;IF($B$4="",0,$B$4),'المبيعات اليومية'!$A$9:$A$308,"&lt;="&amp;IF($B$5="",2958465,$B$5))))</f>
        <v/>
      </c>
      <c r="I31" s="29" t="str">
        <f aca="false">IF(OR($C31="",$H$108=0),"",H31/$H$108)</f>
        <v/>
      </c>
      <c r="J31" s="21" t="str">
        <f aca="false">IF(C31="","",IF(D31&gt;0,"نشط","لا يوجد مبيعات"))</f>
        <v/>
      </c>
    </row>
    <row r="32" customFormat="false" ht="15" hidden="false" customHeight="false" outlineLevel="0" collapsed="false">
      <c r="A32" s="21" t="str">
        <f aca="false">IF(C32="","",25)</f>
        <v/>
      </c>
      <c r="B32" s="21" t="str">
        <f aca="false">IF('دليل العملاء'!$B$28="","",'دليل العملاء'!$A$28)</f>
        <v/>
      </c>
      <c r="C32" s="4" t="str">
        <f aca="false">IF('دليل العملاء'!$B$28="","",'دليل العملاء'!$B$28)</f>
        <v/>
      </c>
      <c r="D32" s="27" t="str">
        <f aca="false">IF($C32="","",IF($B$4&amp;$B$5="",COUNTIFS('المبيعات اليومية'!$B$9:$B$308,$C32),COUNTIFS('المبيعات اليومية'!$B$9:$B$308,$C32,'المبيعات اليومية'!$A$9:$A$308,"&gt;="&amp;IF($B$4="",0,$B$4),'المبيعات اليومية'!$A$9:$A$308,"&lt;="&amp;IF($B$5="",2958465,$B$5))))</f>
        <v/>
      </c>
      <c r="E32" s="28" t="str">
        <f aca="false">IF($C32="","",IF($B$4&amp;$B$5="",SUMIFS('المبيعات اليومية'!$E$9:$E$308,'المبيعات اليومية'!$B$9:$B$308,$C32),SUMIFS('المبيعات اليومية'!$E$9:$E$308,'المبيعات اليومية'!$B$9:$B$308,$C32,'المبيعات اليومية'!$A$9:$A$308,"&gt;="&amp;IF($B$4="",0,$B$4),'المبيعات اليومية'!$A$9:$A$308,"&lt;="&amp;IF($B$5="",2958465,$B$5))))</f>
        <v/>
      </c>
      <c r="F32" s="19" t="str">
        <f aca="false">IF($C32="","",IF($B$4&amp;$B$5="",SUMIFS('المبيعات اليومية'!$H$9:$H$308,'المبيعات اليومية'!$B$9:$B$308,$C32),SUMIFS('المبيعات اليومية'!$H$9:$H$308,'المبيعات اليومية'!$B$9:$B$308,$C32,'المبيعات اليومية'!$A$9:$A$308,"&gt;="&amp;IF($B$4="",0,$B$4),'المبيعات اليومية'!$A$9:$A$308,"&lt;="&amp;IF($B$5="",2958465,$B$5))))</f>
        <v/>
      </c>
      <c r="G32" s="19" t="str">
        <f aca="false">IF($C32="","",IF($B$4&amp;$B$5="",SUMIFS('المبيعات اليومية'!$I$9:$I$308,'المبيعات اليومية'!$B$9:$B$308,$C32),SUMIFS('المبيعات اليومية'!$I$9:$I$308,'المبيعات اليومية'!$B$9:$B$308,$C32,'المبيعات اليومية'!$A$9:$A$308,"&gt;="&amp;IF($B$4="",0,$B$4),'المبيعات اليومية'!$A$9:$A$308,"&lt;="&amp;IF($B$5="",2958465,$B$5))))</f>
        <v/>
      </c>
      <c r="H32" s="20" t="str">
        <f aca="false">IF($C32="","",IF($B$4&amp;$B$5="",SUMIFS('المبيعات اليومية'!$J$9:$J$308,'المبيعات اليومية'!$B$9:$B$308,$C32),SUMIFS('المبيعات اليومية'!$J$9:$J$308,'المبيعات اليومية'!$B$9:$B$308,$C32,'المبيعات اليومية'!$A$9:$A$308,"&gt;="&amp;IF($B$4="",0,$B$4),'المبيعات اليومية'!$A$9:$A$308,"&lt;="&amp;IF($B$5="",2958465,$B$5))))</f>
        <v/>
      </c>
      <c r="I32" s="29" t="str">
        <f aca="false">IF(OR($C32="",$H$108=0),"",H32/$H$108)</f>
        <v/>
      </c>
      <c r="J32" s="21" t="str">
        <f aca="false">IF(C32="","",IF(D32&gt;0,"نشط","لا يوجد مبيعات"))</f>
        <v/>
      </c>
    </row>
    <row r="33" customFormat="false" ht="15" hidden="false" customHeight="false" outlineLevel="0" collapsed="false">
      <c r="A33" s="21" t="str">
        <f aca="false">IF(C33="","",26)</f>
        <v/>
      </c>
      <c r="B33" s="21" t="str">
        <f aca="false">IF('دليل العملاء'!$B$29="","",'دليل العملاء'!$A$29)</f>
        <v/>
      </c>
      <c r="C33" s="4" t="str">
        <f aca="false">IF('دليل العملاء'!$B$29="","",'دليل العملاء'!$B$29)</f>
        <v/>
      </c>
      <c r="D33" s="27" t="str">
        <f aca="false">IF($C33="","",IF($B$4&amp;$B$5="",COUNTIFS('المبيعات اليومية'!$B$9:$B$308,$C33),COUNTIFS('المبيعات اليومية'!$B$9:$B$308,$C33,'المبيعات اليومية'!$A$9:$A$308,"&gt;="&amp;IF($B$4="",0,$B$4),'المبيعات اليومية'!$A$9:$A$308,"&lt;="&amp;IF($B$5="",2958465,$B$5))))</f>
        <v/>
      </c>
      <c r="E33" s="28" t="str">
        <f aca="false">IF($C33="","",IF($B$4&amp;$B$5="",SUMIFS('المبيعات اليومية'!$E$9:$E$308,'المبيعات اليومية'!$B$9:$B$308,$C33),SUMIFS('المبيعات اليومية'!$E$9:$E$308,'المبيعات اليومية'!$B$9:$B$308,$C33,'المبيعات اليومية'!$A$9:$A$308,"&gt;="&amp;IF($B$4="",0,$B$4),'المبيعات اليومية'!$A$9:$A$308,"&lt;="&amp;IF($B$5="",2958465,$B$5))))</f>
        <v/>
      </c>
      <c r="F33" s="19" t="str">
        <f aca="false">IF($C33="","",IF($B$4&amp;$B$5="",SUMIFS('المبيعات اليومية'!$H$9:$H$308,'المبيعات اليومية'!$B$9:$B$308,$C33),SUMIFS('المبيعات اليومية'!$H$9:$H$308,'المبيعات اليومية'!$B$9:$B$308,$C33,'المبيعات اليومية'!$A$9:$A$308,"&gt;="&amp;IF($B$4="",0,$B$4),'المبيعات اليومية'!$A$9:$A$308,"&lt;="&amp;IF($B$5="",2958465,$B$5))))</f>
        <v/>
      </c>
      <c r="G33" s="19" t="str">
        <f aca="false">IF($C33="","",IF($B$4&amp;$B$5="",SUMIFS('المبيعات اليومية'!$I$9:$I$308,'المبيعات اليومية'!$B$9:$B$308,$C33),SUMIFS('المبيعات اليومية'!$I$9:$I$308,'المبيعات اليومية'!$B$9:$B$308,$C33,'المبيعات اليومية'!$A$9:$A$308,"&gt;="&amp;IF($B$4="",0,$B$4),'المبيعات اليومية'!$A$9:$A$308,"&lt;="&amp;IF($B$5="",2958465,$B$5))))</f>
        <v/>
      </c>
      <c r="H33" s="20" t="str">
        <f aca="false">IF($C33="","",IF($B$4&amp;$B$5="",SUMIFS('المبيعات اليومية'!$J$9:$J$308,'المبيعات اليومية'!$B$9:$B$308,$C33),SUMIFS('المبيعات اليومية'!$J$9:$J$308,'المبيعات اليومية'!$B$9:$B$308,$C33,'المبيعات اليومية'!$A$9:$A$308,"&gt;="&amp;IF($B$4="",0,$B$4),'المبيعات اليومية'!$A$9:$A$308,"&lt;="&amp;IF($B$5="",2958465,$B$5))))</f>
        <v/>
      </c>
      <c r="I33" s="29" t="str">
        <f aca="false">IF(OR($C33="",$H$108=0),"",H33/$H$108)</f>
        <v/>
      </c>
      <c r="J33" s="21" t="str">
        <f aca="false">IF(C33="","",IF(D33&gt;0,"نشط","لا يوجد مبيعات"))</f>
        <v/>
      </c>
    </row>
    <row r="34" customFormat="false" ht="15" hidden="false" customHeight="false" outlineLevel="0" collapsed="false">
      <c r="A34" s="21" t="str">
        <f aca="false">IF(C34="","",27)</f>
        <v/>
      </c>
      <c r="B34" s="21" t="str">
        <f aca="false">IF('دليل العملاء'!$B$30="","",'دليل العملاء'!$A$30)</f>
        <v/>
      </c>
      <c r="C34" s="4" t="str">
        <f aca="false">IF('دليل العملاء'!$B$30="","",'دليل العملاء'!$B$30)</f>
        <v/>
      </c>
      <c r="D34" s="27" t="str">
        <f aca="false">IF($C34="","",IF($B$4&amp;$B$5="",COUNTIFS('المبيعات اليومية'!$B$9:$B$308,$C34),COUNTIFS('المبيعات اليومية'!$B$9:$B$308,$C34,'المبيعات اليومية'!$A$9:$A$308,"&gt;="&amp;IF($B$4="",0,$B$4),'المبيعات اليومية'!$A$9:$A$308,"&lt;="&amp;IF($B$5="",2958465,$B$5))))</f>
        <v/>
      </c>
      <c r="E34" s="28" t="str">
        <f aca="false">IF($C34="","",IF($B$4&amp;$B$5="",SUMIFS('المبيعات اليومية'!$E$9:$E$308,'المبيعات اليومية'!$B$9:$B$308,$C34),SUMIFS('المبيعات اليومية'!$E$9:$E$308,'المبيعات اليومية'!$B$9:$B$308,$C34,'المبيعات اليومية'!$A$9:$A$308,"&gt;="&amp;IF($B$4="",0,$B$4),'المبيعات اليومية'!$A$9:$A$308,"&lt;="&amp;IF($B$5="",2958465,$B$5))))</f>
        <v/>
      </c>
      <c r="F34" s="19" t="str">
        <f aca="false">IF($C34="","",IF($B$4&amp;$B$5="",SUMIFS('المبيعات اليومية'!$H$9:$H$308,'المبيعات اليومية'!$B$9:$B$308,$C34),SUMIFS('المبيعات اليومية'!$H$9:$H$308,'المبيعات اليومية'!$B$9:$B$308,$C34,'المبيعات اليومية'!$A$9:$A$308,"&gt;="&amp;IF($B$4="",0,$B$4),'المبيعات اليومية'!$A$9:$A$308,"&lt;="&amp;IF($B$5="",2958465,$B$5))))</f>
        <v/>
      </c>
      <c r="G34" s="19" t="str">
        <f aca="false">IF($C34="","",IF($B$4&amp;$B$5="",SUMIFS('المبيعات اليومية'!$I$9:$I$308,'المبيعات اليومية'!$B$9:$B$308,$C34),SUMIFS('المبيعات اليومية'!$I$9:$I$308,'المبيعات اليومية'!$B$9:$B$308,$C34,'المبيعات اليومية'!$A$9:$A$308,"&gt;="&amp;IF($B$4="",0,$B$4),'المبيعات اليومية'!$A$9:$A$308,"&lt;="&amp;IF($B$5="",2958465,$B$5))))</f>
        <v/>
      </c>
      <c r="H34" s="20" t="str">
        <f aca="false">IF($C34="","",IF($B$4&amp;$B$5="",SUMIFS('المبيعات اليومية'!$J$9:$J$308,'المبيعات اليومية'!$B$9:$B$308,$C34),SUMIFS('المبيعات اليومية'!$J$9:$J$308,'المبيعات اليومية'!$B$9:$B$308,$C34,'المبيعات اليومية'!$A$9:$A$308,"&gt;="&amp;IF($B$4="",0,$B$4),'المبيعات اليومية'!$A$9:$A$308,"&lt;="&amp;IF($B$5="",2958465,$B$5))))</f>
        <v/>
      </c>
      <c r="I34" s="29" t="str">
        <f aca="false">IF(OR($C34="",$H$108=0),"",H34/$H$108)</f>
        <v/>
      </c>
      <c r="J34" s="21" t="str">
        <f aca="false">IF(C34="","",IF(D34&gt;0,"نشط","لا يوجد مبيعات"))</f>
        <v/>
      </c>
    </row>
    <row r="35" customFormat="false" ht="15" hidden="false" customHeight="false" outlineLevel="0" collapsed="false">
      <c r="A35" s="21" t="str">
        <f aca="false">IF(C35="","",28)</f>
        <v/>
      </c>
      <c r="B35" s="21" t="str">
        <f aca="false">IF('دليل العملاء'!$B$31="","",'دليل العملاء'!$A$31)</f>
        <v/>
      </c>
      <c r="C35" s="4" t="str">
        <f aca="false">IF('دليل العملاء'!$B$31="","",'دليل العملاء'!$B$31)</f>
        <v/>
      </c>
      <c r="D35" s="27" t="str">
        <f aca="false">IF($C35="","",IF($B$4&amp;$B$5="",COUNTIFS('المبيعات اليومية'!$B$9:$B$308,$C35),COUNTIFS('المبيعات اليومية'!$B$9:$B$308,$C35,'المبيعات اليومية'!$A$9:$A$308,"&gt;="&amp;IF($B$4="",0,$B$4),'المبيعات اليومية'!$A$9:$A$308,"&lt;="&amp;IF($B$5="",2958465,$B$5))))</f>
        <v/>
      </c>
      <c r="E35" s="28" t="str">
        <f aca="false">IF($C35="","",IF($B$4&amp;$B$5="",SUMIFS('المبيعات اليومية'!$E$9:$E$308,'المبيعات اليومية'!$B$9:$B$308,$C35),SUMIFS('المبيعات اليومية'!$E$9:$E$308,'المبيعات اليومية'!$B$9:$B$308,$C35,'المبيعات اليومية'!$A$9:$A$308,"&gt;="&amp;IF($B$4="",0,$B$4),'المبيعات اليومية'!$A$9:$A$308,"&lt;="&amp;IF($B$5="",2958465,$B$5))))</f>
        <v/>
      </c>
      <c r="F35" s="19" t="str">
        <f aca="false">IF($C35="","",IF($B$4&amp;$B$5="",SUMIFS('المبيعات اليومية'!$H$9:$H$308,'المبيعات اليومية'!$B$9:$B$308,$C35),SUMIFS('المبيعات اليومية'!$H$9:$H$308,'المبيعات اليومية'!$B$9:$B$308,$C35,'المبيعات اليومية'!$A$9:$A$308,"&gt;="&amp;IF($B$4="",0,$B$4),'المبيعات اليومية'!$A$9:$A$308,"&lt;="&amp;IF($B$5="",2958465,$B$5))))</f>
        <v/>
      </c>
      <c r="G35" s="19" t="str">
        <f aca="false">IF($C35="","",IF($B$4&amp;$B$5="",SUMIFS('المبيعات اليومية'!$I$9:$I$308,'المبيعات اليومية'!$B$9:$B$308,$C35),SUMIFS('المبيعات اليومية'!$I$9:$I$308,'المبيعات اليومية'!$B$9:$B$308,$C35,'المبيعات اليومية'!$A$9:$A$308,"&gt;="&amp;IF($B$4="",0,$B$4),'المبيعات اليومية'!$A$9:$A$308,"&lt;="&amp;IF($B$5="",2958465,$B$5))))</f>
        <v/>
      </c>
      <c r="H35" s="20" t="str">
        <f aca="false">IF($C35="","",IF($B$4&amp;$B$5="",SUMIFS('المبيعات اليومية'!$J$9:$J$308,'المبيعات اليومية'!$B$9:$B$308,$C35),SUMIFS('المبيعات اليومية'!$J$9:$J$308,'المبيعات اليومية'!$B$9:$B$308,$C35,'المبيعات اليومية'!$A$9:$A$308,"&gt;="&amp;IF($B$4="",0,$B$4),'المبيعات اليومية'!$A$9:$A$308,"&lt;="&amp;IF($B$5="",2958465,$B$5))))</f>
        <v/>
      </c>
      <c r="I35" s="29" t="str">
        <f aca="false">IF(OR($C35="",$H$108=0),"",H35/$H$108)</f>
        <v/>
      </c>
      <c r="J35" s="21" t="str">
        <f aca="false">IF(C35="","",IF(D35&gt;0,"نشط","لا يوجد مبيعات"))</f>
        <v/>
      </c>
    </row>
    <row r="36" customFormat="false" ht="15" hidden="false" customHeight="false" outlineLevel="0" collapsed="false">
      <c r="A36" s="21" t="str">
        <f aca="false">IF(C36="","",29)</f>
        <v/>
      </c>
      <c r="B36" s="21" t="str">
        <f aca="false">IF('دليل العملاء'!$B$32="","",'دليل العملاء'!$A$32)</f>
        <v/>
      </c>
      <c r="C36" s="4" t="str">
        <f aca="false">IF('دليل العملاء'!$B$32="","",'دليل العملاء'!$B$32)</f>
        <v/>
      </c>
      <c r="D36" s="27" t="str">
        <f aca="false">IF($C36="","",IF($B$4&amp;$B$5="",COUNTIFS('المبيعات اليومية'!$B$9:$B$308,$C36),COUNTIFS('المبيعات اليومية'!$B$9:$B$308,$C36,'المبيعات اليومية'!$A$9:$A$308,"&gt;="&amp;IF($B$4="",0,$B$4),'المبيعات اليومية'!$A$9:$A$308,"&lt;="&amp;IF($B$5="",2958465,$B$5))))</f>
        <v/>
      </c>
      <c r="E36" s="28" t="str">
        <f aca="false">IF($C36="","",IF($B$4&amp;$B$5="",SUMIFS('المبيعات اليومية'!$E$9:$E$308,'المبيعات اليومية'!$B$9:$B$308,$C36),SUMIFS('المبيعات اليومية'!$E$9:$E$308,'المبيعات اليومية'!$B$9:$B$308,$C36,'المبيعات اليومية'!$A$9:$A$308,"&gt;="&amp;IF($B$4="",0,$B$4),'المبيعات اليومية'!$A$9:$A$308,"&lt;="&amp;IF($B$5="",2958465,$B$5))))</f>
        <v/>
      </c>
      <c r="F36" s="19" t="str">
        <f aca="false">IF($C36="","",IF($B$4&amp;$B$5="",SUMIFS('المبيعات اليومية'!$H$9:$H$308,'المبيعات اليومية'!$B$9:$B$308,$C36),SUMIFS('المبيعات اليومية'!$H$9:$H$308,'المبيعات اليومية'!$B$9:$B$308,$C36,'المبيعات اليومية'!$A$9:$A$308,"&gt;="&amp;IF($B$4="",0,$B$4),'المبيعات اليومية'!$A$9:$A$308,"&lt;="&amp;IF($B$5="",2958465,$B$5))))</f>
        <v/>
      </c>
      <c r="G36" s="19" t="str">
        <f aca="false">IF($C36="","",IF($B$4&amp;$B$5="",SUMIFS('المبيعات اليومية'!$I$9:$I$308,'المبيعات اليومية'!$B$9:$B$308,$C36),SUMIFS('المبيعات اليومية'!$I$9:$I$308,'المبيعات اليومية'!$B$9:$B$308,$C36,'المبيعات اليومية'!$A$9:$A$308,"&gt;="&amp;IF($B$4="",0,$B$4),'المبيعات اليومية'!$A$9:$A$308,"&lt;="&amp;IF($B$5="",2958465,$B$5))))</f>
        <v/>
      </c>
      <c r="H36" s="20" t="str">
        <f aca="false">IF($C36="","",IF($B$4&amp;$B$5="",SUMIFS('المبيعات اليومية'!$J$9:$J$308,'المبيعات اليومية'!$B$9:$B$308,$C36),SUMIFS('المبيعات اليومية'!$J$9:$J$308,'المبيعات اليومية'!$B$9:$B$308,$C36,'المبيعات اليومية'!$A$9:$A$308,"&gt;="&amp;IF($B$4="",0,$B$4),'المبيعات اليومية'!$A$9:$A$308,"&lt;="&amp;IF($B$5="",2958465,$B$5))))</f>
        <v/>
      </c>
      <c r="I36" s="29" t="str">
        <f aca="false">IF(OR($C36="",$H$108=0),"",H36/$H$108)</f>
        <v/>
      </c>
      <c r="J36" s="21" t="str">
        <f aca="false">IF(C36="","",IF(D36&gt;0,"نشط","لا يوجد مبيعات"))</f>
        <v/>
      </c>
    </row>
    <row r="37" customFormat="false" ht="15" hidden="false" customHeight="false" outlineLevel="0" collapsed="false">
      <c r="A37" s="21" t="str">
        <f aca="false">IF(C37="","",30)</f>
        <v/>
      </c>
      <c r="B37" s="21" t="str">
        <f aca="false">IF('دليل العملاء'!$B$33="","",'دليل العملاء'!$A$33)</f>
        <v/>
      </c>
      <c r="C37" s="4" t="str">
        <f aca="false">IF('دليل العملاء'!$B$33="","",'دليل العملاء'!$B$33)</f>
        <v/>
      </c>
      <c r="D37" s="27" t="str">
        <f aca="false">IF($C37="","",IF($B$4&amp;$B$5="",COUNTIFS('المبيعات اليومية'!$B$9:$B$308,$C37),COUNTIFS('المبيعات اليومية'!$B$9:$B$308,$C37,'المبيعات اليومية'!$A$9:$A$308,"&gt;="&amp;IF($B$4="",0,$B$4),'المبيعات اليومية'!$A$9:$A$308,"&lt;="&amp;IF($B$5="",2958465,$B$5))))</f>
        <v/>
      </c>
      <c r="E37" s="28" t="str">
        <f aca="false">IF($C37="","",IF($B$4&amp;$B$5="",SUMIFS('المبيعات اليومية'!$E$9:$E$308,'المبيعات اليومية'!$B$9:$B$308,$C37),SUMIFS('المبيعات اليومية'!$E$9:$E$308,'المبيعات اليومية'!$B$9:$B$308,$C37,'المبيعات اليومية'!$A$9:$A$308,"&gt;="&amp;IF($B$4="",0,$B$4),'المبيعات اليومية'!$A$9:$A$308,"&lt;="&amp;IF($B$5="",2958465,$B$5))))</f>
        <v/>
      </c>
      <c r="F37" s="19" t="str">
        <f aca="false">IF($C37="","",IF($B$4&amp;$B$5="",SUMIFS('المبيعات اليومية'!$H$9:$H$308,'المبيعات اليومية'!$B$9:$B$308,$C37),SUMIFS('المبيعات اليومية'!$H$9:$H$308,'المبيعات اليومية'!$B$9:$B$308,$C37,'المبيعات اليومية'!$A$9:$A$308,"&gt;="&amp;IF($B$4="",0,$B$4),'المبيعات اليومية'!$A$9:$A$308,"&lt;="&amp;IF($B$5="",2958465,$B$5))))</f>
        <v/>
      </c>
      <c r="G37" s="19" t="str">
        <f aca="false">IF($C37="","",IF($B$4&amp;$B$5="",SUMIFS('المبيعات اليومية'!$I$9:$I$308,'المبيعات اليومية'!$B$9:$B$308,$C37),SUMIFS('المبيعات اليومية'!$I$9:$I$308,'المبيعات اليومية'!$B$9:$B$308,$C37,'المبيعات اليومية'!$A$9:$A$308,"&gt;="&amp;IF($B$4="",0,$B$4),'المبيعات اليومية'!$A$9:$A$308,"&lt;="&amp;IF($B$5="",2958465,$B$5))))</f>
        <v/>
      </c>
      <c r="H37" s="20" t="str">
        <f aca="false">IF($C37="","",IF($B$4&amp;$B$5="",SUMIFS('المبيعات اليومية'!$J$9:$J$308,'المبيعات اليومية'!$B$9:$B$308,$C37),SUMIFS('المبيعات اليومية'!$J$9:$J$308,'المبيعات اليومية'!$B$9:$B$308,$C37,'المبيعات اليومية'!$A$9:$A$308,"&gt;="&amp;IF($B$4="",0,$B$4),'المبيعات اليومية'!$A$9:$A$308,"&lt;="&amp;IF($B$5="",2958465,$B$5))))</f>
        <v/>
      </c>
      <c r="I37" s="29" t="str">
        <f aca="false">IF(OR($C37="",$H$108=0),"",H37/$H$108)</f>
        <v/>
      </c>
      <c r="J37" s="21" t="str">
        <f aca="false">IF(C37="","",IF(D37&gt;0,"نشط","لا يوجد مبيعات"))</f>
        <v/>
      </c>
    </row>
    <row r="38" customFormat="false" ht="15" hidden="false" customHeight="false" outlineLevel="0" collapsed="false">
      <c r="A38" s="21" t="str">
        <f aca="false">IF(C38="","",31)</f>
        <v/>
      </c>
      <c r="B38" s="21" t="str">
        <f aca="false">IF('دليل العملاء'!$B$34="","",'دليل العملاء'!$A$34)</f>
        <v/>
      </c>
      <c r="C38" s="4" t="str">
        <f aca="false">IF('دليل العملاء'!$B$34="","",'دليل العملاء'!$B$34)</f>
        <v/>
      </c>
      <c r="D38" s="27" t="str">
        <f aca="false">IF($C38="","",IF($B$4&amp;$B$5="",COUNTIFS('المبيعات اليومية'!$B$9:$B$308,$C38),COUNTIFS('المبيعات اليومية'!$B$9:$B$308,$C38,'المبيعات اليومية'!$A$9:$A$308,"&gt;="&amp;IF($B$4="",0,$B$4),'المبيعات اليومية'!$A$9:$A$308,"&lt;="&amp;IF($B$5="",2958465,$B$5))))</f>
        <v/>
      </c>
      <c r="E38" s="28" t="str">
        <f aca="false">IF($C38="","",IF($B$4&amp;$B$5="",SUMIFS('المبيعات اليومية'!$E$9:$E$308,'المبيعات اليومية'!$B$9:$B$308,$C38),SUMIFS('المبيعات اليومية'!$E$9:$E$308,'المبيعات اليومية'!$B$9:$B$308,$C38,'المبيعات اليومية'!$A$9:$A$308,"&gt;="&amp;IF($B$4="",0,$B$4),'المبيعات اليومية'!$A$9:$A$308,"&lt;="&amp;IF($B$5="",2958465,$B$5))))</f>
        <v/>
      </c>
      <c r="F38" s="19" t="str">
        <f aca="false">IF($C38="","",IF($B$4&amp;$B$5="",SUMIFS('المبيعات اليومية'!$H$9:$H$308,'المبيعات اليومية'!$B$9:$B$308,$C38),SUMIFS('المبيعات اليومية'!$H$9:$H$308,'المبيعات اليومية'!$B$9:$B$308,$C38,'المبيعات اليومية'!$A$9:$A$308,"&gt;="&amp;IF($B$4="",0,$B$4),'المبيعات اليومية'!$A$9:$A$308,"&lt;="&amp;IF($B$5="",2958465,$B$5))))</f>
        <v/>
      </c>
      <c r="G38" s="19" t="str">
        <f aca="false">IF($C38="","",IF($B$4&amp;$B$5="",SUMIFS('المبيعات اليومية'!$I$9:$I$308,'المبيعات اليومية'!$B$9:$B$308,$C38),SUMIFS('المبيعات اليومية'!$I$9:$I$308,'المبيعات اليومية'!$B$9:$B$308,$C38,'المبيعات اليومية'!$A$9:$A$308,"&gt;="&amp;IF($B$4="",0,$B$4),'المبيعات اليومية'!$A$9:$A$308,"&lt;="&amp;IF($B$5="",2958465,$B$5))))</f>
        <v/>
      </c>
      <c r="H38" s="20" t="str">
        <f aca="false">IF($C38="","",IF($B$4&amp;$B$5="",SUMIFS('المبيعات اليومية'!$J$9:$J$308,'المبيعات اليومية'!$B$9:$B$308,$C38),SUMIFS('المبيعات اليومية'!$J$9:$J$308,'المبيعات اليومية'!$B$9:$B$308,$C38,'المبيعات اليومية'!$A$9:$A$308,"&gt;="&amp;IF($B$4="",0,$B$4),'المبيعات اليومية'!$A$9:$A$308,"&lt;="&amp;IF($B$5="",2958465,$B$5))))</f>
        <v/>
      </c>
      <c r="I38" s="29" t="str">
        <f aca="false">IF(OR($C38="",$H$108=0),"",H38/$H$108)</f>
        <v/>
      </c>
      <c r="J38" s="21" t="str">
        <f aca="false">IF(C38="","",IF(D38&gt;0,"نشط","لا يوجد مبيعات"))</f>
        <v/>
      </c>
    </row>
    <row r="39" customFormat="false" ht="15" hidden="false" customHeight="false" outlineLevel="0" collapsed="false">
      <c r="A39" s="21" t="str">
        <f aca="false">IF(C39="","",32)</f>
        <v/>
      </c>
      <c r="B39" s="21" t="str">
        <f aca="false">IF('دليل العملاء'!$B$35="","",'دليل العملاء'!$A$35)</f>
        <v/>
      </c>
      <c r="C39" s="4" t="str">
        <f aca="false">IF('دليل العملاء'!$B$35="","",'دليل العملاء'!$B$35)</f>
        <v/>
      </c>
      <c r="D39" s="27" t="str">
        <f aca="false">IF($C39="","",IF($B$4&amp;$B$5="",COUNTIFS('المبيعات اليومية'!$B$9:$B$308,$C39),COUNTIFS('المبيعات اليومية'!$B$9:$B$308,$C39,'المبيعات اليومية'!$A$9:$A$308,"&gt;="&amp;IF($B$4="",0,$B$4),'المبيعات اليومية'!$A$9:$A$308,"&lt;="&amp;IF($B$5="",2958465,$B$5))))</f>
        <v/>
      </c>
      <c r="E39" s="28" t="str">
        <f aca="false">IF($C39="","",IF($B$4&amp;$B$5="",SUMIFS('المبيعات اليومية'!$E$9:$E$308,'المبيعات اليومية'!$B$9:$B$308,$C39),SUMIFS('المبيعات اليومية'!$E$9:$E$308,'المبيعات اليومية'!$B$9:$B$308,$C39,'المبيعات اليومية'!$A$9:$A$308,"&gt;="&amp;IF($B$4="",0,$B$4),'المبيعات اليومية'!$A$9:$A$308,"&lt;="&amp;IF($B$5="",2958465,$B$5))))</f>
        <v/>
      </c>
      <c r="F39" s="19" t="str">
        <f aca="false">IF($C39="","",IF($B$4&amp;$B$5="",SUMIFS('المبيعات اليومية'!$H$9:$H$308,'المبيعات اليومية'!$B$9:$B$308,$C39),SUMIFS('المبيعات اليومية'!$H$9:$H$308,'المبيعات اليومية'!$B$9:$B$308,$C39,'المبيعات اليومية'!$A$9:$A$308,"&gt;="&amp;IF($B$4="",0,$B$4),'المبيعات اليومية'!$A$9:$A$308,"&lt;="&amp;IF($B$5="",2958465,$B$5))))</f>
        <v/>
      </c>
      <c r="G39" s="19" t="str">
        <f aca="false">IF($C39="","",IF($B$4&amp;$B$5="",SUMIFS('المبيعات اليومية'!$I$9:$I$308,'المبيعات اليومية'!$B$9:$B$308,$C39),SUMIFS('المبيعات اليومية'!$I$9:$I$308,'المبيعات اليومية'!$B$9:$B$308,$C39,'المبيعات اليومية'!$A$9:$A$308,"&gt;="&amp;IF($B$4="",0,$B$4),'المبيعات اليومية'!$A$9:$A$308,"&lt;="&amp;IF($B$5="",2958465,$B$5))))</f>
        <v/>
      </c>
      <c r="H39" s="20" t="str">
        <f aca="false">IF($C39="","",IF($B$4&amp;$B$5="",SUMIFS('المبيعات اليومية'!$J$9:$J$308,'المبيعات اليومية'!$B$9:$B$308,$C39),SUMIFS('المبيعات اليومية'!$J$9:$J$308,'المبيعات اليومية'!$B$9:$B$308,$C39,'المبيعات اليومية'!$A$9:$A$308,"&gt;="&amp;IF($B$4="",0,$B$4),'المبيعات اليومية'!$A$9:$A$308,"&lt;="&amp;IF($B$5="",2958465,$B$5))))</f>
        <v/>
      </c>
      <c r="I39" s="29" t="str">
        <f aca="false">IF(OR($C39="",$H$108=0),"",H39/$H$108)</f>
        <v/>
      </c>
      <c r="J39" s="21" t="str">
        <f aca="false">IF(C39="","",IF(D39&gt;0,"نشط","لا يوجد مبيعات"))</f>
        <v/>
      </c>
    </row>
    <row r="40" customFormat="false" ht="15" hidden="false" customHeight="false" outlineLevel="0" collapsed="false">
      <c r="A40" s="21" t="str">
        <f aca="false">IF(C40="","",33)</f>
        <v/>
      </c>
      <c r="B40" s="21" t="str">
        <f aca="false">IF('دليل العملاء'!$B$36="","",'دليل العملاء'!$A$36)</f>
        <v/>
      </c>
      <c r="C40" s="4" t="str">
        <f aca="false">IF('دليل العملاء'!$B$36="","",'دليل العملاء'!$B$36)</f>
        <v/>
      </c>
      <c r="D40" s="27" t="str">
        <f aca="false">IF($C40="","",IF($B$4&amp;$B$5="",COUNTIFS('المبيعات اليومية'!$B$9:$B$308,$C40),COUNTIFS('المبيعات اليومية'!$B$9:$B$308,$C40,'المبيعات اليومية'!$A$9:$A$308,"&gt;="&amp;IF($B$4="",0,$B$4),'المبيعات اليومية'!$A$9:$A$308,"&lt;="&amp;IF($B$5="",2958465,$B$5))))</f>
        <v/>
      </c>
      <c r="E40" s="28" t="str">
        <f aca="false">IF($C40="","",IF($B$4&amp;$B$5="",SUMIFS('المبيعات اليومية'!$E$9:$E$308,'المبيعات اليومية'!$B$9:$B$308,$C40),SUMIFS('المبيعات اليومية'!$E$9:$E$308,'المبيعات اليومية'!$B$9:$B$308,$C40,'المبيعات اليومية'!$A$9:$A$308,"&gt;="&amp;IF($B$4="",0,$B$4),'المبيعات اليومية'!$A$9:$A$308,"&lt;="&amp;IF($B$5="",2958465,$B$5))))</f>
        <v/>
      </c>
      <c r="F40" s="19" t="str">
        <f aca="false">IF($C40="","",IF($B$4&amp;$B$5="",SUMIFS('المبيعات اليومية'!$H$9:$H$308,'المبيعات اليومية'!$B$9:$B$308,$C40),SUMIFS('المبيعات اليومية'!$H$9:$H$308,'المبيعات اليومية'!$B$9:$B$308,$C40,'المبيعات اليومية'!$A$9:$A$308,"&gt;="&amp;IF($B$4="",0,$B$4),'المبيعات اليومية'!$A$9:$A$308,"&lt;="&amp;IF($B$5="",2958465,$B$5))))</f>
        <v/>
      </c>
      <c r="G40" s="19" t="str">
        <f aca="false">IF($C40="","",IF($B$4&amp;$B$5="",SUMIFS('المبيعات اليومية'!$I$9:$I$308,'المبيعات اليومية'!$B$9:$B$308,$C40),SUMIFS('المبيعات اليومية'!$I$9:$I$308,'المبيعات اليومية'!$B$9:$B$308,$C40,'المبيعات اليومية'!$A$9:$A$308,"&gt;="&amp;IF($B$4="",0,$B$4),'المبيعات اليومية'!$A$9:$A$308,"&lt;="&amp;IF($B$5="",2958465,$B$5))))</f>
        <v/>
      </c>
      <c r="H40" s="20" t="str">
        <f aca="false">IF($C40="","",IF($B$4&amp;$B$5="",SUMIFS('المبيعات اليومية'!$J$9:$J$308,'المبيعات اليومية'!$B$9:$B$308,$C40),SUMIFS('المبيعات اليومية'!$J$9:$J$308,'المبيعات اليومية'!$B$9:$B$308,$C40,'المبيعات اليومية'!$A$9:$A$308,"&gt;="&amp;IF($B$4="",0,$B$4),'المبيعات اليومية'!$A$9:$A$308,"&lt;="&amp;IF($B$5="",2958465,$B$5))))</f>
        <v/>
      </c>
      <c r="I40" s="29" t="str">
        <f aca="false">IF(OR($C40="",$H$108=0),"",H40/$H$108)</f>
        <v/>
      </c>
      <c r="J40" s="21" t="str">
        <f aca="false">IF(C40="","",IF(D40&gt;0,"نشط","لا يوجد مبيعات"))</f>
        <v/>
      </c>
    </row>
    <row r="41" customFormat="false" ht="15" hidden="false" customHeight="false" outlineLevel="0" collapsed="false">
      <c r="A41" s="21" t="str">
        <f aca="false">IF(C41="","",34)</f>
        <v/>
      </c>
      <c r="B41" s="21" t="str">
        <f aca="false">IF('دليل العملاء'!$B$37="","",'دليل العملاء'!$A$37)</f>
        <v/>
      </c>
      <c r="C41" s="4" t="str">
        <f aca="false">IF('دليل العملاء'!$B$37="","",'دليل العملاء'!$B$37)</f>
        <v/>
      </c>
      <c r="D41" s="27" t="str">
        <f aca="false">IF($C41="","",IF($B$4&amp;$B$5="",COUNTIFS('المبيعات اليومية'!$B$9:$B$308,$C41),COUNTIFS('المبيعات اليومية'!$B$9:$B$308,$C41,'المبيعات اليومية'!$A$9:$A$308,"&gt;="&amp;IF($B$4="",0,$B$4),'المبيعات اليومية'!$A$9:$A$308,"&lt;="&amp;IF($B$5="",2958465,$B$5))))</f>
        <v/>
      </c>
      <c r="E41" s="28" t="str">
        <f aca="false">IF($C41="","",IF($B$4&amp;$B$5="",SUMIFS('المبيعات اليومية'!$E$9:$E$308,'المبيعات اليومية'!$B$9:$B$308,$C41),SUMIFS('المبيعات اليومية'!$E$9:$E$308,'المبيعات اليومية'!$B$9:$B$308,$C41,'المبيعات اليومية'!$A$9:$A$308,"&gt;="&amp;IF($B$4="",0,$B$4),'المبيعات اليومية'!$A$9:$A$308,"&lt;="&amp;IF($B$5="",2958465,$B$5))))</f>
        <v/>
      </c>
      <c r="F41" s="19" t="str">
        <f aca="false">IF($C41="","",IF($B$4&amp;$B$5="",SUMIFS('المبيعات اليومية'!$H$9:$H$308,'المبيعات اليومية'!$B$9:$B$308,$C41),SUMIFS('المبيعات اليومية'!$H$9:$H$308,'المبيعات اليومية'!$B$9:$B$308,$C41,'المبيعات اليومية'!$A$9:$A$308,"&gt;="&amp;IF($B$4="",0,$B$4),'المبيعات اليومية'!$A$9:$A$308,"&lt;="&amp;IF($B$5="",2958465,$B$5))))</f>
        <v/>
      </c>
      <c r="G41" s="19" t="str">
        <f aca="false">IF($C41="","",IF($B$4&amp;$B$5="",SUMIFS('المبيعات اليومية'!$I$9:$I$308,'المبيعات اليومية'!$B$9:$B$308,$C41),SUMIFS('المبيعات اليومية'!$I$9:$I$308,'المبيعات اليومية'!$B$9:$B$308,$C41,'المبيعات اليومية'!$A$9:$A$308,"&gt;="&amp;IF($B$4="",0,$B$4),'المبيعات اليومية'!$A$9:$A$308,"&lt;="&amp;IF($B$5="",2958465,$B$5))))</f>
        <v/>
      </c>
      <c r="H41" s="20" t="str">
        <f aca="false">IF($C41="","",IF($B$4&amp;$B$5="",SUMIFS('المبيعات اليومية'!$J$9:$J$308,'المبيعات اليومية'!$B$9:$B$308,$C41),SUMIFS('المبيعات اليومية'!$J$9:$J$308,'المبيعات اليومية'!$B$9:$B$308,$C41,'المبيعات اليومية'!$A$9:$A$308,"&gt;="&amp;IF($B$4="",0,$B$4),'المبيعات اليومية'!$A$9:$A$308,"&lt;="&amp;IF($B$5="",2958465,$B$5))))</f>
        <v/>
      </c>
      <c r="I41" s="29" t="str">
        <f aca="false">IF(OR($C41="",$H$108=0),"",H41/$H$108)</f>
        <v/>
      </c>
      <c r="J41" s="21" t="str">
        <f aca="false">IF(C41="","",IF(D41&gt;0,"نشط","لا يوجد مبيعات"))</f>
        <v/>
      </c>
    </row>
    <row r="42" customFormat="false" ht="15" hidden="false" customHeight="false" outlineLevel="0" collapsed="false">
      <c r="A42" s="21" t="str">
        <f aca="false">IF(C42="","",35)</f>
        <v/>
      </c>
      <c r="B42" s="21" t="str">
        <f aca="false">IF('دليل العملاء'!$B$38="","",'دليل العملاء'!$A$38)</f>
        <v/>
      </c>
      <c r="C42" s="4" t="str">
        <f aca="false">IF('دليل العملاء'!$B$38="","",'دليل العملاء'!$B$38)</f>
        <v/>
      </c>
      <c r="D42" s="27" t="str">
        <f aca="false">IF($C42="","",IF($B$4&amp;$B$5="",COUNTIFS('المبيعات اليومية'!$B$9:$B$308,$C42),COUNTIFS('المبيعات اليومية'!$B$9:$B$308,$C42,'المبيعات اليومية'!$A$9:$A$308,"&gt;="&amp;IF($B$4="",0,$B$4),'المبيعات اليومية'!$A$9:$A$308,"&lt;="&amp;IF($B$5="",2958465,$B$5))))</f>
        <v/>
      </c>
      <c r="E42" s="28" t="str">
        <f aca="false">IF($C42="","",IF($B$4&amp;$B$5="",SUMIFS('المبيعات اليومية'!$E$9:$E$308,'المبيعات اليومية'!$B$9:$B$308,$C42),SUMIFS('المبيعات اليومية'!$E$9:$E$308,'المبيعات اليومية'!$B$9:$B$308,$C42,'المبيعات اليومية'!$A$9:$A$308,"&gt;="&amp;IF($B$4="",0,$B$4),'المبيعات اليومية'!$A$9:$A$308,"&lt;="&amp;IF($B$5="",2958465,$B$5))))</f>
        <v/>
      </c>
      <c r="F42" s="19" t="str">
        <f aca="false">IF($C42="","",IF($B$4&amp;$B$5="",SUMIFS('المبيعات اليومية'!$H$9:$H$308,'المبيعات اليومية'!$B$9:$B$308,$C42),SUMIFS('المبيعات اليومية'!$H$9:$H$308,'المبيعات اليومية'!$B$9:$B$308,$C42,'المبيعات اليومية'!$A$9:$A$308,"&gt;="&amp;IF($B$4="",0,$B$4),'المبيعات اليومية'!$A$9:$A$308,"&lt;="&amp;IF($B$5="",2958465,$B$5))))</f>
        <v/>
      </c>
      <c r="G42" s="19" t="str">
        <f aca="false">IF($C42="","",IF($B$4&amp;$B$5="",SUMIFS('المبيعات اليومية'!$I$9:$I$308,'المبيعات اليومية'!$B$9:$B$308,$C42),SUMIFS('المبيعات اليومية'!$I$9:$I$308,'المبيعات اليومية'!$B$9:$B$308,$C42,'المبيعات اليومية'!$A$9:$A$308,"&gt;="&amp;IF($B$4="",0,$B$4),'المبيعات اليومية'!$A$9:$A$308,"&lt;="&amp;IF($B$5="",2958465,$B$5))))</f>
        <v/>
      </c>
      <c r="H42" s="20" t="str">
        <f aca="false">IF($C42="","",IF($B$4&amp;$B$5="",SUMIFS('المبيعات اليومية'!$J$9:$J$308,'المبيعات اليومية'!$B$9:$B$308,$C42),SUMIFS('المبيعات اليومية'!$J$9:$J$308,'المبيعات اليومية'!$B$9:$B$308,$C42,'المبيعات اليومية'!$A$9:$A$308,"&gt;="&amp;IF($B$4="",0,$B$4),'المبيعات اليومية'!$A$9:$A$308,"&lt;="&amp;IF($B$5="",2958465,$B$5))))</f>
        <v/>
      </c>
      <c r="I42" s="29" t="str">
        <f aca="false">IF(OR($C42="",$H$108=0),"",H42/$H$108)</f>
        <v/>
      </c>
      <c r="J42" s="21" t="str">
        <f aca="false">IF(C42="","",IF(D42&gt;0,"نشط","لا يوجد مبيعات"))</f>
        <v/>
      </c>
    </row>
    <row r="43" customFormat="false" ht="15" hidden="false" customHeight="false" outlineLevel="0" collapsed="false">
      <c r="A43" s="21" t="str">
        <f aca="false">IF(C43="","",36)</f>
        <v/>
      </c>
      <c r="B43" s="21" t="str">
        <f aca="false">IF('دليل العملاء'!$B$39="","",'دليل العملاء'!$A$39)</f>
        <v/>
      </c>
      <c r="C43" s="4" t="str">
        <f aca="false">IF('دليل العملاء'!$B$39="","",'دليل العملاء'!$B$39)</f>
        <v/>
      </c>
      <c r="D43" s="27" t="str">
        <f aca="false">IF($C43="","",IF($B$4&amp;$B$5="",COUNTIFS('المبيعات اليومية'!$B$9:$B$308,$C43),COUNTIFS('المبيعات اليومية'!$B$9:$B$308,$C43,'المبيعات اليومية'!$A$9:$A$308,"&gt;="&amp;IF($B$4="",0,$B$4),'المبيعات اليومية'!$A$9:$A$308,"&lt;="&amp;IF($B$5="",2958465,$B$5))))</f>
        <v/>
      </c>
      <c r="E43" s="28" t="str">
        <f aca="false">IF($C43="","",IF($B$4&amp;$B$5="",SUMIFS('المبيعات اليومية'!$E$9:$E$308,'المبيعات اليومية'!$B$9:$B$308,$C43),SUMIFS('المبيعات اليومية'!$E$9:$E$308,'المبيعات اليومية'!$B$9:$B$308,$C43,'المبيعات اليومية'!$A$9:$A$308,"&gt;="&amp;IF($B$4="",0,$B$4),'المبيعات اليومية'!$A$9:$A$308,"&lt;="&amp;IF($B$5="",2958465,$B$5))))</f>
        <v/>
      </c>
      <c r="F43" s="19" t="str">
        <f aca="false">IF($C43="","",IF($B$4&amp;$B$5="",SUMIFS('المبيعات اليومية'!$H$9:$H$308,'المبيعات اليومية'!$B$9:$B$308,$C43),SUMIFS('المبيعات اليومية'!$H$9:$H$308,'المبيعات اليومية'!$B$9:$B$308,$C43,'المبيعات اليومية'!$A$9:$A$308,"&gt;="&amp;IF($B$4="",0,$B$4),'المبيعات اليومية'!$A$9:$A$308,"&lt;="&amp;IF($B$5="",2958465,$B$5))))</f>
        <v/>
      </c>
      <c r="G43" s="19" t="str">
        <f aca="false">IF($C43="","",IF($B$4&amp;$B$5="",SUMIFS('المبيعات اليومية'!$I$9:$I$308,'المبيعات اليومية'!$B$9:$B$308,$C43),SUMIFS('المبيعات اليومية'!$I$9:$I$308,'المبيعات اليومية'!$B$9:$B$308,$C43,'المبيعات اليومية'!$A$9:$A$308,"&gt;="&amp;IF($B$4="",0,$B$4),'المبيعات اليومية'!$A$9:$A$308,"&lt;="&amp;IF($B$5="",2958465,$B$5))))</f>
        <v/>
      </c>
      <c r="H43" s="20" t="str">
        <f aca="false">IF($C43="","",IF($B$4&amp;$B$5="",SUMIFS('المبيعات اليومية'!$J$9:$J$308,'المبيعات اليومية'!$B$9:$B$308,$C43),SUMIFS('المبيعات اليومية'!$J$9:$J$308,'المبيعات اليومية'!$B$9:$B$308,$C43,'المبيعات اليومية'!$A$9:$A$308,"&gt;="&amp;IF($B$4="",0,$B$4),'المبيعات اليومية'!$A$9:$A$308,"&lt;="&amp;IF($B$5="",2958465,$B$5))))</f>
        <v/>
      </c>
      <c r="I43" s="29" t="str">
        <f aca="false">IF(OR($C43="",$H$108=0),"",H43/$H$108)</f>
        <v/>
      </c>
      <c r="J43" s="21" t="str">
        <f aca="false">IF(C43="","",IF(D43&gt;0,"نشط","لا يوجد مبيعات"))</f>
        <v/>
      </c>
    </row>
    <row r="44" customFormat="false" ht="15" hidden="false" customHeight="false" outlineLevel="0" collapsed="false">
      <c r="A44" s="21" t="str">
        <f aca="false">IF(C44="","",37)</f>
        <v/>
      </c>
      <c r="B44" s="21" t="str">
        <f aca="false">IF('دليل العملاء'!$B$40="","",'دليل العملاء'!$A$40)</f>
        <v/>
      </c>
      <c r="C44" s="4" t="str">
        <f aca="false">IF('دليل العملاء'!$B$40="","",'دليل العملاء'!$B$40)</f>
        <v/>
      </c>
      <c r="D44" s="27" t="str">
        <f aca="false">IF($C44="","",IF($B$4&amp;$B$5="",COUNTIFS('المبيعات اليومية'!$B$9:$B$308,$C44),COUNTIFS('المبيعات اليومية'!$B$9:$B$308,$C44,'المبيعات اليومية'!$A$9:$A$308,"&gt;="&amp;IF($B$4="",0,$B$4),'المبيعات اليومية'!$A$9:$A$308,"&lt;="&amp;IF($B$5="",2958465,$B$5))))</f>
        <v/>
      </c>
      <c r="E44" s="28" t="str">
        <f aca="false">IF($C44="","",IF($B$4&amp;$B$5="",SUMIFS('المبيعات اليومية'!$E$9:$E$308,'المبيعات اليومية'!$B$9:$B$308,$C44),SUMIFS('المبيعات اليومية'!$E$9:$E$308,'المبيعات اليومية'!$B$9:$B$308,$C44,'المبيعات اليومية'!$A$9:$A$308,"&gt;="&amp;IF($B$4="",0,$B$4),'المبيعات اليومية'!$A$9:$A$308,"&lt;="&amp;IF($B$5="",2958465,$B$5))))</f>
        <v/>
      </c>
      <c r="F44" s="19" t="str">
        <f aca="false">IF($C44="","",IF($B$4&amp;$B$5="",SUMIFS('المبيعات اليومية'!$H$9:$H$308,'المبيعات اليومية'!$B$9:$B$308,$C44),SUMIFS('المبيعات اليومية'!$H$9:$H$308,'المبيعات اليومية'!$B$9:$B$308,$C44,'المبيعات اليومية'!$A$9:$A$308,"&gt;="&amp;IF($B$4="",0,$B$4),'المبيعات اليومية'!$A$9:$A$308,"&lt;="&amp;IF($B$5="",2958465,$B$5))))</f>
        <v/>
      </c>
      <c r="G44" s="19" t="str">
        <f aca="false">IF($C44="","",IF($B$4&amp;$B$5="",SUMIFS('المبيعات اليومية'!$I$9:$I$308,'المبيعات اليومية'!$B$9:$B$308,$C44),SUMIFS('المبيعات اليومية'!$I$9:$I$308,'المبيعات اليومية'!$B$9:$B$308,$C44,'المبيعات اليومية'!$A$9:$A$308,"&gt;="&amp;IF($B$4="",0,$B$4),'المبيعات اليومية'!$A$9:$A$308,"&lt;="&amp;IF($B$5="",2958465,$B$5))))</f>
        <v/>
      </c>
      <c r="H44" s="20" t="str">
        <f aca="false">IF($C44="","",IF($B$4&amp;$B$5="",SUMIFS('المبيعات اليومية'!$J$9:$J$308,'المبيعات اليومية'!$B$9:$B$308,$C44),SUMIFS('المبيعات اليومية'!$J$9:$J$308,'المبيعات اليومية'!$B$9:$B$308,$C44,'المبيعات اليومية'!$A$9:$A$308,"&gt;="&amp;IF($B$4="",0,$B$4),'المبيعات اليومية'!$A$9:$A$308,"&lt;="&amp;IF($B$5="",2958465,$B$5))))</f>
        <v/>
      </c>
      <c r="I44" s="29" t="str">
        <f aca="false">IF(OR($C44="",$H$108=0),"",H44/$H$108)</f>
        <v/>
      </c>
      <c r="J44" s="21" t="str">
        <f aca="false">IF(C44="","",IF(D44&gt;0,"نشط","لا يوجد مبيعات"))</f>
        <v/>
      </c>
    </row>
    <row r="45" customFormat="false" ht="15" hidden="false" customHeight="false" outlineLevel="0" collapsed="false">
      <c r="A45" s="21" t="str">
        <f aca="false">IF(C45="","",38)</f>
        <v/>
      </c>
      <c r="B45" s="21" t="str">
        <f aca="false">IF('دليل العملاء'!$B$41="","",'دليل العملاء'!$A$41)</f>
        <v/>
      </c>
      <c r="C45" s="4" t="str">
        <f aca="false">IF('دليل العملاء'!$B$41="","",'دليل العملاء'!$B$41)</f>
        <v/>
      </c>
      <c r="D45" s="27" t="str">
        <f aca="false">IF($C45="","",IF($B$4&amp;$B$5="",COUNTIFS('المبيعات اليومية'!$B$9:$B$308,$C45),COUNTIFS('المبيعات اليومية'!$B$9:$B$308,$C45,'المبيعات اليومية'!$A$9:$A$308,"&gt;="&amp;IF($B$4="",0,$B$4),'المبيعات اليومية'!$A$9:$A$308,"&lt;="&amp;IF($B$5="",2958465,$B$5))))</f>
        <v/>
      </c>
      <c r="E45" s="28" t="str">
        <f aca="false">IF($C45="","",IF($B$4&amp;$B$5="",SUMIFS('المبيعات اليومية'!$E$9:$E$308,'المبيعات اليومية'!$B$9:$B$308,$C45),SUMIFS('المبيعات اليومية'!$E$9:$E$308,'المبيعات اليومية'!$B$9:$B$308,$C45,'المبيعات اليومية'!$A$9:$A$308,"&gt;="&amp;IF($B$4="",0,$B$4),'المبيعات اليومية'!$A$9:$A$308,"&lt;="&amp;IF($B$5="",2958465,$B$5))))</f>
        <v/>
      </c>
      <c r="F45" s="19" t="str">
        <f aca="false">IF($C45="","",IF($B$4&amp;$B$5="",SUMIFS('المبيعات اليومية'!$H$9:$H$308,'المبيعات اليومية'!$B$9:$B$308,$C45),SUMIFS('المبيعات اليومية'!$H$9:$H$308,'المبيعات اليومية'!$B$9:$B$308,$C45,'المبيعات اليومية'!$A$9:$A$308,"&gt;="&amp;IF($B$4="",0,$B$4),'المبيعات اليومية'!$A$9:$A$308,"&lt;="&amp;IF($B$5="",2958465,$B$5))))</f>
        <v/>
      </c>
      <c r="G45" s="19" t="str">
        <f aca="false">IF($C45="","",IF($B$4&amp;$B$5="",SUMIFS('المبيعات اليومية'!$I$9:$I$308,'المبيعات اليومية'!$B$9:$B$308,$C45),SUMIFS('المبيعات اليومية'!$I$9:$I$308,'المبيعات اليومية'!$B$9:$B$308,$C45,'المبيعات اليومية'!$A$9:$A$308,"&gt;="&amp;IF($B$4="",0,$B$4),'المبيعات اليومية'!$A$9:$A$308,"&lt;="&amp;IF($B$5="",2958465,$B$5))))</f>
        <v/>
      </c>
      <c r="H45" s="20" t="str">
        <f aca="false">IF($C45="","",IF($B$4&amp;$B$5="",SUMIFS('المبيعات اليومية'!$J$9:$J$308,'المبيعات اليومية'!$B$9:$B$308,$C45),SUMIFS('المبيعات اليومية'!$J$9:$J$308,'المبيعات اليومية'!$B$9:$B$308,$C45,'المبيعات اليومية'!$A$9:$A$308,"&gt;="&amp;IF($B$4="",0,$B$4),'المبيعات اليومية'!$A$9:$A$308,"&lt;="&amp;IF($B$5="",2958465,$B$5))))</f>
        <v/>
      </c>
      <c r="I45" s="29" t="str">
        <f aca="false">IF(OR($C45="",$H$108=0),"",H45/$H$108)</f>
        <v/>
      </c>
      <c r="J45" s="21" t="str">
        <f aca="false">IF(C45="","",IF(D45&gt;0,"نشط","لا يوجد مبيعات"))</f>
        <v/>
      </c>
    </row>
    <row r="46" customFormat="false" ht="15" hidden="false" customHeight="false" outlineLevel="0" collapsed="false">
      <c r="A46" s="21" t="str">
        <f aca="false">IF(C46="","",39)</f>
        <v/>
      </c>
      <c r="B46" s="21" t="str">
        <f aca="false">IF('دليل العملاء'!$B$42="","",'دليل العملاء'!$A$42)</f>
        <v/>
      </c>
      <c r="C46" s="4" t="str">
        <f aca="false">IF('دليل العملاء'!$B$42="","",'دليل العملاء'!$B$42)</f>
        <v/>
      </c>
      <c r="D46" s="27" t="str">
        <f aca="false">IF($C46="","",IF($B$4&amp;$B$5="",COUNTIFS('المبيعات اليومية'!$B$9:$B$308,$C46),COUNTIFS('المبيعات اليومية'!$B$9:$B$308,$C46,'المبيعات اليومية'!$A$9:$A$308,"&gt;="&amp;IF($B$4="",0,$B$4),'المبيعات اليومية'!$A$9:$A$308,"&lt;="&amp;IF($B$5="",2958465,$B$5))))</f>
        <v/>
      </c>
      <c r="E46" s="28" t="str">
        <f aca="false">IF($C46="","",IF($B$4&amp;$B$5="",SUMIFS('المبيعات اليومية'!$E$9:$E$308,'المبيعات اليومية'!$B$9:$B$308,$C46),SUMIFS('المبيعات اليومية'!$E$9:$E$308,'المبيعات اليومية'!$B$9:$B$308,$C46,'المبيعات اليومية'!$A$9:$A$308,"&gt;="&amp;IF($B$4="",0,$B$4),'المبيعات اليومية'!$A$9:$A$308,"&lt;="&amp;IF($B$5="",2958465,$B$5))))</f>
        <v/>
      </c>
      <c r="F46" s="19" t="str">
        <f aca="false">IF($C46="","",IF($B$4&amp;$B$5="",SUMIFS('المبيعات اليومية'!$H$9:$H$308,'المبيعات اليومية'!$B$9:$B$308,$C46),SUMIFS('المبيعات اليومية'!$H$9:$H$308,'المبيعات اليومية'!$B$9:$B$308,$C46,'المبيعات اليومية'!$A$9:$A$308,"&gt;="&amp;IF($B$4="",0,$B$4),'المبيعات اليومية'!$A$9:$A$308,"&lt;="&amp;IF($B$5="",2958465,$B$5))))</f>
        <v/>
      </c>
      <c r="G46" s="19" t="str">
        <f aca="false">IF($C46="","",IF($B$4&amp;$B$5="",SUMIFS('المبيعات اليومية'!$I$9:$I$308,'المبيعات اليومية'!$B$9:$B$308,$C46),SUMIFS('المبيعات اليومية'!$I$9:$I$308,'المبيعات اليومية'!$B$9:$B$308,$C46,'المبيعات اليومية'!$A$9:$A$308,"&gt;="&amp;IF($B$4="",0,$B$4),'المبيعات اليومية'!$A$9:$A$308,"&lt;="&amp;IF($B$5="",2958465,$B$5))))</f>
        <v/>
      </c>
      <c r="H46" s="20" t="str">
        <f aca="false">IF($C46="","",IF($B$4&amp;$B$5="",SUMIFS('المبيعات اليومية'!$J$9:$J$308,'المبيعات اليومية'!$B$9:$B$308,$C46),SUMIFS('المبيعات اليومية'!$J$9:$J$308,'المبيعات اليومية'!$B$9:$B$308,$C46,'المبيعات اليومية'!$A$9:$A$308,"&gt;="&amp;IF($B$4="",0,$B$4),'المبيعات اليومية'!$A$9:$A$308,"&lt;="&amp;IF($B$5="",2958465,$B$5))))</f>
        <v/>
      </c>
      <c r="I46" s="29" t="str">
        <f aca="false">IF(OR($C46="",$H$108=0),"",H46/$H$108)</f>
        <v/>
      </c>
      <c r="J46" s="21" t="str">
        <f aca="false">IF(C46="","",IF(D46&gt;0,"نشط","لا يوجد مبيعات"))</f>
        <v/>
      </c>
    </row>
    <row r="47" customFormat="false" ht="15" hidden="false" customHeight="false" outlineLevel="0" collapsed="false">
      <c r="A47" s="21" t="str">
        <f aca="false">IF(C47="","",40)</f>
        <v/>
      </c>
      <c r="B47" s="21" t="str">
        <f aca="false">IF('دليل العملاء'!$B$43="","",'دليل العملاء'!$A$43)</f>
        <v/>
      </c>
      <c r="C47" s="4" t="str">
        <f aca="false">IF('دليل العملاء'!$B$43="","",'دليل العملاء'!$B$43)</f>
        <v/>
      </c>
      <c r="D47" s="27" t="str">
        <f aca="false">IF($C47="","",IF($B$4&amp;$B$5="",COUNTIFS('المبيعات اليومية'!$B$9:$B$308,$C47),COUNTIFS('المبيعات اليومية'!$B$9:$B$308,$C47,'المبيعات اليومية'!$A$9:$A$308,"&gt;="&amp;IF($B$4="",0,$B$4),'المبيعات اليومية'!$A$9:$A$308,"&lt;="&amp;IF($B$5="",2958465,$B$5))))</f>
        <v/>
      </c>
      <c r="E47" s="28" t="str">
        <f aca="false">IF($C47="","",IF($B$4&amp;$B$5="",SUMIFS('المبيعات اليومية'!$E$9:$E$308,'المبيعات اليومية'!$B$9:$B$308,$C47),SUMIFS('المبيعات اليومية'!$E$9:$E$308,'المبيعات اليومية'!$B$9:$B$308,$C47,'المبيعات اليومية'!$A$9:$A$308,"&gt;="&amp;IF($B$4="",0,$B$4),'المبيعات اليومية'!$A$9:$A$308,"&lt;="&amp;IF($B$5="",2958465,$B$5))))</f>
        <v/>
      </c>
      <c r="F47" s="19" t="str">
        <f aca="false">IF($C47="","",IF($B$4&amp;$B$5="",SUMIFS('المبيعات اليومية'!$H$9:$H$308,'المبيعات اليومية'!$B$9:$B$308,$C47),SUMIFS('المبيعات اليومية'!$H$9:$H$308,'المبيعات اليومية'!$B$9:$B$308,$C47,'المبيعات اليومية'!$A$9:$A$308,"&gt;="&amp;IF($B$4="",0,$B$4),'المبيعات اليومية'!$A$9:$A$308,"&lt;="&amp;IF($B$5="",2958465,$B$5))))</f>
        <v/>
      </c>
      <c r="G47" s="19" t="str">
        <f aca="false">IF($C47="","",IF($B$4&amp;$B$5="",SUMIFS('المبيعات اليومية'!$I$9:$I$308,'المبيعات اليومية'!$B$9:$B$308,$C47),SUMIFS('المبيعات اليومية'!$I$9:$I$308,'المبيعات اليومية'!$B$9:$B$308,$C47,'المبيعات اليومية'!$A$9:$A$308,"&gt;="&amp;IF($B$4="",0,$B$4),'المبيعات اليومية'!$A$9:$A$308,"&lt;="&amp;IF($B$5="",2958465,$B$5))))</f>
        <v/>
      </c>
      <c r="H47" s="20" t="str">
        <f aca="false">IF($C47="","",IF($B$4&amp;$B$5="",SUMIFS('المبيعات اليومية'!$J$9:$J$308,'المبيعات اليومية'!$B$9:$B$308,$C47),SUMIFS('المبيعات اليومية'!$J$9:$J$308,'المبيعات اليومية'!$B$9:$B$308,$C47,'المبيعات اليومية'!$A$9:$A$308,"&gt;="&amp;IF($B$4="",0,$B$4),'المبيعات اليومية'!$A$9:$A$308,"&lt;="&amp;IF($B$5="",2958465,$B$5))))</f>
        <v/>
      </c>
      <c r="I47" s="29" t="str">
        <f aca="false">IF(OR($C47="",$H$108=0),"",H47/$H$108)</f>
        <v/>
      </c>
      <c r="J47" s="21" t="str">
        <f aca="false">IF(C47="","",IF(D47&gt;0,"نشط","لا يوجد مبيعات"))</f>
        <v/>
      </c>
    </row>
    <row r="48" customFormat="false" ht="15" hidden="false" customHeight="false" outlineLevel="0" collapsed="false">
      <c r="A48" s="21" t="str">
        <f aca="false">IF(C48="","",41)</f>
        <v/>
      </c>
      <c r="B48" s="21" t="str">
        <f aca="false">IF('دليل العملاء'!$B$44="","",'دليل العملاء'!$A$44)</f>
        <v/>
      </c>
      <c r="C48" s="4" t="str">
        <f aca="false">IF('دليل العملاء'!$B$44="","",'دليل العملاء'!$B$44)</f>
        <v/>
      </c>
      <c r="D48" s="27" t="str">
        <f aca="false">IF($C48="","",IF($B$4&amp;$B$5="",COUNTIFS('المبيعات اليومية'!$B$9:$B$308,$C48),COUNTIFS('المبيعات اليومية'!$B$9:$B$308,$C48,'المبيعات اليومية'!$A$9:$A$308,"&gt;="&amp;IF($B$4="",0,$B$4),'المبيعات اليومية'!$A$9:$A$308,"&lt;="&amp;IF($B$5="",2958465,$B$5))))</f>
        <v/>
      </c>
      <c r="E48" s="28" t="str">
        <f aca="false">IF($C48="","",IF($B$4&amp;$B$5="",SUMIFS('المبيعات اليومية'!$E$9:$E$308,'المبيعات اليومية'!$B$9:$B$308,$C48),SUMIFS('المبيعات اليومية'!$E$9:$E$308,'المبيعات اليومية'!$B$9:$B$308,$C48,'المبيعات اليومية'!$A$9:$A$308,"&gt;="&amp;IF($B$4="",0,$B$4),'المبيعات اليومية'!$A$9:$A$308,"&lt;="&amp;IF($B$5="",2958465,$B$5))))</f>
        <v/>
      </c>
      <c r="F48" s="19" t="str">
        <f aca="false">IF($C48="","",IF($B$4&amp;$B$5="",SUMIFS('المبيعات اليومية'!$H$9:$H$308,'المبيعات اليومية'!$B$9:$B$308,$C48),SUMIFS('المبيعات اليومية'!$H$9:$H$308,'المبيعات اليومية'!$B$9:$B$308,$C48,'المبيعات اليومية'!$A$9:$A$308,"&gt;="&amp;IF($B$4="",0,$B$4),'المبيعات اليومية'!$A$9:$A$308,"&lt;="&amp;IF($B$5="",2958465,$B$5))))</f>
        <v/>
      </c>
      <c r="G48" s="19" t="str">
        <f aca="false">IF($C48="","",IF($B$4&amp;$B$5="",SUMIFS('المبيعات اليومية'!$I$9:$I$308,'المبيعات اليومية'!$B$9:$B$308,$C48),SUMIFS('المبيعات اليومية'!$I$9:$I$308,'المبيعات اليومية'!$B$9:$B$308,$C48,'المبيعات اليومية'!$A$9:$A$308,"&gt;="&amp;IF($B$4="",0,$B$4),'المبيعات اليومية'!$A$9:$A$308,"&lt;="&amp;IF($B$5="",2958465,$B$5))))</f>
        <v/>
      </c>
      <c r="H48" s="20" t="str">
        <f aca="false">IF($C48="","",IF($B$4&amp;$B$5="",SUMIFS('المبيعات اليومية'!$J$9:$J$308,'المبيعات اليومية'!$B$9:$B$308,$C48),SUMIFS('المبيعات اليومية'!$J$9:$J$308,'المبيعات اليومية'!$B$9:$B$308,$C48,'المبيعات اليومية'!$A$9:$A$308,"&gt;="&amp;IF($B$4="",0,$B$4),'المبيعات اليومية'!$A$9:$A$308,"&lt;="&amp;IF($B$5="",2958465,$B$5))))</f>
        <v/>
      </c>
      <c r="I48" s="29" t="str">
        <f aca="false">IF(OR($C48="",$H$108=0),"",H48/$H$108)</f>
        <v/>
      </c>
      <c r="J48" s="21" t="str">
        <f aca="false">IF(C48="","",IF(D48&gt;0,"نشط","لا يوجد مبيعات"))</f>
        <v/>
      </c>
    </row>
    <row r="49" customFormat="false" ht="15" hidden="false" customHeight="false" outlineLevel="0" collapsed="false">
      <c r="A49" s="21" t="str">
        <f aca="false">IF(C49="","",42)</f>
        <v/>
      </c>
      <c r="B49" s="21" t="str">
        <f aca="false">IF('دليل العملاء'!$B$45="","",'دليل العملاء'!$A$45)</f>
        <v/>
      </c>
      <c r="C49" s="4" t="str">
        <f aca="false">IF('دليل العملاء'!$B$45="","",'دليل العملاء'!$B$45)</f>
        <v/>
      </c>
      <c r="D49" s="27" t="str">
        <f aca="false">IF($C49="","",IF($B$4&amp;$B$5="",COUNTIFS('المبيعات اليومية'!$B$9:$B$308,$C49),COUNTIFS('المبيعات اليومية'!$B$9:$B$308,$C49,'المبيعات اليومية'!$A$9:$A$308,"&gt;="&amp;IF($B$4="",0,$B$4),'المبيعات اليومية'!$A$9:$A$308,"&lt;="&amp;IF($B$5="",2958465,$B$5))))</f>
        <v/>
      </c>
      <c r="E49" s="28" t="str">
        <f aca="false">IF($C49="","",IF($B$4&amp;$B$5="",SUMIFS('المبيعات اليومية'!$E$9:$E$308,'المبيعات اليومية'!$B$9:$B$308,$C49),SUMIFS('المبيعات اليومية'!$E$9:$E$308,'المبيعات اليومية'!$B$9:$B$308,$C49,'المبيعات اليومية'!$A$9:$A$308,"&gt;="&amp;IF($B$4="",0,$B$4),'المبيعات اليومية'!$A$9:$A$308,"&lt;="&amp;IF($B$5="",2958465,$B$5))))</f>
        <v/>
      </c>
      <c r="F49" s="19" t="str">
        <f aca="false">IF($C49="","",IF($B$4&amp;$B$5="",SUMIFS('المبيعات اليومية'!$H$9:$H$308,'المبيعات اليومية'!$B$9:$B$308,$C49),SUMIFS('المبيعات اليومية'!$H$9:$H$308,'المبيعات اليومية'!$B$9:$B$308,$C49,'المبيعات اليومية'!$A$9:$A$308,"&gt;="&amp;IF($B$4="",0,$B$4),'المبيعات اليومية'!$A$9:$A$308,"&lt;="&amp;IF($B$5="",2958465,$B$5))))</f>
        <v/>
      </c>
      <c r="G49" s="19" t="str">
        <f aca="false">IF($C49="","",IF($B$4&amp;$B$5="",SUMIFS('المبيعات اليومية'!$I$9:$I$308,'المبيعات اليومية'!$B$9:$B$308,$C49),SUMIFS('المبيعات اليومية'!$I$9:$I$308,'المبيعات اليومية'!$B$9:$B$308,$C49,'المبيعات اليومية'!$A$9:$A$308,"&gt;="&amp;IF($B$4="",0,$B$4),'المبيعات اليومية'!$A$9:$A$308,"&lt;="&amp;IF($B$5="",2958465,$B$5))))</f>
        <v/>
      </c>
      <c r="H49" s="20" t="str">
        <f aca="false">IF($C49="","",IF($B$4&amp;$B$5="",SUMIFS('المبيعات اليومية'!$J$9:$J$308,'المبيعات اليومية'!$B$9:$B$308,$C49),SUMIFS('المبيعات اليومية'!$J$9:$J$308,'المبيعات اليومية'!$B$9:$B$308,$C49,'المبيعات اليومية'!$A$9:$A$308,"&gt;="&amp;IF($B$4="",0,$B$4),'المبيعات اليومية'!$A$9:$A$308,"&lt;="&amp;IF($B$5="",2958465,$B$5))))</f>
        <v/>
      </c>
      <c r="I49" s="29" t="str">
        <f aca="false">IF(OR($C49="",$H$108=0),"",H49/$H$108)</f>
        <v/>
      </c>
      <c r="J49" s="21" t="str">
        <f aca="false">IF(C49="","",IF(D49&gt;0,"نشط","لا يوجد مبيعات"))</f>
        <v/>
      </c>
    </row>
    <row r="50" customFormat="false" ht="15" hidden="false" customHeight="false" outlineLevel="0" collapsed="false">
      <c r="A50" s="21" t="str">
        <f aca="false">IF(C50="","",43)</f>
        <v/>
      </c>
      <c r="B50" s="21" t="str">
        <f aca="false">IF('دليل العملاء'!$B$46="","",'دليل العملاء'!$A$46)</f>
        <v/>
      </c>
      <c r="C50" s="4" t="str">
        <f aca="false">IF('دليل العملاء'!$B$46="","",'دليل العملاء'!$B$46)</f>
        <v/>
      </c>
      <c r="D50" s="27" t="str">
        <f aca="false">IF($C50="","",IF($B$4&amp;$B$5="",COUNTIFS('المبيعات اليومية'!$B$9:$B$308,$C50),COUNTIFS('المبيعات اليومية'!$B$9:$B$308,$C50,'المبيعات اليومية'!$A$9:$A$308,"&gt;="&amp;IF($B$4="",0,$B$4),'المبيعات اليومية'!$A$9:$A$308,"&lt;="&amp;IF($B$5="",2958465,$B$5))))</f>
        <v/>
      </c>
      <c r="E50" s="28" t="str">
        <f aca="false">IF($C50="","",IF($B$4&amp;$B$5="",SUMIFS('المبيعات اليومية'!$E$9:$E$308,'المبيعات اليومية'!$B$9:$B$308,$C50),SUMIFS('المبيعات اليومية'!$E$9:$E$308,'المبيعات اليومية'!$B$9:$B$308,$C50,'المبيعات اليومية'!$A$9:$A$308,"&gt;="&amp;IF($B$4="",0,$B$4),'المبيعات اليومية'!$A$9:$A$308,"&lt;="&amp;IF($B$5="",2958465,$B$5))))</f>
        <v/>
      </c>
      <c r="F50" s="19" t="str">
        <f aca="false">IF($C50="","",IF($B$4&amp;$B$5="",SUMIFS('المبيعات اليومية'!$H$9:$H$308,'المبيعات اليومية'!$B$9:$B$308,$C50),SUMIFS('المبيعات اليومية'!$H$9:$H$308,'المبيعات اليومية'!$B$9:$B$308,$C50,'المبيعات اليومية'!$A$9:$A$308,"&gt;="&amp;IF($B$4="",0,$B$4),'المبيعات اليومية'!$A$9:$A$308,"&lt;="&amp;IF($B$5="",2958465,$B$5))))</f>
        <v/>
      </c>
      <c r="G50" s="19" t="str">
        <f aca="false">IF($C50="","",IF($B$4&amp;$B$5="",SUMIFS('المبيعات اليومية'!$I$9:$I$308,'المبيعات اليومية'!$B$9:$B$308,$C50),SUMIFS('المبيعات اليومية'!$I$9:$I$308,'المبيعات اليومية'!$B$9:$B$308,$C50,'المبيعات اليومية'!$A$9:$A$308,"&gt;="&amp;IF($B$4="",0,$B$4),'المبيعات اليومية'!$A$9:$A$308,"&lt;="&amp;IF($B$5="",2958465,$B$5))))</f>
        <v/>
      </c>
      <c r="H50" s="20" t="str">
        <f aca="false">IF($C50="","",IF($B$4&amp;$B$5="",SUMIFS('المبيعات اليومية'!$J$9:$J$308,'المبيعات اليومية'!$B$9:$B$308,$C50),SUMIFS('المبيعات اليومية'!$J$9:$J$308,'المبيعات اليومية'!$B$9:$B$308,$C50,'المبيعات اليومية'!$A$9:$A$308,"&gt;="&amp;IF($B$4="",0,$B$4),'المبيعات اليومية'!$A$9:$A$308,"&lt;="&amp;IF($B$5="",2958465,$B$5))))</f>
        <v/>
      </c>
      <c r="I50" s="29" t="str">
        <f aca="false">IF(OR($C50="",$H$108=0),"",H50/$H$108)</f>
        <v/>
      </c>
      <c r="J50" s="21" t="str">
        <f aca="false">IF(C50="","",IF(D50&gt;0,"نشط","لا يوجد مبيعات"))</f>
        <v/>
      </c>
    </row>
    <row r="51" customFormat="false" ht="15" hidden="false" customHeight="false" outlineLevel="0" collapsed="false">
      <c r="A51" s="21" t="str">
        <f aca="false">IF(C51="","",44)</f>
        <v/>
      </c>
      <c r="B51" s="21" t="str">
        <f aca="false">IF('دليل العملاء'!$B$47="","",'دليل العملاء'!$A$47)</f>
        <v/>
      </c>
      <c r="C51" s="4" t="str">
        <f aca="false">IF('دليل العملاء'!$B$47="","",'دليل العملاء'!$B$47)</f>
        <v/>
      </c>
      <c r="D51" s="27" t="str">
        <f aca="false">IF($C51="","",IF($B$4&amp;$B$5="",COUNTIFS('المبيعات اليومية'!$B$9:$B$308,$C51),COUNTIFS('المبيعات اليومية'!$B$9:$B$308,$C51,'المبيعات اليومية'!$A$9:$A$308,"&gt;="&amp;IF($B$4="",0,$B$4),'المبيعات اليومية'!$A$9:$A$308,"&lt;="&amp;IF($B$5="",2958465,$B$5))))</f>
        <v/>
      </c>
      <c r="E51" s="28" t="str">
        <f aca="false">IF($C51="","",IF($B$4&amp;$B$5="",SUMIFS('المبيعات اليومية'!$E$9:$E$308,'المبيعات اليومية'!$B$9:$B$308,$C51),SUMIFS('المبيعات اليومية'!$E$9:$E$308,'المبيعات اليومية'!$B$9:$B$308,$C51,'المبيعات اليومية'!$A$9:$A$308,"&gt;="&amp;IF($B$4="",0,$B$4),'المبيعات اليومية'!$A$9:$A$308,"&lt;="&amp;IF($B$5="",2958465,$B$5))))</f>
        <v/>
      </c>
      <c r="F51" s="19" t="str">
        <f aca="false">IF($C51="","",IF($B$4&amp;$B$5="",SUMIFS('المبيعات اليومية'!$H$9:$H$308,'المبيعات اليومية'!$B$9:$B$308,$C51),SUMIFS('المبيعات اليومية'!$H$9:$H$308,'المبيعات اليومية'!$B$9:$B$308,$C51,'المبيعات اليومية'!$A$9:$A$308,"&gt;="&amp;IF($B$4="",0,$B$4),'المبيعات اليومية'!$A$9:$A$308,"&lt;="&amp;IF($B$5="",2958465,$B$5))))</f>
        <v/>
      </c>
      <c r="G51" s="19" t="str">
        <f aca="false">IF($C51="","",IF($B$4&amp;$B$5="",SUMIFS('المبيعات اليومية'!$I$9:$I$308,'المبيعات اليومية'!$B$9:$B$308,$C51),SUMIFS('المبيعات اليومية'!$I$9:$I$308,'المبيعات اليومية'!$B$9:$B$308,$C51,'المبيعات اليومية'!$A$9:$A$308,"&gt;="&amp;IF($B$4="",0,$B$4),'المبيعات اليومية'!$A$9:$A$308,"&lt;="&amp;IF($B$5="",2958465,$B$5))))</f>
        <v/>
      </c>
      <c r="H51" s="20" t="str">
        <f aca="false">IF($C51="","",IF($B$4&amp;$B$5="",SUMIFS('المبيعات اليومية'!$J$9:$J$308,'المبيعات اليومية'!$B$9:$B$308,$C51),SUMIFS('المبيعات اليومية'!$J$9:$J$308,'المبيعات اليومية'!$B$9:$B$308,$C51,'المبيعات اليومية'!$A$9:$A$308,"&gt;="&amp;IF($B$4="",0,$B$4),'المبيعات اليومية'!$A$9:$A$308,"&lt;="&amp;IF($B$5="",2958465,$B$5))))</f>
        <v/>
      </c>
      <c r="I51" s="29" t="str">
        <f aca="false">IF(OR($C51="",$H$108=0),"",H51/$H$108)</f>
        <v/>
      </c>
      <c r="J51" s="21" t="str">
        <f aca="false">IF(C51="","",IF(D51&gt;0,"نشط","لا يوجد مبيعات"))</f>
        <v/>
      </c>
    </row>
    <row r="52" customFormat="false" ht="15" hidden="false" customHeight="false" outlineLevel="0" collapsed="false">
      <c r="A52" s="21" t="str">
        <f aca="false">IF(C52="","",45)</f>
        <v/>
      </c>
      <c r="B52" s="21" t="str">
        <f aca="false">IF('دليل العملاء'!$B$48="","",'دليل العملاء'!$A$48)</f>
        <v/>
      </c>
      <c r="C52" s="4" t="str">
        <f aca="false">IF('دليل العملاء'!$B$48="","",'دليل العملاء'!$B$48)</f>
        <v/>
      </c>
      <c r="D52" s="27" t="str">
        <f aca="false">IF($C52="","",IF($B$4&amp;$B$5="",COUNTIFS('المبيعات اليومية'!$B$9:$B$308,$C52),COUNTIFS('المبيعات اليومية'!$B$9:$B$308,$C52,'المبيعات اليومية'!$A$9:$A$308,"&gt;="&amp;IF($B$4="",0,$B$4),'المبيعات اليومية'!$A$9:$A$308,"&lt;="&amp;IF($B$5="",2958465,$B$5))))</f>
        <v/>
      </c>
      <c r="E52" s="28" t="str">
        <f aca="false">IF($C52="","",IF($B$4&amp;$B$5="",SUMIFS('المبيعات اليومية'!$E$9:$E$308,'المبيعات اليومية'!$B$9:$B$308,$C52),SUMIFS('المبيعات اليومية'!$E$9:$E$308,'المبيعات اليومية'!$B$9:$B$308,$C52,'المبيعات اليومية'!$A$9:$A$308,"&gt;="&amp;IF($B$4="",0,$B$4),'المبيعات اليومية'!$A$9:$A$308,"&lt;="&amp;IF($B$5="",2958465,$B$5))))</f>
        <v/>
      </c>
      <c r="F52" s="19" t="str">
        <f aca="false">IF($C52="","",IF($B$4&amp;$B$5="",SUMIFS('المبيعات اليومية'!$H$9:$H$308,'المبيعات اليومية'!$B$9:$B$308,$C52),SUMIFS('المبيعات اليومية'!$H$9:$H$308,'المبيعات اليومية'!$B$9:$B$308,$C52,'المبيعات اليومية'!$A$9:$A$308,"&gt;="&amp;IF($B$4="",0,$B$4),'المبيعات اليومية'!$A$9:$A$308,"&lt;="&amp;IF($B$5="",2958465,$B$5))))</f>
        <v/>
      </c>
      <c r="G52" s="19" t="str">
        <f aca="false">IF($C52="","",IF($B$4&amp;$B$5="",SUMIFS('المبيعات اليومية'!$I$9:$I$308,'المبيعات اليومية'!$B$9:$B$308,$C52),SUMIFS('المبيعات اليومية'!$I$9:$I$308,'المبيعات اليومية'!$B$9:$B$308,$C52,'المبيعات اليومية'!$A$9:$A$308,"&gt;="&amp;IF($B$4="",0,$B$4),'المبيعات اليومية'!$A$9:$A$308,"&lt;="&amp;IF($B$5="",2958465,$B$5))))</f>
        <v/>
      </c>
      <c r="H52" s="20" t="str">
        <f aca="false">IF($C52="","",IF($B$4&amp;$B$5="",SUMIFS('المبيعات اليومية'!$J$9:$J$308,'المبيعات اليومية'!$B$9:$B$308,$C52),SUMIFS('المبيعات اليومية'!$J$9:$J$308,'المبيعات اليومية'!$B$9:$B$308,$C52,'المبيعات اليومية'!$A$9:$A$308,"&gt;="&amp;IF($B$4="",0,$B$4),'المبيعات اليومية'!$A$9:$A$308,"&lt;="&amp;IF($B$5="",2958465,$B$5))))</f>
        <v/>
      </c>
      <c r="I52" s="29" t="str">
        <f aca="false">IF(OR($C52="",$H$108=0),"",H52/$H$108)</f>
        <v/>
      </c>
      <c r="J52" s="21" t="str">
        <f aca="false">IF(C52="","",IF(D52&gt;0,"نشط","لا يوجد مبيعات"))</f>
        <v/>
      </c>
    </row>
    <row r="53" customFormat="false" ht="15" hidden="false" customHeight="false" outlineLevel="0" collapsed="false">
      <c r="A53" s="21" t="str">
        <f aca="false">IF(C53="","",46)</f>
        <v/>
      </c>
      <c r="B53" s="21" t="str">
        <f aca="false">IF('دليل العملاء'!$B$49="","",'دليل العملاء'!$A$49)</f>
        <v/>
      </c>
      <c r="C53" s="4" t="str">
        <f aca="false">IF('دليل العملاء'!$B$49="","",'دليل العملاء'!$B$49)</f>
        <v/>
      </c>
      <c r="D53" s="27" t="str">
        <f aca="false">IF($C53="","",IF($B$4&amp;$B$5="",COUNTIFS('المبيعات اليومية'!$B$9:$B$308,$C53),COUNTIFS('المبيعات اليومية'!$B$9:$B$308,$C53,'المبيعات اليومية'!$A$9:$A$308,"&gt;="&amp;IF($B$4="",0,$B$4),'المبيعات اليومية'!$A$9:$A$308,"&lt;="&amp;IF($B$5="",2958465,$B$5))))</f>
        <v/>
      </c>
      <c r="E53" s="28" t="str">
        <f aca="false">IF($C53="","",IF($B$4&amp;$B$5="",SUMIFS('المبيعات اليومية'!$E$9:$E$308,'المبيعات اليومية'!$B$9:$B$308,$C53),SUMIFS('المبيعات اليومية'!$E$9:$E$308,'المبيعات اليومية'!$B$9:$B$308,$C53,'المبيعات اليومية'!$A$9:$A$308,"&gt;="&amp;IF($B$4="",0,$B$4),'المبيعات اليومية'!$A$9:$A$308,"&lt;="&amp;IF($B$5="",2958465,$B$5))))</f>
        <v/>
      </c>
      <c r="F53" s="19" t="str">
        <f aca="false">IF($C53="","",IF($B$4&amp;$B$5="",SUMIFS('المبيعات اليومية'!$H$9:$H$308,'المبيعات اليومية'!$B$9:$B$308,$C53),SUMIFS('المبيعات اليومية'!$H$9:$H$308,'المبيعات اليومية'!$B$9:$B$308,$C53,'المبيعات اليومية'!$A$9:$A$308,"&gt;="&amp;IF($B$4="",0,$B$4),'المبيعات اليومية'!$A$9:$A$308,"&lt;="&amp;IF($B$5="",2958465,$B$5))))</f>
        <v/>
      </c>
      <c r="G53" s="19" t="str">
        <f aca="false">IF($C53="","",IF($B$4&amp;$B$5="",SUMIFS('المبيعات اليومية'!$I$9:$I$308,'المبيعات اليومية'!$B$9:$B$308,$C53),SUMIFS('المبيعات اليومية'!$I$9:$I$308,'المبيعات اليومية'!$B$9:$B$308,$C53,'المبيعات اليومية'!$A$9:$A$308,"&gt;="&amp;IF($B$4="",0,$B$4),'المبيعات اليومية'!$A$9:$A$308,"&lt;="&amp;IF($B$5="",2958465,$B$5))))</f>
        <v/>
      </c>
      <c r="H53" s="20" t="str">
        <f aca="false">IF($C53="","",IF($B$4&amp;$B$5="",SUMIFS('المبيعات اليومية'!$J$9:$J$308,'المبيعات اليومية'!$B$9:$B$308,$C53),SUMIFS('المبيعات اليومية'!$J$9:$J$308,'المبيعات اليومية'!$B$9:$B$308,$C53,'المبيعات اليومية'!$A$9:$A$308,"&gt;="&amp;IF($B$4="",0,$B$4),'المبيعات اليومية'!$A$9:$A$308,"&lt;="&amp;IF($B$5="",2958465,$B$5))))</f>
        <v/>
      </c>
      <c r="I53" s="29" t="str">
        <f aca="false">IF(OR($C53="",$H$108=0),"",H53/$H$108)</f>
        <v/>
      </c>
      <c r="J53" s="21" t="str">
        <f aca="false">IF(C53="","",IF(D53&gt;0,"نشط","لا يوجد مبيعات"))</f>
        <v/>
      </c>
    </row>
    <row r="54" customFormat="false" ht="15" hidden="false" customHeight="false" outlineLevel="0" collapsed="false">
      <c r="A54" s="21" t="str">
        <f aca="false">IF(C54="","",47)</f>
        <v/>
      </c>
      <c r="B54" s="21" t="str">
        <f aca="false">IF('دليل العملاء'!$B$50="","",'دليل العملاء'!$A$50)</f>
        <v/>
      </c>
      <c r="C54" s="4" t="str">
        <f aca="false">IF('دليل العملاء'!$B$50="","",'دليل العملاء'!$B$50)</f>
        <v/>
      </c>
      <c r="D54" s="27" t="str">
        <f aca="false">IF($C54="","",IF($B$4&amp;$B$5="",COUNTIFS('المبيعات اليومية'!$B$9:$B$308,$C54),COUNTIFS('المبيعات اليومية'!$B$9:$B$308,$C54,'المبيعات اليومية'!$A$9:$A$308,"&gt;="&amp;IF($B$4="",0,$B$4),'المبيعات اليومية'!$A$9:$A$308,"&lt;="&amp;IF($B$5="",2958465,$B$5))))</f>
        <v/>
      </c>
      <c r="E54" s="28" t="str">
        <f aca="false">IF($C54="","",IF($B$4&amp;$B$5="",SUMIFS('المبيعات اليومية'!$E$9:$E$308,'المبيعات اليومية'!$B$9:$B$308,$C54),SUMIFS('المبيعات اليومية'!$E$9:$E$308,'المبيعات اليومية'!$B$9:$B$308,$C54,'المبيعات اليومية'!$A$9:$A$308,"&gt;="&amp;IF($B$4="",0,$B$4),'المبيعات اليومية'!$A$9:$A$308,"&lt;="&amp;IF($B$5="",2958465,$B$5))))</f>
        <v/>
      </c>
      <c r="F54" s="19" t="str">
        <f aca="false">IF($C54="","",IF($B$4&amp;$B$5="",SUMIFS('المبيعات اليومية'!$H$9:$H$308,'المبيعات اليومية'!$B$9:$B$308,$C54),SUMIFS('المبيعات اليومية'!$H$9:$H$308,'المبيعات اليومية'!$B$9:$B$308,$C54,'المبيعات اليومية'!$A$9:$A$308,"&gt;="&amp;IF($B$4="",0,$B$4),'المبيعات اليومية'!$A$9:$A$308,"&lt;="&amp;IF($B$5="",2958465,$B$5))))</f>
        <v/>
      </c>
      <c r="G54" s="19" t="str">
        <f aca="false">IF($C54="","",IF($B$4&amp;$B$5="",SUMIFS('المبيعات اليومية'!$I$9:$I$308,'المبيعات اليومية'!$B$9:$B$308,$C54),SUMIFS('المبيعات اليومية'!$I$9:$I$308,'المبيعات اليومية'!$B$9:$B$308,$C54,'المبيعات اليومية'!$A$9:$A$308,"&gt;="&amp;IF($B$4="",0,$B$4),'المبيعات اليومية'!$A$9:$A$308,"&lt;="&amp;IF($B$5="",2958465,$B$5))))</f>
        <v/>
      </c>
      <c r="H54" s="20" t="str">
        <f aca="false">IF($C54="","",IF($B$4&amp;$B$5="",SUMIFS('المبيعات اليومية'!$J$9:$J$308,'المبيعات اليومية'!$B$9:$B$308,$C54),SUMIFS('المبيعات اليومية'!$J$9:$J$308,'المبيعات اليومية'!$B$9:$B$308,$C54,'المبيعات اليومية'!$A$9:$A$308,"&gt;="&amp;IF($B$4="",0,$B$4),'المبيعات اليومية'!$A$9:$A$308,"&lt;="&amp;IF($B$5="",2958465,$B$5))))</f>
        <v/>
      </c>
      <c r="I54" s="29" t="str">
        <f aca="false">IF(OR($C54="",$H$108=0),"",H54/$H$108)</f>
        <v/>
      </c>
      <c r="J54" s="21" t="str">
        <f aca="false">IF(C54="","",IF(D54&gt;0,"نشط","لا يوجد مبيعات"))</f>
        <v/>
      </c>
    </row>
    <row r="55" customFormat="false" ht="15" hidden="false" customHeight="false" outlineLevel="0" collapsed="false">
      <c r="A55" s="21" t="str">
        <f aca="false">IF(C55="","",48)</f>
        <v/>
      </c>
      <c r="B55" s="21" t="str">
        <f aca="false">IF('دليل العملاء'!$B$51="","",'دليل العملاء'!$A$51)</f>
        <v/>
      </c>
      <c r="C55" s="4" t="str">
        <f aca="false">IF('دليل العملاء'!$B$51="","",'دليل العملاء'!$B$51)</f>
        <v/>
      </c>
      <c r="D55" s="27" t="str">
        <f aca="false">IF($C55="","",IF($B$4&amp;$B$5="",COUNTIFS('المبيعات اليومية'!$B$9:$B$308,$C55),COUNTIFS('المبيعات اليومية'!$B$9:$B$308,$C55,'المبيعات اليومية'!$A$9:$A$308,"&gt;="&amp;IF($B$4="",0,$B$4),'المبيعات اليومية'!$A$9:$A$308,"&lt;="&amp;IF($B$5="",2958465,$B$5))))</f>
        <v/>
      </c>
      <c r="E55" s="28" t="str">
        <f aca="false">IF($C55="","",IF($B$4&amp;$B$5="",SUMIFS('المبيعات اليومية'!$E$9:$E$308,'المبيعات اليومية'!$B$9:$B$308,$C55),SUMIFS('المبيعات اليومية'!$E$9:$E$308,'المبيعات اليومية'!$B$9:$B$308,$C55,'المبيعات اليومية'!$A$9:$A$308,"&gt;="&amp;IF($B$4="",0,$B$4),'المبيعات اليومية'!$A$9:$A$308,"&lt;="&amp;IF($B$5="",2958465,$B$5))))</f>
        <v/>
      </c>
      <c r="F55" s="19" t="str">
        <f aca="false">IF($C55="","",IF($B$4&amp;$B$5="",SUMIFS('المبيعات اليومية'!$H$9:$H$308,'المبيعات اليومية'!$B$9:$B$308,$C55),SUMIFS('المبيعات اليومية'!$H$9:$H$308,'المبيعات اليومية'!$B$9:$B$308,$C55,'المبيعات اليومية'!$A$9:$A$308,"&gt;="&amp;IF($B$4="",0,$B$4),'المبيعات اليومية'!$A$9:$A$308,"&lt;="&amp;IF($B$5="",2958465,$B$5))))</f>
        <v/>
      </c>
      <c r="G55" s="19" t="str">
        <f aca="false">IF($C55="","",IF($B$4&amp;$B$5="",SUMIFS('المبيعات اليومية'!$I$9:$I$308,'المبيعات اليومية'!$B$9:$B$308,$C55),SUMIFS('المبيعات اليومية'!$I$9:$I$308,'المبيعات اليومية'!$B$9:$B$308,$C55,'المبيعات اليومية'!$A$9:$A$308,"&gt;="&amp;IF($B$4="",0,$B$4),'المبيعات اليومية'!$A$9:$A$308,"&lt;="&amp;IF($B$5="",2958465,$B$5))))</f>
        <v/>
      </c>
      <c r="H55" s="20" t="str">
        <f aca="false">IF($C55="","",IF($B$4&amp;$B$5="",SUMIFS('المبيعات اليومية'!$J$9:$J$308,'المبيعات اليومية'!$B$9:$B$308,$C55),SUMIFS('المبيعات اليومية'!$J$9:$J$308,'المبيعات اليومية'!$B$9:$B$308,$C55,'المبيعات اليومية'!$A$9:$A$308,"&gt;="&amp;IF($B$4="",0,$B$4),'المبيعات اليومية'!$A$9:$A$308,"&lt;="&amp;IF($B$5="",2958465,$B$5))))</f>
        <v/>
      </c>
      <c r="I55" s="29" t="str">
        <f aca="false">IF(OR($C55="",$H$108=0),"",H55/$H$108)</f>
        <v/>
      </c>
      <c r="J55" s="21" t="str">
        <f aca="false">IF(C55="","",IF(D55&gt;0,"نشط","لا يوجد مبيعات"))</f>
        <v/>
      </c>
    </row>
    <row r="56" customFormat="false" ht="15" hidden="false" customHeight="false" outlineLevel="0" collapsed="false">
      <c r="A56" s="21" t="str">
        <f aca="false">IF(C56="","",49)</f>
        <v/>
      </c>
      <c r="B56" s="21" t="str">
        <f aca="false">IF('دليل العملاء'!$B$52="","",'دليل العملاء'!$A$52)</f>
        <v/>
      </c>
      <c r="C56" s="4" t="str">
        <f aca="false">IF('دليل العملاء'!$B$52="","",'دليل العملاء'!$B$52)</f>
        <v/>
      </c>
      <c r="D56" s="27" t="str">
        <f aca="false">IF($C56="","",IF($B$4&amp;$B$5="",COUNTIFS('المبيعات اليومية'!$B$9:$B$308,$C56),COUNTIFS('المبيعات اليومية'!$B$9:$B$308,$C56,'المبيعات اليومية'!$A$9:$A$308,"&gt;="&amp;IF($B$4="",0,$B$4),'المبيعات اليومية'!$A$9:$A$308,"&lt;="&amp;IF($B$5="",2958465,$B$5))))</f>
        <v/>
      </c>
      <c r="E56" s="28" t="str">
        <f aca="false">IF($C56="","",IF($B$4&amp;$B$5="",SUMIFS('المبيعات اليومية'!$E$9:$E$308,'المبيعات اليومية'!$B$9:$B$308,$C56),SUMIFS('المبيعات اليومية'!$E$9:$E$308,'المبيعات اليومية'!$B$9:$B$308,$C56,'المبيعات اليومية'!$A$9:$A$308,"&gt;="&amp;IF($B$4="",0,$B$4),'المبيعات اليومية'!$A$9:$A$308,"&lt;="&amp;IF($B$5="",2958465,$B$5))))</f>
        <v/>
      </c>
      <c r="F56" s="19" t="str">
        <f aca="false">IF($C56="","",IF($B$4&amp;$B$5="",SUMIFS('المبيعات اليومية'!$H$9:$H$308,'المبيعات اليومية'!$B$9:$B$308,$C56),SUMIFS('المبيعات اليومية'!$H$9:$H$308,'المبيعات اليومية'!$B$9:$B$308,$C56,'المبيعات اليومية'!$A$9:$A$308,"&gt;="&amp;IF($B$4="",0,$B$4),'المبيعات اليومية'!$A$9:$A$308,"&lt;="&amp;IF($B$5="",2958465,$B$5))))</f>
        <v/>
      </c>
      <c r="G56" s="19" t="str">
        <f aca="false">IF($C56="","",IF($B$4&amp;$B$5="",SUMIFS('المبيعات اليومية'!$I$9:$I$308,'المبيعات اليومية'!$B$9:$B$308,$C56),SUMIFS('المبيعات اليومية'!$I$9:$I$308,'المبيعات اليومية'!$B$9:$B$308,$C56,'المبيعات اليومية'!$A$9:$A$308,"&gt;="&amp;IF($B$4="",0,$B$4),'المبيعات اليومية'!$A$9:$A$308,"&lt;="&amp;IF($B$5="",2958465,$B$5))))</f>
        <v/>
      </c>
      <c r="H56" s="20" t="str">
        <f aca="false">IF($C56="","",IF($B$4&amp;$B$5="",SUMIFS('المبيعات اليومية'!$J$9:$J$308,'المبيعات اليومية'!$B$9:$B$308,$C56),SUMIFS('المبيعات اليومية'!$J$9:$J$308,'المبيعات اليومية'!$B$9:$B$308,$C56,'المبيعات اليومية'!$A$9:$A$308,"&gt;="&amp;IF($B$4="",0,$B$4),'المبيعات اليومية'!$A$9:$A$308,"&lt;="&amp;IF($B$5="",2958465,$B$5))))</f>
        <v/>
      </c>
      <c r="I56" s="29" t="str">
        <f aca="false">IF(OR($C56="",$H$108=0),"",H56/$H$108)</f>
        <v/>
      </c>
      <c r="J56" s="21" t="str">
        <f aca="false">IF(C56="","",IF(D56&gt;0,"نشط","لا يوجد مبيعات"))</f>
        <v/>
      </c>
    </row>
    <row r="57" customFormat="false" ht="15" hidden="false" customHeight="false" outlineLevel="0" collapsed="false">
      <c r="A57" s="21" t="str">
        <f aca="false">IF(C57="","",50)</f>
        <v/>
      </c>
      <c r="B57" s="21" t="str">
        <f aca="false">IF('دليل العملاء'!$B$53="","",'دليل العملاء'!$A$53)</f>
        <v/>
      </c>
      <c r="C57" s="4" t="str">
        <f aca="false">IF('دليل العملاء'!$B$53="","",'دليل العملاء'!$B$53)</f>
        <v/>
      </c>
      <c r="D57" s="27" t="str">
        <f aca="false">IF($C57="","",IF($B$4&amp;$B$5="",COUNTIFS('المبيعات اليومية'!$B$9:$B$308,$C57),COUNTIFS('المبيعات اليومية'!$B$9:$B$308,$C57,'المبيعات اليومية'!$A$9:$A$308,"&gt;="&amp;IF($B$4="",0,$B$4),'المبيعات اليومية'!$A$9:$A$308,"&lt;="&amp;IF($B$5="",2958465,$B$5))))</f>
        <v/>
      </c>
      <c r="E57" s="28" t="str">
        <f aca="false">IF($C57="","",IF($B$4&amp;$B$5="",SUMIFS('المبيعات اليومية'!$E$9:$E$308,'المبيعات اليومية'!$B$9:$B$308,$C57),SUMIFS('المبيعات اليومية'!$E$9:$E$308,'المبيعات اليومية'!$B$9:$B$308,$C57,'المبيعات اليومية'!$A$9:$A$308,"&gt;="&amp;IF($B$4="",0,$B$4),'المبيعات اليومية'!$A$9:$A$308,"&lt;="&amp;IF($B$5="",2958465,$B$5))))</f>
        <v/>
      </c>
      <c r="F57" s="19" t="str">
        <f aca="false">IF($C57="","",IF($B$4&amp;$B$5="",SUMIFS('المبيعات اليومية'!$H$9:$H$308,'المبيعات اليومية'!$B$9:$B$308,$C57),SUMIFS('المبيعات اليومية'!$H$9:$H$308,'المبيعات اليومية'!$B$9:$B$308,$C57,'المبيعات اليومية'!$A$9:$A$308,"&gt;="&amp;IF($B$4="",0,$B$4),'المبيعات اليومية'!$A$9:$A$308,"&lt;="&amp;IF($B$5="",2958465,$B$5))))</f>
        <v/>
      </c>
      <c r="G57" s="19" t="str">
        <f aca="false">IF($C57="","",IF($B$4&amp;$B$5="",SUMIFS('المبيعات اليومية'!$I$9:$I$308,'المبيعات اليومية'!$B$9:$B$308,$C57),SUMIFS('المبيعات اليومية'!$I$9:$I$308,'المبيعات اليومية'!$B$9:$B$308,$C57,'المبيعات اليومية'!$A$9:$A$308,"&gt;="&amp;IF($B$4="",0,$B$4),'المبيعات اليومية'!$A$9:$A$308,"&lt;="&amp;IF($B$5="",2958465,$B$5))))</f>
        <v/>
      </c>
      <c r="H57" s="20" t="str">
        <f aca="false">IF($C57="","",IF($B$4&amp;$B$5="",SUMIFS('المبيعات اليومية'!$J$9:$J$308,'المبيعات اليومية'!$B$9:$B$308,$C57),SUMIFS('المبيعات اليومية'!$J$9:$J$308,'المبيعات اليومية'!$B$9:$B$308,$C57,'المبيعات اليومية'!$A$9:$A$308,"&gt;="&amp;IF($B$4="",0,$B$4),'المبيعات اليومية'!$A$9:$A$308,"&lt;="&amp;IF($B$5="",2958465,$B$5))))</f>
        <v/>
      </c>
      <c r="I57" s="29" t="str">
        <f aca="false">IF(OR($C57="",$H$108=0),"",H57/$H$108)</f>
        <v/>
      </c>
      <c r="J57" s="21" t="str">
        <f aca="false">IF(C57="","",IF(D57&gt;0,"نشط","لا يوجد مبيعات"))</f>
        <v/>
      </c>
    </row>
    <row r="58" customFormat="false" ht="15" hidden="false" customHeight="false" outlineLevel="0" collapsed="false">
      <c r="A58" s="21" t="str">
        <f aca="false">IF(C58="","",51)</f>
        <v/>
      </c>
      <c r="B58" s="21" t="str">
        <f aca="false">IF('دليل العملاء'!$B$54="","",'دليل العملاء'!$A$54)</f>
        <v/>
      </c>
      <c r="C58" s="4" t="str">
        <f aca="false">IF('دليل العملاء'!$B$54="","",'دليل العملاء'!$B$54)</f>
        <v/>
      </c>
      <c r="D58" s="27" t="str">
        <f aca="false">IF($C58="","",IF($B$4&amp;$B$5="",COUNTIFS('المبيعات اليومية'!$B$9:$B$308,$C58),COUNTIFS('المبيعات اليومية'!$B$9:$B$308,$C58,'المبيعات اليومية'!$A$9:$A$308,"&gt;="&amp;IF($B$4="",0,$B$4),'المبيعات اليومية'!$A$9:$A$308,"&lt;="&amp;IF($B$5="",2958465,$B$5))))</f>
        <v/>
      </c>
      <c r="E58" s="28" t="str">
        <f aca="false">IF($C58="","",IF($B$4&amp;$B$5="",SUMIFS('المبيعات اليومية'!$E$9:$E$308,'المبيعات اليومية'!$B$9:$B$308,$C58),SUMIFS('المبيعات اليومية'!$E$9:$E$308,'المبيعات اليومية'!$B$9:$B$308,$C58,'المبيعات اليومية'!$A$9:$A$308,"&gt;="&amp;IF($B$4="",0,$B$4),'المبيعات اليومية'!$A$9:$A$308,"&lt;="&amp;IF($B$5="",2958465,$B$5))))</f>
        <v/>
      </c>
      <c r="F58" s="19" t="str">
        <f aca="false">IF($C58="","",IF($B$4&amp;$B$5="",SUMIFS('المبيعات اليومية'!$H$9:$H$308,'المبيعات اليومية'!$B$9:$B$308,$C58),SUMIFS('المبيعات اليومية'!$H$9:$H$308,'المبيعات اليومية'!$B$9:$B$308,$C58,'المبيعات اليومية'!$A$9:$A$308,"&gt;="&amp;IF($B$4="",0,$B$4),'المبيعات اليومية'!$A$9:$A$308,"&lt;="&amp;IF($B$5="",2958465,$B$5))))</f>
        <v/>
      </c>
      <c r="G58" s="19" t="str">
        <f aca="false">IF($C58="","",IF($B$4&amp;$B$5="",SUMIFS('المبيعات اليومية'!$I$9:$I$308,'المبيعات اليومية'!$B$9:$B$308,$C58),SUMIFS('المبيعات اليومية'!$I$9:$I$308,'المبيعات اليومية'!$B$9:$B$308,$C58,'المبيعات اليومية'!$A$9:$A$308,"&gt;="&amp;IF($B$4="",0,$B$4),'المبيعات اليومية'!$A$9:$A$308,"&lt;="&amp;IF($B$5="",2958465,$B$5))))</f>
        <v/>
      </c>
      <c r="H58" s="20" t="str">
        <f aca="false">IF($C58="","",IF($B$4&amp;$B$5="",SUMIFS('المبيعات اليومية'!$J$9:$J$308,'المبيعات اليومية'!$B$9:$B$308,$C58),SUMIFS('المبيعات اليومية'!$J$9:$J$308,'المبيعات اليومية'!$B$9:$B$308,$C58,'المبيعات اليومية'!$A$9:$A$308,"&gt;="&amp;IF($B$4="",0,$B$4),'المبيعات اليومية'!$A$9:$A$308,"&lt;="&amp;IF($B$5="",2958465,$B$5))))</f>
        <v/>
      </c>
      <c r="I58" s="29" t="str">
        <f aca="false">IF(OR($C58="",$H$108=0),"",H58/$H$108)</f>
        <v/>
      </c>
      <c r="J58" s="21" t="str">
        <f aca="false">IF(C58="","",IF(D58&gt;0,"نشط","لا يوجد مبيعات"))</f>
        <v/>
      </c>
    </row>
    <row r="59" customFormat="false" ht="15" hidden="false" customHeight="false" outlineLevel="0" collapsed="false">
      <c r="A59" s="21" t="str">
        <f aca="false">IF(C59="","",52)</f>
        <v/>
      </c>
      <c r="B59" s="21" t="str">
        <f aca="false">IF('دليل العملاء'!$B$55="","",'دليل العملاء'!$A$55)</f>
        <v/>
      </c>
      <c r="C59" s="4" t="str">
        <f aca="false">IF('دليل العملاء'!$B$55="","",'دليل العملاء'!$B$55)</f>
        <v/>
      </c>
      <c r="D59" s="27" t="str">
        <f aca="false">IF($C59="","",IF($B$4&amp;$B$5="",COUNTIFS('المبيعات اليومية'!$B$9:$B$308,$C59),COUNTIFS('المبيعات اليومية'!$B$9:$B$308,$C59,'المبيعات اليومية'!$A$9:$A$308,"&gt;="&amp;IF($B$4="",0,$B$4),'المبيعات اليومية'!$A$9:$A$308,"&lt;="&amp;IF($B$5="",2958465,$B$5))))</f>
        <v/>
      </c>
      <c r="E59" s="28" t="str">
        <f aca="false">IF($C59="","",IF($B$4&amp;$B$5="",SUMIFS('المبيعات اليومية'!$E$9:$E$308,'المبيعات اليومية'!$B$9:$B$308,$C59),SUMIFS('المبيعات اليومية'!$E$9:$E$308,'المبيعات اليومية'!$B$9:$B$308,$C59,'المبيعات اليومية'!$A$9:$A$308,"&gt;="&amp;IF($B$4="",0,$B$4),'المبيعات اليومية'!$A$9:$A$308,"&lt;="&amp;IF($B$5="",2958465,$B$5))))</f>
        <v/>
      </c>
      <c r="F59" s="19" t="str">
        <f aca="false">IF($C59="","",IF($B$4&amp;$B$5="",SUMIFS('المبيعات اليومية'!$H$9:$H$308,'المبيعات اليومية'!$B$9:$B$308,$C59),SUMIFS('المبيعات اليومية'!$H$9:$H$308,'المبيعات اليومية'!$B$9:$B$308,$C59,'المبيعات اليومية'!$A$9:$A$308,"&gt;="&amp;IF($B$4="",0,$B$4),'المبيعات اليومية'!$A$9:$A$308,"&lt;="&amp;IF($B$5="",2958465,$B$5))))</f>
        <v/>
      </c>
      <c r="G59" s="19" t="str">
        <f aca="false">IF($C59="","",IF($B$4&amp;$B$5="",SUMIFS('المبيعات اليومية'!$I$9:$I$308,'المبيعات اليومية'!$B$9:$B$308,$C59),SUMIFS('المبيعات اليومية'!$I$9:$I$308,'المبيعات اليومية'!$B$9:$B$308,$C59,'المبيعات اليومية'!$A$9:$A$308,"&gt;="&amp;IF($B$4="",0,$B$4),'المبيعات اليومية'!$A$9:$A$308,"&lt;="&amp;IF($B$5="",2958465,$B$5))))</f>
        <v/>
      </c>
      <c r="H59" s="20" t="str">
        <f aca="false">IF($C59="","",IF($B$4&amp;$B$5="",SUMIFS('المبيعات اليومية'!$J$9:$J$308,'المبيعات اليومية'!$B$9:$B$308,$C59),SUMIFS('المبيعات اليومية'!$J$9:$J$308,'المبيعات اليومية'!$B$9:$B$308,$C59,'المبيعات اليومية'!$A$9:$A$308,"&gt;="&amp;IF($B$4="",0,$B$4),'المبيعات اليومية'!$A$9:$A$308,"&lt;="&amp;IF($B$5="",2958465,$B$5))))</f>
        <v/>
      </c>
      <c r="I59" s="29" t="str">
        <f aca="false">IF(OR($C59="",$H$108=0),"",H59/$H$108)</f>
        <v/>
      </c>
      <c r="J59" s="21" t="str">
        <f aca="false">IF(C59="","",IF(D59&gt;0,"نشط","لا يوجد مبيعات"))</f>
        <v/>
      </c>
    </row>
    <row r="60" customFormat="false" ht="15" hidden="false" customHeight="false" outlineLevel="0" collapsed="false">
      <c r="A60" s="21" t="str">
        <f aca="false">IF(C60="","",53)</f>
        <v/>
      </c>
      <c r="B60" s="21" t="str">
        <f aca="false">IF('دليل العملاء'!$B$56="","",'دليل العملاء'!$A$56)</f>
        <v/>
      </c>
      <c r="C60" s="4" t="str">
        <f aca="false">IF('دليل العملاء'!$B$56="","",'دليل العملاء'!$B$56)</f>
        <v/>
      </c>
      <c r="D60" s="27" t="str">
        <f aca="false">IF($C60="","",IF($B$4&amp;$B$5="",COUNTIFS('المبيعات اليومية'!$B$9:$B$308,$C60),COUNTIFS('المبيعات اليومية'!$B$9:$B$308,$C60,'المبيعات اليومية'!$A$9:$A$308,"&gt;="&amp;IF($B$4="",0,$B$4),'المبيعات اليومية'!$A$9:$A$308,"&lt;="&amp;IF($B$5="",2958465,$B$5))))</f>
        <v/>
      </c>
      <c r="E60" s="28" t="str">
        <f aca="false">IF($C60="","",IF($B$4&amp;$B$5="",SUMIFS('المبيعات اليومية'!$E$9:$E$308,'المبيعات اليومية'!$B$9:$B$308,$C60),SUMIFS('المبيعات اليومية'!$E$9:$E$308,'المبيعات اليومية'!$B$9:$B$308,$C60,'المبيعات اليومية'!$A$9:$A$308,"&gt;="&amp;IF($B$4="",0,$B$4),'المبيعات اليومية'!$A$9:$A$308,"&lt;="&amp;IF($B$5="",2958465,$B$5))))</f>
        <v/>
      </c>
      <c r="F60" s="19" t="str">
        <f aca="false">IF($C60="","",IF($B$4&amp;$B$5="",SUMIFS('المبيعات اليومية'!$H$9:$H$308,'المبيعات اليومية'!$B$9:$B$308,$C60),SUMIFS('المبيعات اليومية'!$H$9:$H$308,'المبيعات اليومية'!$B$9:$B$308,$C60,'المبيعات اليومية'!$A$9:$A$308,"&gt;="&amp;IF($B$4="",0,$B$4),'المبيعات اليومية'!$A$9:$A$308,"&lt;="&amp;IF($B$5="",2958465,$B$5))))</f>
        <v/>
      </c>
      <c r="G60" s="19" t="str">
        <f aca="false">IF($C60="","",IF($B$4&amp;$B$5="",SUMIFS('المبيعات اليومية'!$I$9:$I$308,'المبيعات اليومية'!$B$9:$B$308,$C60),SUMIFS('المبيعات اليومية'!$I$9:$I$308,'المبيعات اليومية'!$B$9:$B$308,$C60,'المبيعات اليومية'!$A$9:$A$308,"&gt;="&amp;IF($B$4="",0,$B$4),'المبيعات اليومية'!$A$9:$A$308,"&lt;="&amp;IF($B$5="",2958465,$B$5))))</f>
        <v/>
      </c>
      <c r="H60" s="20" t="str">
        <f aca="false">IF($C60="","",IF($B$4&amp;$B$5="",SUMIFS('المبيعات اليومية'!$J$9:$J$308,'المبيعات اليومية'!$B$9:$B$308,$C60),SUMIFS('المبيعات اليومية'!$J$9:$J$308,'المبيعات اليومية'!$B$9:$B$308,$C60,'المبيعات اليومية'!$A$9:$A$308,"&gt;="&amp;IF($B$4="",0,$B$4),'المبيعات اليومية'!$A$9:$A$308,"&lt;="&amp;IF($B$5="",2958465,$B$5))))</f>
        <v/>
      </c>
      <c r="I60" s="29" t="str">
        <f aca="false">IF(OR($C60="",$H$108=0),"",H60/$H$108)</f>
        <v/>
      </c>
      <c r="J60" s="21" t="str">
        <f aca="false">IF(C60="","",IF(D60&gt;0,"نشط","لا يوجد مبيعات"))</f>
        <v/>
      </c>
    </row>
    <row r="61" customFormat="false" ht="15" hidden="false" customHeight="false" outlineLevel="0" collapsed="false">
      <c r="A61" s="21" t="str">
        <f aca="false">IF(C61="","",54)</f>
        <v/>
      </c>
      <c r="B61" s="21" t="str">
        <f aca="false">IF('دليل العملاء'!$B$57="","",'دليل العملاء'!$A$57)</f>
        <v/>
      </c>
      <c r="C61" s="4" t="str">
        <f aca="false">IF('دليل العملاء'!$B$57="","",'دليل العملاء'!$B$57)</f>
        <v/>
      </c>
      <c r="D61" s="27" t="str">
        <f aca="false">IF($C61="","",IF($B$4&amp;$B$5="",COUNTIFS('المبيعات اليومية'!$B$9:$B$308,$C61),COUNTIFS('المبيعات اليومية'!$B$9:$B$308,$C61,'المبيعات اليومية'!$A$9:$A$308,"&gt;="&amp;IF($B$4="",0,$B$4),'المبيعات اليومية'!$A$9:$A$308,"&lt;="&amp;IF($B$5="",2958465,$B$5))))</f>
        <v/>
      </c>
      <c r="E61" s="28" t="str">
        <f aca="false">IF($C61="","",IF($B$4&amp;$B$5="",SUMIFS('المبيعات اليومية'!$E$9:$E$308,'المبيعات اليومية'!$B$9:$B$308,$C61),SUMIFS('المبيعات اليومية'!$E$9:$E$308,'المبيعات اليومية'!$B$9:$B$308,$C61,'المبيعات اليومية'!$A$9:$A$308,"&gt;="&amp;IF($B$4="",0,$B$4),'المبيعات اليومية'!$A$9:$A$308,"&lt;="&amp;IF($B$5="",2958465,$B$5))))</f>
        <v/>
      </c>
      <c r="F61" s="19" t="str">
        <f aca="false">IF($C61="","",IF($B$4&amp;$B$5="",SUMIFS('المبيعات اليومية'!$H$9:$H$308,'المبيعات اليومية'!$B$9:$B$308,$C61),SUMIFS('المبيعات اليومية'!$H$9:$H$308,'المبيعات اليومية'!$B$9:$B$308,$C61,'المبيعات اليومية'!$A$9:$A$308,"&gt;="&amp;IF($B$4="",0,$B$4),'المبيعات اليومية'!$A$9:$A$308,"&lt;="&amp;IF($B$5="",2958465,$B$5))))</f>
        <v/>
      </c>
      <c r="G61" s="19" t="str">
        <f aca="false">IF($C61="","",IF($B$4&amp;$B$5="",SUMIFS('المبيعات اليومية'!$I$9:$I$308,'المبيعات اليومية'!$B$9:$B$308,$C61),SUMIFS('المبيعات اليومية'!$I$9:$I$308,'المبيعات اليومية'!$B$9:$B$308,$C61,'المبيعات اليومية'!$A$9:$A$308,"&gt;="&amp;IF($B$4="",0,$B$4),'المبيعات اليومية'!$A$9:$A$308,"&lt;="&amp;IF($B$5="",2958465,$B$5))))</f>
        <v/>
      </c>
      <c r="H61" s="20" t="str">
        <f aca="false">IF($C61="","",IF($B$4&amp;$B$5="",SUMIFS('المبيعات اليومية'!$J$9:$J$308,'المبيعات اليومية'!$B$9:$B$308,$C61),SUMIFS('المبيعات اليومية'!$J$9:$J$308,'المبيعات اليومية'!$B$9:$B$308,$C61,'المبيعات اليومية'!$A$9:$A$308,"&gt;="&amp;IF($B$4="",0,$B$4),'المبيعات اليومية'!$A$9:$A$308,"&lt;="&amp;IF($B$5="",2958465,$B$5))))</f>
        <v/>
      </c>
      <c r="I61" s="29" t="str">
        <f aca="false">IF(OR($C61="",$H$108=0),"",H61/$H$108)</f>
        <v/>
      </c>
      <c r="J61" s="21" t="str">
        <f aca="false">IF(C61="","",IF(D61&gt;0,"نشط","لا يوجد مبيعات"))</f>
        <v/>
      </c>
    </row>
    <row r="62" customFormat="false" ht="15" hidden="false" customHeight="false" outlineLevel="0" collapsed="false">
      <c r="A62" s="21" t="str">
        <f aca="false">IF(C62="","",55)</f>
        <v/>
      </c>
      <c r="B62" s="21" t="str">
        <f aca="false">IF('دليل العملاء'!$B$58="","",'دليل العملاء'!$A$58)</f>
        <v/>
      </c>
      <c r="C62" s="4" t="str">
        <f aca="false">IF('دليل العملاء'!$B$58="","",'دليل العملاء'!$B$58)</f>
        <v/>
      </c>
      <c r="D62" s="27" t="str">
        <f aca="false">IF($C62="","",IF($B$4&amp;$B$5="",COUNTIFS('المبيعات اليومية'!$B$9:$B$308,$C62),COUNTIFS('المبيعات اليومية'!$B$9:$B$308,$C62,'المبيعات اليومية'!$A$9:$A$308,"&gt;="&amp;IF($B$4="",0,$B$4),'المبيعات اليومية'!$A$9:$A$308,"&lt;="&amp;IF($B$5="",2958465,$B$5))))</f>
        <v/>
      </c>
      <c r="E62" s="28" t="str">
        <f aca="false">IF($C62="","",IF($B$4&amp;$B$5="",SUMIFS('المبيعات اليومية'!$E$9:$E$308,'المبيعات اليومية'!$B$9:$B$308,$C62),SUMIFS('المبيعات اليومية'!$E$9:$E$308,'المبيعات اليومية'!$B$9:$B$308,$C62,'المبيعات اليومية'!$A$9:$A$308,"&gt;="&amp;IF($B$4="",0,$B$4),'المبيعات اليومية'!$A$9:$A$308,"&lt;="&amp;IF($B$5="",2958465,$B$5))))</f>
        <v/>
      </c>
      <c r="F62" s="19" t="str">
        <f aca="false">IF($C62="","",IF($B$4&amp;$B$5="",SUMIFS('المبيعات اليومية'!$H$9:$H$308,'المبيعات اليومية'!$B$9:$B$308,$C62),SUMIFS('المبيعات اليومية'!$H$9:$H$308,'المبيعات اليومية'!$B$9:$B$308,$C62,'المبيعات اليومية'!$A$9:$A$308,"&gt;="&amp;IF($B$4="",0,$B$4),'المبيعات اليومية'!$A$9:$A$308,"&lt;="&amp;IF($B$5="",2958465,$B$5))))</f>
        <v/>
      </c>
      <c r="G62" s="19" t="str">
        <f aca="false">IF($C62="","",IF($B$4&amp;$B$5="",SUMIFS('المبيعات اليومية'!$I$9:$I$308,'المبيعات اليومية'!$B$9:$B$308,$C62),SUMIFS('المبيعات اليومية'!$I$9:$I$308,'المبيعات اليومية'!$B$9:$B$308,$C62,'المبيعات اليومية'!$A$9:$A$308,"&gt;="&amp;IF($B$4="",0,$B$4),'المبيعات اليومية'!$A$9:$A$308,"&lt;="&amp;IF($B$5="",2958465,$B$5))))</f>
        <v/>
      </c>
      <c r="H62" s="20" t="str">
        <f aca="false">IF($C62="","",IF($B$4&amp;$B$5="",SUMIFS('المبيعات اليومية'!$J$9:$J$308,'المبيعات اليومية'!$B$9:$B$308,$C62),SUMIFS('المبيعات اليومية'!$J$9:$J$308,'المبيعات اليومية'!$B$9:$B$308,$C62,'المبيعات اليومية'!$A$9:$A$308,"&gt;="&amp;IF($B$4="",0,$B$4),'المبيعات اليومية'!$A$9:$A$308,"&lt;="&amp;IF($B$5="",2958465,$B$5))))</f>
        <v/>
      </c>
      <c r="I62" s="29" t="str">
        <f aca="false">IF(OR($C62="",$H$108=0),"",H62/$H$108)</f>
        <v/>
      </c>
      <c r="J62" s="21" t="str">
        <f aca="false">IF(C62="","",IF(D62&gt;0,"نشط","لا يوجد مبيعات"))</f>
        <v/>
      </c>
    </row>
    <row r="63" customFormat="false" ht="15" hidden="false" customHeight="false" outlineLevel="0" collapsed="false">
      <c r="A63" s="21" t="str">
        <f aca="false">IF(C63="","",56)</f>
        <v/>
      </c>
      <c r="B63" s="21" t="str">
        <f aca="false">IF('دليل العملاء'!$B$59="","",'دليل العملاء'!$A$59)</f>
        <v/>
      </c>
      <c r="C63" s="4" t="str">
        <f aca="false">IF('دليل العملاء'!$B$59="","",'دليل العملاء'!$B$59)</f>
        <v/>
      </c>
      <c r="D63" s="27" t="str">
        <f aca="false">IF($C63="","",IF($B$4&amp;$B$5="",COUNTIFS('المبيعات اليومية'!$B$9:$B$308,$C63),COUNTIFS('المبيعات اليومية'!$B$9:$B$308,$C63,'المبيعات اليومية'!$A$9:$A$308,"&gt;="&amp;IF($B$4="",0,$B$4),'المبيعات اليومية'!$A$9:$A$308,"&lt;="&amp;IF($B$5="",2958465,$B$5))))</f>
        <v/>
      </c>
      <c r="E63" s="28" t="str">
        <f aca="false">IF($C63="","",IF($B$4&amp;$B$5="",SUMIFS('المبيعات اليومية'!$E$9:$E$308,'المبيعات اليومية'!$B$9:$B$308,$C63),SUMIFS('المبيعات اليومية'!$E$9:$E$308,'المبيعات اليومية'!$B$9:$B$308,$C63,'المبيعات اليومية'!$A$9:$A$308,"&gt;="&amp;IF($B$4="",0,$B$4),'المبيعات اليومية'!$A$9:$A$308,"&lt;="&amp;IF($B$5="",2958465,$B$5))))</f>
        <v/>
      </c>
      <c r="F63" s="19" t="str">
        <f aca="false">IF($C63="","",IF($B$4&amp;$B$5="",SUMIFS('المبيعات اليومية'!$H$9:$H$308,'المبيعات اليومية'!$B$9:$B$308,$C63),SUMIFS('المبيعات اليومية'!$H$9:$H$308,'المبيعات اليومية'!$B$9:$B$308,$C63,'المبيعات اليومية'!$A$9:$A$308,"&gt;="&amp;IF($B$4="",0,$B$4),'المبيعات اليومية'!$A$9:$A$308,"&lt;="&amp;IF($B$5="",2958465,$B$5))))</f>
        <v/>
      </c>
      <c r="G63" s="19" t="str">
        <f aca="false">IF($C63="","",IF($B$4&amp;$B$5="",SUMIFS('المبيعات اليومية'!$I$9:$I$308,'المبيعات اليومية'!$B$9:$B$308,$C63),SUMIFS('المبيعات اليومية'!$I$9:$I$308,'المبيعات اليومية'!$B$9:$B$308,$C63,'المبيعات اليومية'!$A$9:$A$308,"&gt;="&amp;IF($B$4="",0,$B$4),'المبيعات اليومية'!$A$9:$A$308,"&lt;="&amp;IF($B$5="",2958465,$B$5))))</f>
        <v/>
      </c>
      <c r="H63" s="20" t="str">
        <f aca="false">IF($C63="","",IF($B$4&amp;$B$5="",SUMIFS('المبيعات اليومية'!$J$9:$J$308,'المبيعات اليومية'!$B$9:$B$308,$C63),SUMIFS('المبيعات اليومية'!$J$9:$J$308,'المبيعات اليومية'!$B$9:$B$308,$C63,'المبيعات اليومية'!$A$9:$A$308,"&gt;="&amp;IF($B$4="",0,$B$4),'المبيعات اليومية'!$A$9:$A$308,"&lt;="&amp;IF($B$5="",2958465,$B$5))))</f>
        <v/>
      </c>
      <c r="I63" s="29" t="str">
        <f aca="false">IF(OR($C63="",$H$108=0),"",H63/$H$108)</f>
        <v/>
      </c>
      <c r="J63" s="21" t="str">
        <f aca="false">IF(C63="","",IF(D63&gt;0,"نشط","لا يوجد مبيعات"))</f>
        <v/>
      </c>
    </row>
    <row r="64" customFormat="false" ht="15" hidden="false" customHeight="false" outlineLevel="0" collapsed="false">
      <c r="A64" s="21" t="str">
        <f aca="false">IF(C64="","",57)</f>
        <v/>
      </c>
      <c r="B64" s="21" t="str">
        <f aca="false">IF('دليل العملاء'!$B$60="","",'دليل العملاء'!$A$60)</f>
        <v/>
      </c>
      <c r="C64" s="4" t="str">
        <f aca="false">IF('دليل العملاء'!$B$60="","",'دليل العملاء'!$B$60)</f>
        <v/>
      </c>
      <c r="D64" s="27" t="str">
        <f aca="false">IF($C64="","",IF($B$4&amp;$B$5="",COUNTIFS('المبيعات اليومية'!$B$9:$B$308,$C64),COUNTIFS('المبيعات اليومية'!$B$9:$B$308,$C64,'المبيعات اليومية'!$A$9:$A$308,"&gt;="&amp;IF($B$4="",0,$B$4),'المبيعات اليومية'!$A$9:$A$308,"&lt;="&amp;IF($B$5="",2958465,$B$5))))</f>
        <v/>
      </c>
      <c r="E64" s="28" t="str">
        <f aca="false">IF($C64="","",IF($B$4&amp;$B$5="",SUMIFS('المبيعات اليومية'!$E$9:$E$308,'المبيعات اليومية'!$B$9:$B$308,$C64),SUMIFS('المبيعات اليومية'!$E$9:$E$308,'المبيعات اليومية'!$B$9:$B$308,$C64,'المبيعات اليومية'!$A$9:$A$308,"&gt;="&amp;IF($B$4="",0,$B$4),'المبيعات اليومية'!$A$9:$A$308,"&lt;="&amp;IF($B$5="",2958465,$B$5))))</f>
        <v/>
      </c>
      <c r="F64" s="19" t="str">
        <f aca="false">IF($C64="","",IF($B$4&amp;$B$5="",SUMIFS('المبيعات اليومية'!$H$9:$H$308,'المبيعات اليومية'!$B$9:$B$308,$C64),SUMIFS('المبيعات اليومية'!$H$9:$H$308,'المبيعات اليومية'!$B$9:$B$308,$C64,'المبيعات اليومية'!$A$9:$A$308,"&gt;="&amp;IF($B$4="",0,$B$4),'المبيعات اليومية'!$A$9:$A$308,"&lt;="&amp;IF($B$5="",2958465,$B$5))))</f>
        <v/>
      </c>
      <c r="G64" s="19" t="str">
        <f aca="false">IF($C64="","",IF($B$4&amp;$B$5="",SUMIFS('المبيعات اليومية'!$I$9:$I$308,'المبيعات اليومية'!$B$9:$B$308,$C64),SUMIFS('المبيعات اليومية'!$I$9:$I$308,'المبيعات اليومية'!$B$9:$B$308,$C64,'المبيعات اليومية'!$A$9:$A$308,"&gt;="&amp;IF($B$4="",0,$B$4),'المبيعات اليومية'!$A$9:$A$308,"&lt;="&amp;IF($B$5="",2958465,$B$5))))</f>
        <v/>
      </c>
      <c r="H64" s="20" t="str">
        <f aca="false">IF($C64="","",IF($B$4&amp;$B$5="",SUMIFS('المبيعات اليومية'!$J$9:$J$308,'المبيعات اليومية'!$B$9:$B$308,$C64),SUMIFS('المبيعات اليومية'!$J$9:$J$308,'المبيعات اليومية'!$B$9:$B$308,$C64,'المبيعات اليومية'!$A$9:$A$308,"&gt;="&amp;IF($B$4="",0,$B$4),'المبيعات اليومية'!$A$9:$A$308,"&lt;="&amp;IF($B$5="",2958465,$B$5))))</f>
        <v/>
      </c>
      <c r="I64" s="29" t="str">
        <f aca="false">IF(OR($C64="",$H$108=0),"",H64/$H$108)</f>
        <v/>
      </c>
      <c r="J64" s="21" t="str">
        <f aca="false">IF(C64="","",IF(D64&gt;0,"نشط","لا يوجد مبيعات"))</f>
        <v/>
      </c>
    </row>
    <row r="65" customFormat="false" ht="15" hidden="false" customHeight="false" outlineLevel="0" collapsed="false">
      <c r="A65" s="21" t="str">
        <f aca="false">IF(C65="","",58)</f>
        <v/>
      </c>
      <c r="B65" s="21" t="str">
        <f aca="false">IF('دليل العملاء'!$B$61="","",'دليل العملاء'!$A$61)</f>
        <v/>
      </c>
      <c r="C65" s="4" t="str">
        <f aca="false">IF('دليل العملاء'!$B$61="","",'دليل العملاء'!$B$61)</f>
        <v/>
      </c>
      <c r="D65" s="27" t="str">
        <f aca="false">IF($C65="","",IF($B$4&amp;$B$5="",COUNTIFS('المبيعات اليومية'!$B$9:$B$308,$C65),COUNTIFS('المبيعات اليومية'!$B$9:$B$308,$C65,'المبيعات اليومية'!$A$9:$A$308,"&gt;="&amp;IF($B$4="",0,$B$4),'المبيعات اليومية'!$A$9:$A$308,"&lt;="&amp;IF($B$5="",2958465,$B$5))))</f>
        <v/>
      </c>
      <c r="E65" s="28" t="str">
        <f aca="false">IF($C65="","",IF($B$4&amp;$B$5="",SUMIFS('المبيعات اليومية'!$E$9:$E$308,'المبيعات اليومية'!$B$9:$B$308,$C65),SUMIFS('المبيعات اليومية'!$E$9:$E$308,'المبيعات اليومية'!$B$9:$B$308,$C65,'المبيعات اليومية'!$A$9:$A$308,"&gt;="&amp;IF($B$4="",0,$B$4),'المبيعات اليومية'!$A$9:$A$308,"&lt;="&amp;IF($B$5="",2958465,$B$5))))</f>
        <v/>
      </c>
      <c r="F65" s="19" t="str">
        <f aca="false">IF($C65="","",IF($B$4&amp;$B$5="",SUMIFS('المبيعات اليومية'!$H$9:$H$308,'المبيعات اليومية'!$B$9:$B$308,$C65),SUMIFS('المبيعات اليومية'!$H$9:$H$308,'المبيعات اليومية'!$B$9:$B$308,$C65,'المبيعات اليومية'!$A$9:$A$308,"&gt;="&amp;IF($B$4="",0,$B$4),'المبيعات اليومية'!$A$9:$A$308,"&lt;="&amp;IF($B$5="",2958465,$B$5))))</f>
        <v/>
      </c>
      <c r="G65" s="19" t="str">
        <f aca="false">IF($C65="","",IF($B$4&amp;$B$5="",SUMIFS('المبيعات اليومية'!$I$9:$I$308,'المبيعات اليومية'!$B$9:$B$308,$C65),SUMIFS('المبيعات اليومية'!$I$9:$I$308,'المبيعات اليومية'!$B$9:$B$308,$C65,'المبيعات اليومية'!$A$9:$A$308,"&gt;="&amp;IF($B$4="",0,$B$4),'المبيعات اليومية'!$A$9:$A$308,"&lt;="&amp;IF($B$5="",2958465,$B$5))))</f>
        <v/>
      </c>
      <c r="H65" s="20" t="str">
        <f aca="false">IF($C65="","",IF($B$4&amp;$B$5="",SUMIFS('المبيعات اليومية'!$J$9:$J$308,'المبيعات اليومية'!$B$9:$B$308,$C65),SUMIFS('المبيعات اليومية'!$J$9:$J$308,'المبيعات اليومية'!$B$9:$B$308,$C65,'المبيعات اليومية'!$A$9:$A$308,"&gt;="&amp;IF($B$4="",0,$B$4),'المبيعات اليومية'!$A$9:$A$308,"&lt;="&amp;IF($B$5="",2958465,$B$5))))</f>
        <v/>
      </c>
      <c r="I65" s="29" t="str">
        <f aca="false">IF(OR($C65="",$H$108=0),"",H65/$H$108)</f>
        <v/>
      </c>
      <c r="J65" s="21" t="str">
        <f aca="false">IF(C65="","",IF(D65&gt;0,"نشط","لا يوجد مبيعات"))</f>
        <v/>
      </c>
    </row>
    <row r="66" customFormat="false" ht="15" hidden="false" customHeight="false" outlineLevel="0" collapsed="false">
      <c r="A66" s="21" t="str">
        <f aca="false">IF(C66="","",59)</f>
        <v/>
      </c>
      <c r="B66" s="21" t="str">
        <f aca="false">IF('دليل العملاء'!$B$62="","",'دليل العملاء'!$A$62)</f>
        <v/>
      </c>
      <c r="C66" s="4" t="str">
        <f aca="false">IF('دليل العملاء'!$B$62="","",'دليل العملاء'!$B$62)</f>
        <v/>
      </c>
      <c r="D66" s="27" t="str">
        <f aca="false">IF($C66="","",IF($B$4&amp;$B$5="",COUNTIFS('المبيعات اليومية'!$B$9:$B$308,$C66),COUNTIFS('المبيعات اليومية'!$B$9:$B$308,$C66,'المبيعات اليومية'!$A$9:$A$308,"&gt;="&amp;IF($B$4="",0,$B$4),'المبيعات اليومية'!$A$9:$A$308,"&lt;="&amp;IF($B$5="",2958465,$B$5))))</f>
        <v/>
      </c>
      <c r="E66" s="28" t="str">
        <f aca="false">IF($C66="","",IF($B$4&amp;$B$5="",SUMIFS('المبيعات اليومية'!$E$9:$E$308,'المبيعات اليومية'!$B$9:$B$308,$C66),SUMIFS('المبيعات اليومية'!$E$9:$E$308,'المبيعات اليومية'!$B$9:$B$308,$C66,'المبيعات اليومية'!$A$9:$A$308,"&gt;="&amp;IF($B$4="",0,$B$4),'المبيعات اليومية'!$A$9:$A$308,"&lt;="&amp;IF($B$5="",2958465,$B$5))))</f>
        <v/>
      </c>
      <c r="F66" s="19" t="str">
        <f aca="false">IF($C66="","",IF($B$4&amp;$B$5="",SUMIFS('المبيعات اليومية'!$H$9:$H$308,'المبيعات اليومية'!$B$9:$B$308,$C66),SUMIFS('المبيعات اليومية'!$H$9:$H$308,'المبيعات اليومية'!$B$9:$B$308,$C66,'المبيعات اليومية'!$A$9:$A$308,"&gt;="&amp;IF($B$4="",0,$B$4),'المبيعات اليومية'!$A$9:$A$308,"&lt;="&amp;IF($B$5="",2958465,$B$5))))</f>
        <v/>
      </c>
      <c r="G66" s="19" t="str">
        <f aca="false">IF($C66="","",IF($B$4&amp;$B$5="",SUMIFS('المبيعات اليومية'!$I$9:$I$308,'المبيعات اليومية'!$B$9:$B$308,$C66),SUMIFS('المبيعات اليومية'!$I$9:$I$308,'المبيعات اليومية'!$B$9:$B$308,$C66,'المبيعات اليومية'!$A$9:$A$308,"&gt;="&amp;IF($B$4="",0,$B$4),'المبيعات اليومية'!$A$9:$A$308,"&lt;="&amp;IF($B$5="",2958465,$B$5))))</f>
        <v/>
      </c>
      <c r="H66" s="20" t="str">
        <f aca="false">IF($C66="","",IF($B$4&amp;$B$5="",SUMIFS('المبيعات اليومية'!$J$9:$J$308,'المبيعات اليومية'!$B$9:$B$308,$C66),SUMIFS('المبيعات اليومية'!$J$9:$J$308,'المبيعات اليومية'!$B$9:$B$308,$C66,'المبيعات اليومية'!$A$9:$A$308,"&gt;="&amp;IF($B$4="",0,$B$4),'المبيعات اليومية'!$A$9:$A$308,"&lt;="&amp;IF($B$5="",2958465,$B$5))))</f>
        <v/>
      </c>
      <c r="I66" s="29" t="str">
        <f aca="false">IF(OR($C66="",$H$108=0),"",H66/$H$108)</f>
        <v/>
      </c>
      <c r="J66" s="21" t="str">
        <f aca="false">IF(C66="","",IF(D66&gt;0,"نشط","لا يوجد مبيعات"))</f>
        <v/>
      </c>
    </row>
    <row r="67" customFormat="false" ht="15" hidden="false" customHeight="false" outlineLevel="0" collapsed="false">
      <c r="A67" s="21" t="str">
        <f aca="false">IF(C67="","",60)</f>
        <v/>
      </c>
      <c r="B67" s="21" t="str">
        <f aca="false">IF('دليل العملاء'!$B$63="","",'دليل العملاء'!$A$63)</f>
        <v/>
      </c>
      <c r="C67" s="4" t="str">
        <f aca="false">IF('دليل العملاء'!$B$63="","",'دليل العملاء'!$B$63)</f>
        <v/>
      </c>
      <c r="D67" s="27" t="str">
        <f aca="false">IF($C67="","",IF($B$4&amp;$B$5="",COUNTIFS('المبيعات اليومية'!$B$9:$B$308,$C67),COUNTIFS('المبيعات اليومية'!$B$9:$B$308,$C67,'المبيعات اليومية'!$A$9:$A$308,"&gt;="&amp;IF($B$4="",0,$B$4),'المبيعات اليومية'!$A$9:$A$308,"&lt;="&amp;IF($B$5="",2958465,$B$5))))</f>
        <v/>
      </c>
      <c r="E67" s="28" t="str">
        <f aca="false">IF($C67="","",IF($B$4&amp;$B$5="",SUMIFS('المبيعات اليومية'!$E$9:$E$308,'المبيعات اليومية'!$B$9:$B$308,$C67),SUMIFS('المبيعات اليومية'!$E$9:$E$308,'المبيعات اليومية'!$B$9:$B$308,$C67,'المبيعات اليومية'!$A$9:$A$308,"&gt;="&amp;IF($B$4="",0,$B$4),'المبيعات اليومية'!$A$9:$A$308,"&lt;="&amp;IF($B$5="",2958465,$B$5))))</f>
        <v/>
      </c>
      <c r="F67" s="19" t="str">
        <f aca="false">IF($C67="","",IF($B$4&amp;$B$5="",SUMIFS('المبيعات اليومية'!$H$9:$H$308,'المبيعات اليومية'!$B$9:$B$308,$C67),SUMIFS('المبيعات اليومية'!$H$9:$H$308,'المبيعات اليومية'!$B$9:$B$308,$C67,'المبيعات اليومية'!$A$9:$A$308,"&gt;="&amp;IF($B$4="",0,$B$4),'المبيعات اليومية'!$A$9:$A$308,"&lt;="&amp;IF($B$5="",2958465,$B$5))))</f>
        <v/>
      </c>
      <c r="G67" s="19" t="str">
        <f aca="false">IF($C67="","",IF($B$4&amp;$B$5="",SUMIFS('المبيعات اليومية'!$I$9:$I$308,'المبيعات اليومية'!$B$9:$B$308,$C67),SUMIFS('المبيعات اليومية'!$I$9:$I$308,'المبيعات اليومية'!$B$9:$B$308,$C67,'المبيعات اليومية'!$A$9:$A$308,"&gt;="&amp;IF($B$4="",0,$B$4),'المبيعات اليومية'!$A$9:$A$308,"&lt;="&amp;IF($B$5="",2958465,$B$5))))</f>
        <v/>
      </c>
      <c r="H67" s="20" t="str">
        <f aca="false">IF($C67="","",IF($B$4&amp;$B$5="",SUMIFS('المبيعات اليومية'!$J$9:$J$308,'المبيعات اليومية'!$B$9:$B$308,$C67),SUMIFS('المبيعات اليومية'!$J$9:$J$308,'المبيعات اليومية'!$B$9:$B$308,$C67,'المبيعات اليومية'!$A$9:$A$308,"&gt;="&amp;IF($B$4="",0,$B$4),'المبيعات اليومية'!$A$9:$A$308,"&lt;="&amp;IF($B$5="",2958465,$B$5))))</f>
        <v/>
      </c>
      <c r="I67" s="29" t="str">
        <f aca="false">IF(OR($C67="",$H$108=0),"",H67/$H$108)</f>
        <v/>
      </c>
      <c r="J67" s="21" t="str">
        <f aca="false">IF(C67="","",IF(D67&gt;0,"نشط","لا يوجد مبيعات"))</f>
        <v/>
      </c>
    </row>
    <row r="68" customFormat="false" ht="15" hidden="false" customHeight="false" outlineLevel="0" collapsed="false">
      <c r="A68" s="21" t="str">
        <f aca="false">IF(C68="","",61)</f>
        <v/>
      </c>
      <c r="B68" s="21" t="str">
        <f aca="false">IF('دليل العملاء'!$B$64="","",'دليل العملاء'!$A$64)</f>
        <v/>
      </c>
      <c r="C68" s="4" t="str">
        <f aca="false">IF('دليل العملاء'!$B$64="","",'دليل العملاء'!$B$64)</f>
        <v/>
      </c>
      <c r="D68" s="27" t="str">
        <f aca="false">IF($C68="","",IF($B$4&amp;$B$5="",COUNTIFS('المبيعات اليومية'!$B$9:$B$308,$C68),COUNTIFS('المبيعات اليومية'!$B$9:$B$308,$C68,'المبيعات اليومية'!$A$9:$A$308,"&gt;="&amp;IF($B$4="",0,$B$4),'المبيعات اليومية'!$A$9:$A$308,"&lt;="&amp;IF($B$5="",2958465,$B$5))))</f>
        <v/>
      </c>
      <c r="E68" s="28" t="str">
        <f aca="false">IF($C68="","",IF($B$4&amp;$B$5="",SUMIFS('المبيعات اليومية'!$E$9:$E$308,'المبيعات اليومية'!$B$9:$B$308,$C68),SUMIFS('المبيعات اليومية'!$E$9:$E$308,'المبيعات اليومية'!$B$9:$B$308,$C68,'المبيعات اليومية'!$A$9:$A$308,"&gt;="&amp;IF($B$4="",0,$B$4),'المبيعات اليومية'!$A$9:$A$308,"&lt;="&amp;IF($B$5="",2958465,$B$5))))</f>
        <v/>
      </c>
      <c r="F68" s="19" t="str">
        <f aca="false">IF($C68="","",IF($B$4&amp;$B$5="",SUMIFS('المبيعات اليومية'!$H$9:$H$308,'المبيعات اليومية'!$B$9:$B$308,$C68),SUMIFS('المبيعات اليومية'!$H$9:$H$308,'المبيعات اليومية'!$B$9:$B$308,$C68,'المبيعات اليومية'!$A$9:$A$308,"&gt;="&amp;IF($B$4="",0,$B$4),'المبيعات اليومية'!$A$9:$A$308,"&lt;="&amp;IF($B$5="",2958465,$B$5))))</f>
        <v/>
      </c>
      <c r="G68" s="19" t="str">
        <f aca="false">IF($C68="","",IF($B$4&amp;$B$5="",SUMIFS('المبيعات اليومية'!$I$9:$I$308,'المبيعات اليومية'!$B$9:$B$308,$C68),SUMIFS('المبيعات اليومية'!$I$9:$I$308,'المبيعات اليومية'!$B$9:$B$308,$C68,'المبيعات اليومية'!$A$9:$A$308,"&gt;="&amp;IF($B$4="",0,$B$4),'المبيعات اليومية'!$A$9:$A$308,"&lt;="&amp;IF($B$5="",2958465,$B$5))))</f>
        <v/>
      </c>
      <c r="H68" s="20" t="str">
        <f aca="false">IF($C68="","",IF($B$4&amp;$B$5="",SUMIFS('المبيعات اليومية'!$J$9:$J$308,'المبيعات اليومية'!$B$9:$B$308,$C68),SUMIFS('المبيعات اليومية'!$J$9:$J$308,'المبيعات اليومية'!$B$9:$B$308,$C68,'المبيعات اليومية'!$A$9:$A$308,"&gt;="&amp;IF($B$4="",0,$B$4),'المبيعات اليومية'!$A$9:$A$308,"&lt;="&amp;IF($B$5="",2958465,$B$5))))</f>
        <v/>
      </c>
      <c r="I68" s="29" t="str">
        <f aca="false">IF(OR($C68="",$H$108=0),"",H68/$H$108)</f>
        <v/>
      </c>
      <c r="J68" s="21" t="str">
        <f aca="false">IF(C68="","",IF(D68&gt;0,"نشط","لا يوجد مبيعات"))</f>
        <v/>
      </c>
    </row>
    <row r="69" customFormat="false" ht="15" hidden="false" customHeight="false" outlineLevel="0" collapsed="false">
      <c r="A69" s="21" t="str">
        <f aca="false">IF(C69="","",62)</f>
        <v/>
      </c>
      <c r="B69" s="21" t="str">
        <f aca="false">IF('دليل العملاء'!$B$65="","",'دليل العملاء'!$A$65)</f>
        <v/>
      </c>
      <c r="C69" s="4" t="str">
        <f aca="false">IF('دليل العملاء'!$B$65="","",'دليل العملاء'!$B$65)</f>
        <v/>
      </c>
      <c r="D69" s="27" t="str">
        <f aca="false">IF($C69="","",IF($B$4&amp;$B$5="",COUNTIFS('المبيعات اليومية'!$B$9:$B$308,$C69),COUNTIFS('المبيعات اليومية'!$B$9:$B$308,$C69,'المبيعات اليومية'!$A$9:$A$308,"&gt;="&amp;IF($B$4="",0,$B$4),'المبيعات اليومية'!$A$9:$A$308,"&lt;="&amp;IF($B$5="",2958465,$B$5))))</f>
        <v/>
      </c>
      <c r="E69" s="28" t="str">
        <f aca="false">IF($C69="","",IF($B$4&amp;$B$5="",SUMIFS('المبيعات اليومية'!$E$9:$E$308,'المبيعات اليومية'!$B$9:$B$308,$C69),SUMIFS('المبيعات اليومية'!$E$9:$E$308,'المبيعات اليومية'!$B$9:$B$308,$C69,'المبيعات اليومية'!$A$9:$A$308,"&gt;="&amp;IF($B$4="",0,$B$4),'المبيعات اليومية'!$A$9:$A$308,"&lt;="&amp;IF($B$5="",2958465,$B$5))))</f>
        <v/>
      </c>
      <c r="F69" s="19" t="str">
        <f aca="false">IF($C69="","",IF($B$4&amp;$B$5="",SUMIFS('المبيعات اليومية'!$H$9:$H$308,'المبيعات اليومية'!$B$9:$B$308,$C69),SUMIFS('المبيعات اليومية'!$H$9:$H$308,'المبيعات اليومية'!$B$9:$B$308,$C69,'المبيعات اليومية'!$A$9:$A$308,"&gt;="&amp;IF($B$4="",0,$B$4),'المبيعات اليومية'!$A$9:$A$308,"&lt;="&amp;IF($B$5="",2958465,$B$5))))</f>
        <v/>
      </c>
      <c r="G69" s="19" t="str">
        <f aca="false">IF($C69="","",IF($B$4&amp;$B$5="",SUMIFS('المبيعات اليومية'!$I$9:$I$308,'المبيعات اليومية'!$B$9:$B$308,$C69),SUMIFS('المبيعات اليومية'!$I$9:$I$308,'المبيعات اليومية'!$B$9:$B$308,$C69,'المبيعات اليومية'!$A$9:$A$308,"&gt;="&amp;IF($B$4="",0,$B$4),'المبيعات اليومية'!$A$9:$A$308,"&lt;="&amp;IF($B$5="",2958465,$B$5))))</f>
        <v/>
      </c>
      <c r="H69" s="20" t="str">
        <f aca="false">IF($C69="","",IF($B$4&amp;$B$5="",SUMIFS('المبيعات اليومية'!$J$9:$J$308,'المبيعات اليومية'!$B$9:$B$308,$C69),SUMIFS('المبيعات اليومية'!$J$9:$J$308,'المبيعات اليومية'!$B$9:$B$308,$C69,'المبيعات اليومية'!$A$9:$A$308,"&gt;="&amp;IF($B$4="",0,$B$4),'المبيعات اليومية'!$A$9:$A$308,"&lt;="&amp;IF($B$5="",2958465,$B$5))))</f>
        <v/>
      </c>
      <c r="I69" s="29" t="str">
        <f aca="false">IF(OR($C69="",$H$108=0),"",H69/$H$108)</f>
        <v/>
      </c>
      <c r="J69" s="21" t="str">
        <f aca="false">IF(C69="","",IF(D69&gt;0,"نشط","لا يوجد مبيعات"))</f>
        <v/>
      </c>
    </row>
    <row r="70" customFormat="false" ht="15" hidden="false" customHeight="false" outlineLevel="0" collapsed="false">
      <c r="A70" s="21" t="str">
        <f aca="false">IF(C70="","",63)</f>
        <v/>
      </c>
      <c r="B70" s="21" t="str">
        <f aca="false">IF('دليل العملاء'!$B$66="","",'دليل العملاء'!$A$66)</f>
        <v/>
      </c>
      <c r="C70" s="4" t="str">
        <f aca="false">IF('دليل العملاء'!$B$66="","",'دليل العملاء'!$B$66)</f>
        <v/>
      </c>
      <c r="D70" s="27" t="str">
        <f aca="false">IF($C70="","",IF($B$4&amp;$B$5="",COUNTIFS('المبيعات اليومية'!$B$9:$B$308,$C70),COUNTIFS('المبيعات اليومية'!$B$9:$B$308,$C70,'المبيعات اليومية'!$A$9:$A$308,"&gt;="&amp;IF($B$4="",0,$B$4),'المبيعات اليومية'!$A$9:$A$308,"&lt;="&amp;IF($B$5="",2958465,$B$5))))</f>
        <v/>
      </c>
      <c r="E70" s="28" t="str">
        <f aca="false">IF($C70="","",IF($B$4&amp;$B$5="",SUMIFS('المبيعات اليومية'!$E$9:$E$308,'المبيعات اليومية'!$B$9:$B$308,$C70),SUMIFS('المبيعات اليومية'!$E$9:$E$308,'المبيعات اليومية'!$B$9:$B$308,$C70,'المبيعات اليومية'!$A$9:$A$308,"&gt;="&amp;IF($B$4="",0,$B$4),'المبيعات اليومية'!$A$9:$A$308,"&lt;="&amp;IF($B$5="",2958465,$B$5))))</f>
        <v/>
      </c>
      <c r="F70" s="19" t="str">
        <f aca="false">IF($C70="","",IF($B$4&amp;$B$5="",SUMIFS('المبيعات اليومية'!$H$9:$H$308,'المبيعات اليومية'!$B$9:$B$308,$C70),SUMIFS('المبيعات اليومية'!$H$9:$H$308,'المبيعات اليومية'!$B$9:$B$308,$C70,'المبيعات اليومية'!$A$9:$A$308,"&gt;="&amp;IF($B$4="",0,$B$4),'المبيعات اليومية'!$A$9:$A$308,"&lt;="&amp;IF($B$5="",2958465,$B$5))))</f>
        <v/>
      </c>
      <c r="G70" s="19" t="str">
        <f aca="false">IF($C70="","",IF($B$4&amp;$B$5="",SUMIFS('المبيعات اليومية'!$I$9:$I$308,'المبيعات اليومية'!$B$9:$B$308,$C70),SUMIFS('المبيعات اليومية'!$I$9:$I$308,'المبيعات اليومية'!$B$9:$B$308,$C70,'المبيعات اليومية'!$A$9:$A$308,"&gt;="&amp;IF($B$4="",0,$B$4),'المبيعات اليومية'!$A$9:$A$308,"&lt;="&amp;IF($B$5="",2958465,$B$5))))</f>
        <v/>
      </c>
      <c r="H70" s="20" t="str">
        <f aca="false">IF($C70="","",IF($B$4&amp;$B$5="",SUMIFS('المبيعات اليومية'!$J$9:$J$308,'المبيعات اليومية'!$B$9:$B$308,$C70),SUMIFS('المبيعات اليومية'!$J$9:$J$308,'المبيعات اليومية'!$B$9:$B$308,$C70,'المبيعات اليومية'!$A$9:$A$308,"&gt;="&amp;IF($B$4="",0,$B$4),'المبيعات اليومية'!$A$9:$A$308,"&lt;="&amp;IF($B$5="",2958465,$B$5))))</f>
        <v/>
      </c>
      <c r="I70" s="29" t="str">
        <f aca="false">IF(OR($C70="",$H$108=0),"",H70/$H$108)</f>
        <v/>
      </c>
      <c r="J70" s="21" t="str">
        <f aca="false">IF(C70="","",IF(D70&gt;0,"نشط","لا يوجد مبيعات"))</f>
        <v/>
      </c>
    </row>
    <row r="71" customFormat="false" ht="15" hidden="false" customHeight="false" outlineLevel="0" collapsed="false">
      <c r="A71" s="21" t="str">
        <f aca="false">IF(C71="","",64)</f>
        <v/>
      </c>
      <c r="B71" s="21" t="str">
        <f aca="false">IF('دليل العملاء'!$B$67="","",'دليل العملاء'!$A$67)</f>
        <v/>
      </c>
      <c r="C71" s="4" t="str">
        <f aca="false">IF('دليل العملاء'!$B$67="","",'دليل العملاء'!$B$67)</f>
        <v/>
      </c>
      <c r="D71" s="27" t="str">
        <f aca="false">IF($C71="","",IF($B$4&amp;$B$5="",COUNTIFS('المبيعات اليومية'!$B$9:$B$308,$C71),COUNTIFS('المبيعات اليومية'!$B$9:$B$308,$C71,'المبيعات اليومية'!$A$9:$A$308,"&gt;="&amp;IF($B$4="",0,$B$4),'المبيعات اليومية'!$A$9:$A$308,"&lt;="&amp;IF($B$5="",2958465,$B$5))))</f>
        <v/>
      </c>
      <c r="E71" s="28" t="str">
        <f aca="false">IF($C71="","",IF($B$4&amp;$B$5="",SUMIFS('المبيعات اليومية'!$E$9:$E$308,'المبيعات اليومية'!$B$9:$B$308,$C71),SUMIFS('المبيعات اليومية'!$E$9:$E$308,'المبيعات اليومية'!$B$9:$B$308,$C71,'المبيعات اليومية'!$A$9:$A$308,"&gt;="&amp;IF($B$4="",0,$B$4),'المبيعات اليومية'!$A$9:$A$308,"&lt;="&amp;IF($B$5="",2958465,$B$5))))</f>
        <v/>
      </c>
      <c r="F71" s="19" t="str">
        <f aca="false">IF($C71="","",IF($B$4&amp;$B$5="",SUMIFS('المبيعات اليومية'!$H$9:$H$308,'المبيعات اليومية'!$B$9:$B$308,$C71),SUMIFS('المبيعات اليومية'!$H$9:$H$308,'المبيعات اليومية'!$B$9:$B$308,$C71,'المبيعات اليومية'!$A$9:$A$308,"&gt;="&amp;IF($B$4="",0,$B$4),'المبيعات اليومية'!$A$9:$A$308,"&lt;="&amp;IF($B$5="",2958465,$B$5))))</f>
        <v/>
      </c>
      <c r="G71" s="19" t="str">
        <f aca="false">IF($C71="","",IF($B$4&amp;$B$5="",SUMIFS('المبيعات اليومية'!$I$9:$I$308,'المبيعات اليومية'!$B$9:$B$308,$C71),SUMIFS('المبيعات اليومية'!$I$9:$I$308,'المبيعات اليومية'!$B$9:$B$308,$C71,'المبيعات اليومية'!$A$9:$A$308,"&gt;="&amp;IF($B$4="",0,$B$4),'المبيعات اليومية'!$A$9:$A$308,"&lt;="&amp;IF($B$5="",2958465,$B$5))))</f>
        <v/>
      </c>
      <c r="H71" s="20" t="str">
        <f aca="false">IF($C71="","",IF($B$4&amp;$B$5="",SUMIFS('المبيعات اليومية'!$J$9:$J$308,'المبيعات اليومية'!$B$9:$B$308,$C71),SUMIFS('المبيعات اليومية'!$J$9:$J$308,'المبيعات اليومية'!$B$9:$B$308,$C71,'المبيعات اليومية'!$A$9:$A$308,"&gt;="&amp;IF($B$4="",0,$B$4),'المبيعات اليومية'!$A$9:$A$308,"&lt;="&amp;IF($B$5="",2958465,$B$5))))</f>
        <v/>
      </c>
      <c r="I71" s="29" t="str">
        <f aca="false">IF(OR($C71="",$H$108=0),"",H71/$H$108)</f>
        <v/>
      </c>
      <c r="J71" s="21" t="str">
        <f aca="false">IF(C71="","",IF(D71&gt;0,"نشط","لا يوجد مبيعات"))</f>
        <v/>
      </c>
    </row>
    <row r="72" customFormat="false" ht="15" hidden="false" customHeight="false" outlineLevel="0" collapsed="false">
      <c r="A72" s="21" t="str">
        <f aca="false">IF(C72="","",65)</f>
        <v/>
      </c>
      <c r="B72" s="21" t="str">
        <f aca="false">IF('دليل العملاء'!$B$68="","",'دليل العملاء'!$A$68)</f>
        <v/>
      </c>
      <c r="C72" s="4" t="str">
        <f aca="false">IF('دليل العملاء'!$B$68="","",'دليل العملاء'!$B$68)</f>
        <v/>
      </c>
      <c r="D72" s="27" t="str">
        <f aca="false">IF($C72="","",IF($B$4&amp;$B$5="",COUNTIFS('المبيعات اليومية'!$B$9:$B$308,$C72),COUNTIFS('المبيعات اليومية'!$B$9:$B$308,$C72,'المبيعات اليومية'!$A$9:$A$308,"&gt;="&amp;IF($B$4="",0,$B$4),'المبيعات اليومية'!$A$9:$A$308,"&lt;="&amp;IF($B$5="",2958465,$B$5))))</f>
        <v/>
      </c>
      <c r="E72" s="28" t="str">
        <f aca="false">IF($C72="","",IF($B$4&amp;$B$5="",SUMIFS('المبيعات اليومية'!$E$9:$E$308,'المبيعات اليومية'!$B$9:$B$308,$C72),SUMIFS('المبيعات اليومية'!$E$9:$E$308,'المبيعات اليومية'!$B$9:$B$308,$C72,'المبيعات اليومية'!$A$9:$A$308,"&gt;="&amp;IF($B$4="",0,$B$4),'المبيعات اليومية'!$A$9:$A$308,"&lt;="&amp;IF($B$5="",2958465,$B$5))))</f>
        <v/>
      </c>
      <c r="F72" s="19" t="str">
        <f aca="false">IF($C72="","",IF($B$4&amp;$B$5="",SUMIFS('المبيعات اليومية'!$H$9:$H$308,'المبيعات اليومية'!$B$9:$B$308,$C72),SUMIFS('المبيعات اليومية'!$H$9:$H$308,'المبيعات اليومية'!$B$9:$B$308,$C72,'المبيعات اليومية'!$A$9:$A$308,"&gt;="&amp;IF($B$4="",0,$B$4),'المبيعات اليومية'!$A$9:$A$308,"&lt;="&amp;IF($B$5="",2958465,$B$5))))</f>
        <v/>
      </c>
      <c r="G72" s="19" t="str">
        <f aca="false">IF($C72="","",IF($B$4&amp;$B$5="",SUMIFS('المبيعات اليومية'!$I$9:$I$308,'المبيعات اليومية'!$B$9:$B$308,$C72),SUMIFS('المبيعات اليومية'!$I$9:$I$308,'المبيعات اليومية'!$B$9:$B$308,$C72,'المبيعات اليومية'!$A$9:$A$308,"&gt;="&amp;IF($B$4="",0,$B$4),'المبيعات اليومية'!$A$9:$A$308,"&lt;="&amp;IF($B$5="",2958465,$B$5))))</f>
        <v/>
      </c>
      <c r="H72" s="20" t="str">
        <f aca="false">IF($C72="","",IF($B$4&amp;$B$5="",SUMIFS('المبيعات اليومية'!$J$9:$J$308,'المبيعات اليومية'!$B$9:$B$308,$C72),SUMIFS('المبيعات اليومية'!$J$9:$J$308,'المبيعات اليومية'!$B$9:$B$308,$C72,'المبيعات اليومية'!$A$9:$A$308,"&gt;="&amp;IF($B$4="",0,$B$4),'المبيعات اليومية'!$A$9:$A$308,"&lt;="&amp;IF($B$5="",2958465,$B$5))))</f>
        <v/>
      </c>
      <c r="I72" s="29" t="str">
        <f aca="false">IF(OR($C72="",$H$108=0),"",H72/$H$108)</f>
        <v/>
      </c>
      <c r="J72" s="21" t="str">
        <f aca="false">IF(C72="","",IF(D72&gt;0,"نشط","لا يوجد مبيعات"))</f>
        <v/>
      </c>
    </row>
    <row r="73" customFormat="false" ht="15" hidden="false" customHeight="false" outlineLevel="0" collapsed="false">
      <c r="A73" s="21" t="str">
        <f aca="false">IF(C73="","",66)</f>
        <v/>
      </c>
      <c r="B73" s="21" t="str">
        <f aca="false">IF('دليل العملاء'!$B$69="","",'دليل العملاء'!$A$69)</f>
        <v/>
      </c>
      <c r="C73" s="4" t="str">
        <f aca="false">IF('دليل العملاء'!$B$69="","",'دليل العملاء'!$B$69)</f>
        <v/>
      </c>
      <c r="D73" s="27" t="str">
        <f aca="false">IF($C73="","",IF($B$4&amp;$B$5="",COUNTIFS('المبيعات اليومية'!$B$9:$B$308,$C73),COUNTIFS('المبيعات اليومية'!$B$9:$B$308,$C73,'المبيعات اليومية'!$A$9:$A$308,"&gt;="&amp;IF($B$4="",0,$B$4),'المبيعات اليومية'!$A$9:$A$308,"&lt;="&amp;IF($B$5="",2958465,$B$5))))</f>
        <v/>
      </c>
      <c r="E73" s="28" t="str">
        <f aca="false">IF($C73="","",IF($B$4&amp;$B$5="",SUMIFS('المبيعات اليومية'!$E$9:$E$308,'المبيعات اليومية'!$B$9:$B$308,$C73),SUMIFS('المبيعات اليومية'!$E$9:$E$308,'المبيعات اليومية'!$B$9:$B$308,$C73,'المبيعات اليومية'!$A$9:$A$308,"&gt;="&amp;IF($B$4="",0,$B$4),'المبيعات اليومية'!$A$9:$A$308,"&lt;="&amp;IF($B$5="",2958465,$B$5))))</f>
        <v/>
      </c>
      <c r="F73" s="19" t="str">
        <f aca="false">IF($C73="","",IF($B$4&amp;$B$5="",SUMIFS('المبيعات اليومية'!$H$9:$H$308,'المبيعات اليومية'!$B$9:$B$308,$C73),SUMIFS('المبيعات اليومية'!$H$9:$H$308,'المبيعات اليومية'!$B$9:$B$308,$C73,'المبيعات اليومية'!$A$9:$A$308,"&gt;="&amp;IF($B$4="",0,$B$4),'المبيعات اليومية'!$A$9:$A$308,"&lt;="&amp;IF($B$5="",2958465,$B$5))))</f>
        <v/>
      </c>
      <c r="G73" s="19" t="str">
        <f aca="false">IF($C73="","",IF($B$4&amp;$B$5="",SUMIFS('المبيعات اليومية'!$I$9:$I$308,'المبيعات اليومية'!$B$9:$B$308,$C73),SUMIFS('المبيعات اليومية'!$I$9:$I$308,'المبيعات اليومية'!$B$9:$B$308,$C73,'المبيعات اليومية'!$A$9:$A$308,"&gt;="&amp;IF($B$4="",0,$B$4),'المبيعات اليومية'!$A$9:$A$308,"&lt;="&amp;IF($B$5="",2958465,$B$5))))</f>
        <v/>
      </c>
      <c r="H73" s="20" t="str">
        <f aca="false">IF($C73="","",IF($B$4&amp;$B$5="",SUMIFS('المبيعات اليومية'!$J$9:$J$308,'المبيعات اليومية'!$B$9:$B$308,$C73),SUMIFS('المبيعات اليومية'!$J$9:$J$308,'المبيعات اليومية'!$B$9:$B$308,$C73,'المبيعات اليومية'!$A$9:$A$308,"&gt;="&amp;IF($B$4="",0,$B$4),'المبيعات اليومية'!$A$9:$A$308,"&lt;="&amp;IF($B$5="",2958465,$B$5))))</f>
        <v/>
      </c>
      <c r="I73" s="29" t="str">
        <f aca="false">IF(OR($C73="",$H$108=0),"",H73/$H$108)</f>
        <v/>
      </c>
      <c r="J73" s="21" t="str">
        <f aca="false">IF(C73="","",IF(D73&gt;0,"نشط","لا يوجد مبيعات"))</f>
        <v/>
      </c>
    </row>
    <row r="74" customFormat="false" ht="15" hidden="false" customHeight="false" outlineLevel="0" collapsed="false">
      <c r="A74" s="21" t="str">
        <f aca="false">IF(C74="","",67)</f>
        <v/>
      </c>
      <c r="B74" s="21" t="str">
        <f aca="false">IF('دليل العملاء'!$B$70="","",'دليل العملاء'!$A$70)</f>
        <v/>
      </c>
      <c r="C74" s="4" t="str">
        <f aca="false">IF('دليل العملاء'!$B$70="","",'دليل العملاء'!$B$70)</f>
        <v/>
      </c>
      <c r="D74" s="27" t="str">
        <f aca="false">IF($C74="","",IF($B$4&amp;$B$5="",COUNTIFS('المبيعات اليومية'!$B$9:$B$308,$C74),COUNTIFS('المبيعات اليومية'!$B$9:$B$308,$C74,'المبيعات اليومية'!$A$9:$A$308,"&gt;="&amp;IF($B$4="",0,$B$4),'المبيعات اليومية'!$A$9:$A$308,"&lt;="&amp;IF($B$5="",2958465,$B$5))))</f>
        <v/>
      </c>
      <c r="E74" s="28" t="str">
        <f aca="false">IF($C74="","",IF($B$4&amp;$B$5="",SUMIFS('المبيعات اليومية'!$E$9:$E$308,'المبيعات اليومية'!$B$9:$B$308,$C74),SUMIFS('المبيعات اليومية'!$E$9:$E$308,'المبيعات اليومية'!$B$9:$B$308,$C74,'المبيعات اليومية'!$A$9:$A$308,"&gt;="&amp;IF($B$4="",0,$B$4),'المبيعات اليومية'!$A$9:$A$308,"&lt;="&amp;IF($B$5="",2958465,$B$5))))</f>
        <v/>
      </c>
      <c r="F74" s="19" t="str">
        <f aca="false">IF($C74="","",IF($B$4&amp;$B$5="",SUMIFS('المبيعات اليومية'!$H$9:$H$308,'المبيعات اليومية'!$B$9:$B$308,$C74),SUMIFS('المبيعات اليومية'!$H$9:$H$308,'المبيعات اليومية'!$B$9:$B$308,$C74,'المبيعات اليومية'!$A$9:$A$308,"&gt;="&amp;IF($B$4="",0,$B$4),'المبيعات اليومية'!$A$9:$A$308,"&lt;="&amp;IF($B$5="",2958465,$B$5))))</f>
        <v/>
      </c>
      <c r="G74" s="19" t="str">
        <f aca="false">IF($C74="","",IF($B$4&amp;$B$5="",SUMIFS('المبيعات اليومية'!$I$9:$I$308,'المبيعات اليومية'!$B$9:$B$308,$C74),SUMIFS('المبيعات اليومية'!$I$9:$I$308,'المبيعات اليومية'!$B$9:$B$308,$C74,'المبيعات اليومية'!$A$9:$A$308,"&gt;="&amp;IF($B$4="",0,$B$4),'المبيعات اليومية'!$A$9:$A$308,"&lt;="&amp;IF($B$5="",2958465,$B$5))))</f>
        <v/>
      </c>
      <c r="H74" s="20" t="str">
        <f aca="false">IF($C74="","",IF($B$4&amp;$B$5="",SUMIFS('المبيعات اليومية'!$J$9:$J$308,'المبيعات اليومية'!$B$9:$B$308,$C74),SUMIFS('المبيعات اليومية'!$J$9:$J$308,'المبيعات اليومية'!$B$9:$B$308,$C74,'المبيعات اليومية'!$A$9:$A$308,"&gt;="&amp;IF($B$4="",0,$B$4),'المبيعات اليومية'!$A$9:$A$308,"&lt;="&amp;IF($B$5="",2958465,$B$5))))</f>
        <v/>
      </c>
      <c r="I74" s="29" t="str">
        <f aca="false">IF(OR($C74="",$H$108=0),"",H74/$H$108)</f>
        <v/>
      </c>
      <c r="J74" s="21" t="str">
        <f aca="false">IF(C74="","",IF(D74&gt;0,"نشط","لا يوجد مبيعات"))</f>
        <v/>
      </c>
    </row>
    <row r="75" customFormat="false" ht="15" hidden="false" customHeight="false" outlineLevel="0" collapsed="false">
      <c r="A75" s="21" t="str">
        <f aca="false">IF(C75="","",68)</f>
        <v/>
      </c>
      <c r="B75" s="21" t="str">
        <f aca="false">IF('دليل العملاء'!$B$71="","",'دليل العملاء'!$A$71)</f>
        <v/>
      </c>
      <c r="C75" s="4" t="str">
        <f aca="false">IF('دليل العملاء'!$B$71="","",'دليل العملاء'!$B$71)</f>
        <v/>
      </c>
      <c r="D75" s="27" t="str">
        <f aca="false">IF($C75="","",IF($B$4&amp;$B$5="",COUNTIFS('المبيعات اليومية'!$B$9:$B$308,$C75),COUNTIFS('المبيعات اليومية'!$B$9:$B$308,$C75,'المبيعات اليومية'!$A$9:$A$308,"&gt;="&amp;IF($B$4="",0,$B$4),'المبيعات اليومية'!$A$9:$A$308,"&lt;="&amp;IF($B$5="",2958465,$B$5))))</f>
        <v/>
      </c>
      <c r="E75" s="28" t="str">
        <f aca="false">IF($C75="","",IF($B$4&amp;$B$5="",SUMIFS('المبيعات اليومية'!$E$9:$E$308,'المبيعات اليومية'!$B$9:$B$308,$C75),SUMIFS('المبيعات اليومية'!$E$9:$E$308,'المبيعات اليومية'!$B$9:$B$308,$C75,'المبيعات اليومية'!$A$9:$A$308,"&gt;="&amp;IF($B$4="",0,$B$4),'المبيعات اليومية'!$A$9:$A$308,"&lt;="&amp;IF($B$5="",2958465,$B$5))))</f>
        <v/>
      </c>
      <c r="F75" s="19" t="str">
        <f aca="false">IF($C75="","",IF($B$4&amp;$B$5="",SUMIFS('المبيعات اليومية'!$H$9:$H$308,'المبيعات اليومية'!$B$9:$B$308,$C75),SUMIFS('المبيعات اليومية'!$H$9:$H$308,'المبيعات اليومية'!$B$9:$B$308,$C75,'المبيعات اليومية'!$A$9:$A$308,"&gt;="&amp;IF($B$4="",0,$B$4),'المبيعات اليومية'!$A$9:$A$308,"&lt;="&amp;IF($B$5="",2958465,$B$5))))</f>
        <v/>
      </c>
      <c r="G75" s="19" t="str">
        <f aca="false">IF($C75="","",IF($B$4&amp;$B$5="",SUMIFS('المبيعات اليومية'!$I$9:$I$308,'المبيعات اليومية'!$B$9:$B$308,$C75),SUMIFS('المبيعات اليومية'!$I$9:$I$308,'المبيعات اليومية'!$B$9:$B$308,$C75,'المبيعات اليومية'!$A$9:$A$308,"&gt;="&amp;IF($B$4="",0,$B$4),'المبيعات اليومية'!$A$9:$A$308,"&lt;="&amp;IF($B$5="",2958465,$B$5))))</f>
        <v/>
      </c>
      <c r="H75" s="20" t="str">
        <f aca="false">IF($C75="","",IF($B$4&amp;$B$5="",SUMIFS('المبيعات اليومية'!$J$9:$J$308,'المبيعات اليومية'!$B$9:$B$308,$C75),SUMIFS('المبيعات اليومية'!$J$9:$J$308,'المبيعات اليومية'!$B$9:$B$308,$C75,'المبيعات اليومية'!$A$9:$A$308,"&gt;="&amp;IF($B$4="",0,$B$4),'المبيعات اليومية'!$A$9:$A$308,"&lt;="&amp;IF($B$5="",2958465,$B$5))))</f>
        <v/>
      </c>
      <c r="I75" s="29" t="str">
        <f aca="false">IF(OR($C75="",$H$108=0),"",H75/$H$108)</f>
        <v/>
      </c>
      <c r="J75" s="21" t="str">
        <f aca="false">IF(C75="","",IF(D75&gt;0,"نشط","لا يوجد مبيعات"))</f>
        <v/>
      </c>
    </row>
    <row r="76" customFormat="false" ht="15" hidden="false" customHeight="false" outlineLevel="0" collapsed="false">
      <c r="A76" s="21" t="str">
        <f aca="false">IF(C76="","",69)</f>
        <v/>
      </c>
      <c r="B76" s="21" t="str">
        <f aca="false">IF('دليل العملاء'!$B$72="","",'دليل العملاء'!$A$72)</f>
        <v/>
      </c>
      <c r="C76" s="4" t="str">
        <f aca="false">IF('دليل العملاء'!$B$72="","",'دليل العملاء'!$B$72)</f>
        <v/>
      </c>
      <c r="D76" s="27" t="str">
        <f aca="false">IF($C76="","",IF($B$4&amp;$B$5="",COUNTIFS('المبيعات اليومية'!$B$9:$B$308,$C76),COUNTIFS('المبيعات اليومية'!$B$9:$B$308,$C76,'المبيعات اليومية'!$A$9:$A$308,"&gt;="&amp;IF($B$4="",0,$B$4),'المبيعات اليومية'!$A$9:$A$308,"&lt;="&amp;IF($B$5="",2958465,$B$5))))</f>
        <v/>
      </c>
      <c r="E76" s="28" t="str">
        <f aca="false">IF($C76="","",IF($B$4&amp;$B$5="",SUMIFS('المبيعات اليومية'!$E$9:$E$308,'المبيعات اليومية'!$B$9:$B$308,$C76),SUMIFS('المبيعات اليومية'!$E$9:$E$308,'المبيعات اليومية'!$B$9:$B$308,$C76,'المبيعات اليومية'!$A$9:$A$308,"&gt;="&amp;IF($B$4="",0,$B$4),'المبيعات اليومية'!$A$9:$A$308,"&lt;="&amp;IF($B$5="",2958465,$B$5))))</f>
        <v/>
      </c>
      <c r="F76" s="19" t="str">
        <f aca="false">IF($C76="","",IF($B$4&amp;$B$5="",SUMIFS('المبيعات اليومية'!$H$9:$H$308,'المبيعات اليومية'!$B$9:$B$308,$C76),SUMIFS('المبيعات اليومية'!$H$9:$H$308,'المبيعات اليومية'!$B$9:$B$308,$C76,'المبيعات اليومية'!$A$9:$A$308,"&gt;="&amp;IF($B$4="",0,$B$4),'المبيعات اليومية'!$A$9:$A$308,"&lt;="&amp;IF($B$5="",2958465,$B$5))))</f>
        <v/>
      </c>
      <c r="G76" s="19" t="str">
        <f aca="false">IF($C76="","",IF($B$4&amp;$B$5="",SUMIFS('المبيعات اليومية'!$I$9:$I$308,'المبيعات اليومية'!$B$9:$B$308,$C76),SUMIFS('المبيعات اليومية'!$I$9:$I$308,'المبيعات اليومية'!$B$9:$B$308,$C76,'المبيعات اليومية'!$A$9:$A$308,"&gt;="&amp;IF($B$4="",0,$B$4),'المبيعات اليومية'!$A$9:$A$308,"&lt;="&amp;IF($B$5="",2958465,$B$5))))</f>
        <v/>
      </c>
      <c r="H76" s="20" t="str">
        <f aca="false">IF($C76="","",IF($B$4&amp;$B$5="",SUMIFS('المبيعات اليومية'!$J$9:$J$308,'المبيعات اليومية'!$B$9:$B$308,$C76),SUMIFS('المبيعات اليومية'!$J$9:$J$308,'المبيعات اليومية'!$B$9:$B$308,$C76,'المبيعات اليومية'!$A$9:$A$308,"&gt;="&amp;IF($B$4="",0,$B$4),'المبيعات اليومية'!$A$9:$A$308,"&lt;="&amp;IF($B$5="",2958465,$B$5))))</f>
        <v/>
      </c>
      <c r="I76" s="29" t="str">
        <f aca="false">IF(OR($C76="",$H$108=0),"",H76/$H$108)</f>
        <v/>
      </c>
      <c r="J76" s="21" t="str">
        <f aca="false">IF(C76="","",IF(D76&gt;0,"نشط","لا يوجد مبيعات"))</f>
        <v/>
      </c>
    </row>
    <row r="77" customFormat="false" ht="15" hidden="false" customHeight="false" outlineLevel="0" collapsed="false">
      <c r="A77" s="21" t="str">
        <f aca="false">IF(C77="","",70)</f>
        <v/>
      </c>
      <c r="B77" s="21" t="str">
        <f aca="false">IF('دليل العملاء'!$B$73="","",'دليل العملاء'!$A$73)</f>
        <v/>
      </c>
      <c r="C77" s="4" t="str">
        <f aca="false">IF('دليل العملاء'!$B$73="","",'دليل العملاء'!$B$73)</f>
        <v/>
      </c>
      <c r="D77" s="27" t="str">
        <f aca="false">IF($C77="","",IF($B$4&amp;$B$5="",COUNTIFS('المبيعات اليومية'!$B$9:$B$308,$C77),COUNTIFS('المبيعات اليومية'!$B$9:$B$308,$C77,'المبيعات اليومية'!$A$9:$A$308,"&gt;="&amp;IF($B$4="",0,$B$4),'المبيعات اليومية'!$A$9:$A$308,"&lt;="&amp;IF($B$5="",2958465,$B$5))))</f>
        <v/>
      </c>
      <c r="E77" s="28" t="str">
        <f aca="false">IF($C77="","",IF($B$4&amp;$B$5="",SUMIFS('المبيعات اليومية'!$E$9:$E$308,'المبيعات اليومية'!$B$9:$B$308,$C77),SUMIFS('المبيعات اليومية'!$E$9:$E$308,'المبيعات اليومية'!$B$9:$B$308,$C77,'المبيعات اليومية'!$A$9:$A$308,"&gt;="&amp;IF($B$4="",0,$B$4),'المبيعات اليومية'!$A$9:$A$308,"&lt;="&amp;IF($B$5="",2958465,$B$5))))</f>
        <v/>
      </c>
      <c r="F77" s="19" t="str">
        <f aca="false">IF($C77="","",IF($B$4&amp;$B$5="",SUMIFS('المبيعات اليومية'!$H$9:$H$308,'المبيعات اليومية'!$B$9:$B$308,$C77),SUMIFS('المبيعات اليومية'!$H$9:$H$308,'المبيعات اليومية'!$B$9:$B$308,$C77,'المبيعات اليومية'!$A$9:$A$308,"&gt;="&amp;IF($B$4="",0,$B$4),'المبيعات اليومية'!$A$9:$A$308,"&lt;="&amp;IF($B$5="",2958465,$B$5))))</f>
        <v/>
      </c>
      <c r="G77" s="19" t="str">
        <f aca="false">IF($C77="","",IF($B$4&amp;$B$5="",SUMIFS('المبيعات اليومية'!$I$9:$I$308,'المبيعات اليومية'!$B$9:$B$308,$C77),SUMIFS('المبيعات اليومية'!$I$9:$I$308,'المبيعات اليومية'!$B$9:$B$308,$C77,'المبيعات اليومية'!$A$9:$A$308,"&gt;="&amp;IF($B$4="",0,$B$4),'المبيعات اليومية'!$A$9:$A$308,"&lt;="&amp;IF($B$5="",2958465,$B$5))))</f>
        <v/>
      </c>
      <c r="H77" s="20" t="str">
        <f aca="false">IF($C77="","",IF($B$4&amp;$B$5="",SUMIFS('المبيعات اليومية'!$J$9:$J$308,'المبيعات اليومية'!$B$9:$B$308,$C77),SUMIFS('المبيعات اليومية'!$J$9:$J$308,'المبيعات اليومية'!$B$9:$B$308,$C77,'المبيعات اليومية'!$A$9:$A$308,"&gt;="&amp;IF($B$4="",0,$B$4),'المبيعات اليومية'!$A$9:$A$308,"&lt;="&amp;IF($B$5="",2958465,$B$5))))</f>
        <v/>
      </c>
      <c r="I77" s="29" t="str">
        <f aca="false">IF(OR($C77="",$H$108=0),"",H77/$H$108)</f>
        <v/>
      </c>
      <c r="J77" s="21" t="str">
        <f aca="false">IF(C77="","",IF(D77&gt;0,"نشط","لا يوجد مبيعات"))</f>
        <v/>
      </c>
    </row>
    <row r="78" customFormat="false" ht="15" hidden="false" customHeight="false" outlineLevel="0" collapsed="false">
      <c r="A78" s="21" t="str">
        <f aca="false">IF(C78="","",71)</f>
        <v/>
      </c>
      <c r="B78" s="21" t="str">
        <f aca="false">IF('دليل العملاء'!$B$74="","",'دليل العملاء'!$A$74)</f>
        <v/>
      </c>
      <c r="C78" s="4" t="str">
        <f aca="false">IF('دليل العملاء'!$B$74="","",'دليل العملاء'!$B$74)</f>
        <v/>
      </c>
      <c r="D78" s="27" t="str">
        <f aca="false">IF($C78="","",IF($B$4&amp;$B$5="",COUNTIFS('المبيعات اليومية'!$B$9:$B$308,$C78),COUNTIFS('المبيعات اليومية'!$B$9:$B$308,$C78,'المبيعات اليومية'!$A$9:$A$308,"&gt;="&amp;IF($B$4="",0,$B$4),'المبيعات اليومية'!$A$9:$A$308,"&lt;="&amp;IF($B$5="",2958465,$B$5))))</f>
        <v/>
      </c>
      <c r="E78" s="28" t="str">
        <f aca="false">IF($C78="","",IF($B$4&amp;$B$5="",SUMIFS('المبيعات اليومية'!$E$9:$E$308,'المبيعات اليومية'!$B$9:$B$308,$C78),SUMIFS('المبيعات اليومية'!$E$9:$E$308,'المبيعات اليومية'!$B$9:$B$308,$C78,'المبيعات اليومية'!$A$9:$A$308,"&gt;="&amp;IF($B$4="",0,$B$4),'المبيعات اليومية'!$A$9:$A$308,"&lt;="&amp;IF($B$5="",2958465,$B$5))))</f>
        <v/>
      </c>
      <c r="F78" s="19" t="str">
        <f aca="false">IF($C78="","",IF($B$4&amp;$B$5="",SUMIFS('المبيعات اليومية'!$H$9:$H$308,'المبيعات اليومية'!$B$9:$B$308,$C78),SUMIFS('المبيعات اليومية'!$H$9:$H$308,'المبيعات اليومية'!$B$9:$B$308,$C78,'المبيعات اليومية'!$A$9:$A$308,"&gt;="&amp;IF($B$4="",0,$B$4),'المبيعات اليومية'!$A$9:$A$308,"&lt;="&amp;IF($B$5="",2958465,$B$5))))</f>
        <v/>
      </c>
      <c r="G78" s="19" t="str">
        <f aca="false">IF($C78="","",IF($B$4&amp;$B$5="",SUMIFS('المبيعات اليومية'!$I$9:$I$308,'المبيعات اليومية'!$B$9:$B$308,$C78),SUMIFS('المبيعات اليومية'!$I$9:$I$308,'المبيعات اليومية'!$B$9:$B$308,$C78,'المبيعات اليومية'!$A$9:$A$308,"&gt;="&amp;IF($B$4="",0,$B$4),'المبيعات اليومية'!$A$9:$A$308,"&lt;="&amp;IF($B$5="",2958465,$B$5))))</f>
        <v/>
      </c>
      <c r="H78" s="20" t="str">
        <f aca="false">IF($C78="","",IF($B$4&amp;$B$5="",SUMIFS('المبيعات اليومية'!$J$9:$J$308,'المبيعات اليومية'!$B$9:$B$308,$C78),SUMIFS('المبيعات اليومية'!$J$9:$J$308,'المبيعات اليومية'!$B$9:$B$308,$C78,'المبيعات اليومية'!$A$9:$A$308,"&gt;="&amp;IF($B$4="",0,$B$4),'المبيعات اليومية'!$A$9:$A$308,"&lt;="&amp;IF($B$5="",2958465,$B$5))))</f>
        <v/>
      </c>
      <c r="I78" s="29" t="str">
        <f aca="false">IF(OR($C78="",$H$108=0),"",H78/$H$108)</f>
        <v/>
      </c>
      <c r="J78" s="21" t="str">
        <f aca="false">IF(C78="","",IF(D78&gt;0,"نشط","لا يوجد مبيعات"))</f>
        <v/>
      </c>
    </row>
    <row r="79" customFormat="false" ht="15" hidden="false" customHeight="false" outlineLevel="0" collapsed="false">
      <c r="A79" s="21" t="str">
        <f aca="false">IF(C79="","",72)</f>
        <v/>
      </c>
      <c r="B79" s="21" t="str">
        <f aca="false">IF('دليل العملاء'!$B$75="","",'دليل العملاء'!$A$75)</f>
        <v/>
      </c>
      <c r="C79" s="4" t="str">
        <f aca="false">IF('دليل العملاء'!$B$75="","",'دليل العملاء'!$B$75)</f>
        <v/>
      </c>
      <c r="D79" s="27" t="str">
        <f aca="false">IF($C79="","",IF($B$4&amp;$B$5="",COUNTIFS('المبيعات اليومية'!$B$9:$B$308,$C79),COUNTIFS('المبيعات اليومية'!$B$9:$B$308,$C79,'المبيعات اليومية'!$A$9:$A$308,"&gt;="&amp;IF($B$4="",0,$B$4),'المبيعات اليومية'!$A$9:$A$308,"&lt;="&amp;IF($B$5="",2958465,$B$5))))</f>
        <v/>
      </c>
      <c r="E79" s="28" t="str">
        <f aca="false">IF($C79="","",IF($B$4&amp;$B$5="",SUMIFS('المبيعات اليومية'!$E$9:$E$308,'المبيعات اليومية'!$B$9:$B$308,$C79),SUMIFS('المبيعات اليومية'!$E$9:$E$308,'المبيعات اليومية'!$B$9:$B$308,$C79,'المبيعات اليومية'!$A$9:$A$308,"&gt;="&amp;IF($B$4="",0,$B$4),'المبيعات اليومية'!$A$9:$A$308,"&lt;="&amp;IF($B$5="",2958465,$B$5))))</f>
        <v/>
      </c>
      <c r="F79" s="19" t="str">
        <f aca="false">IF($C79="","",IF($B$4&amp;$B$5="",SUMIFS('المبيعات اليومية'!$H$9:$H$308,'المبيعات اليومية'!$B$9:$B$308,$C79),SUMIFS('المبيعات اليومية'!$H$9:$H$308,'المبيعات اليومية'!$B$9:$B$308,$C79,'المبيعات اليومية'!$A$9:$A$308,"&gt;="&amp;IF($B$4="",0,$B$4),'المبيعات اليومية'!$A$9:$A$308,"&lt;="&amp;IF($B$5="",2958465,$B$5))))</f>
        <v/>
      </c>
      <c r="G79" s="19" t="str">
        <f aca="false">IF($C79="","",IF($B$4&amp;$B$5="",SUMIFS('المبيعات اليومية'!$I$9:$I$308,'المبيعات اليومية'!$B$9:$B$308,$C79),SUMIFS('المبيعات اليومية'!$I$9:$I$308,'المبيعات اليومية'!$B$9:$B$308,$C79,'المبيعات اليومية'!$A$9:$A$308,"&gt;="&amp;IF($B$4="",0,$B$4),'المبيعات اليومية'!$A$9:$A$308,"&lt;="&amp;IF($B$5="",2958465,$B$5))))</f>
        <v/>
      </c>
      <c r="H79" s="20" t="str">
        <f aca="false">IF($C79="","",IF($B$4&amp;$B$5="",SUMIFS('المبيعات اليومية'!$J$9:$J$308,'المبيعات اليومية'!$B$9:$B$308,$C79),SUMIFS('المبيعات اليومية'!$J$9:$J$308,'المبيعات اليومية'!$B$9:$B$308,$C79,'المبيعات اليومية'!$A$9:$A$308,"&gt;="&amp;IF($B$4="",0,$B$4),'المبيعات اليومية'!$A$9:$A$308,"&lt;="&amp;IF($B$5="",2958465,$B$5))))</f>
        <v/>
      </c>
      <c r="I79" s="29" t="str">
        <f aca="false">IF(OR($C79="",$H$108=0),"",H79/$H$108)</f>
        <v/>
      </c>
      <c r="J79" s="21" t="str">
        <f aca="false">IF(C79="","",IF(D79&gt;0,"نشط","لا يوجد مبيعات"))</f>
        <v/>
      </c>
    </row>
    <row r="80" customFormat="false" ht="15" hidden="false" customHeight="false" outlineLevel="0" collapsed="false">
      <c r="A80" s="21" t="str">
        <f aca="false">IF(C80="","",73)</f>
        <v/>
      </c>
      <c r="B80" s="21" t="str">
        <f aca="false">IF('دليل العملاء'!$B$76="","",'دليل العملاء'!$A$76)</f>
        <v/>
      </c>
      <c r="C80" s="4" t="str">
        <f aca="false">IF('دليل العملاء'!$B$76="","",'دليل العملاء'!$B$76)</f>
        <v/>
      </c>
      <c r="D80" s="27" t="str">
        <f aca="false">IF($C80="","",IF($B$4&amp;$B$5="",COUNTIFS('المبيعات اليومية'!$B$9:$B$308,$C80),COUNTIFS('المبيعات اليومية'!$B$9:$B$308,$C80,'المبيعات اليومية'!$A$9:$A$308,"&gt;="&amp;IF($B$4="",0,$B$4),'المبيعات اليومية'!$A$9:$A$308,"&lt;="&amp;IF($B$5="",2958465,$B$5))))</f>
        <v/>
      </c>
      <c r="E80" s="28" t="str">
        <f aca="false">IF($C80="","",IF($B$4&amp;$B$5="",SUMIFS('المبيعات اليومية'!$E$9:$E$308,'المبيعات اليومية'!$B$9:$B$308,$C80),SUMIFS('المبيعات اليومية'!$E$9:$E$308,'المبيعات اليومية'!$B$9:$B$308,$C80,'المبيعات اليومية'!$A$9:$A$308,"&gt;="&amp;IF($B$4="",0,$B$4),'المبيعات اليومية'!$A$9:$A$308,"&lt;="&amp;IF($B$5="",2958465,$B$5))))</f>
        <v/>
      </c>
      <c r="F80" s="19" t="str">
        <f aca="false">IF($C80="","",IF($B$4&amp;$B$5="",SUMIFS('المبيعات اليومية'!$H$9:$H$308,'المبيعات اليومية'!$B$9:$B$308,$C80),SUMIFS('المبيعات اليومية'!$H$9:$H$308,'المبيعات اليومية'!$B$9:$B$308,$C80,'المبيعات اليومية'!$A$9:$A$308,"&gt;="&amp;IF($B$4="",0,$B$4),'المبيعات اليومية'!$A$9:$A$308,"&lt;="&amp;IF($B$5="",2958465,$B$5))))</f>
        <v/>
      </c>
      <c r="G80" s="19" t="str">
        <f aca="false">IF($C80="","",IF($B$4&amp;$B$5="",SUMIFS('المبيعات اليومية'!$I$9:$I$308,'المبيعات اليومية'!$B$9:$B$308,$C80),SUMIFS('المبيعات اليومية'!$I$9:$I$308,'المبيعات اليومية'!$B$9:$B$308,$C80,'المبيعات اليومية'!$A$9:$A$308,"&gt;="&amp;IF($B$4="",0,$B$4),'المبيعات اليومية'!$A$9:$A$308,"&lt;="&amp;IF($B$5="",2958465,$B$5))))</f>
        <v/>
      </c>
      <c r="H80" s="20" t="str">
        <f aca="false">IF($C80="","",IF($B$4&amp;$B$5="",SUMIFS('المبيعات اليومية'!$J$9:$J$308,'المبيعات اليومية'!$B$9:$B$308,$C80),SUMIFS('المبيعات اليومية'!$J$9:$J$308,'المبيعات اليومية'!$B$9:$B$308,$C80,'المبيعات اليومية'!$A$9:$A$308,"&gt;="&amp;IF($B$4="",0,$B$4),'المبيعات اليومية'!$A$9:$A$308,"&lt;="&amp;IF($B$5="",2958465,$B$5))))</f>
        <v/>
      </c>
      <c r="I80" s="29" t="str">
        <f aca="false">IF(OR($C80="",$H$108=0),"",H80/$H$108)</f>
        <v/>
      </c>
      <c r="J80" s="21" t="str">
        <f aca="false">IF(C80="","",IF(D80&gt;0,"نشط","لا يوجد مبيعات"))</f>
        <v/>
      </c>
    </row>
    <row r="81" customFormat="false" ht="15" hidden="false" customHeight="false" outlineLevel="0" collapsed="false">
      <c r="A81" s="21" t="str">
        <f aca="false">IF(C81="","",74)</f>
        <v/>
      </c>
      <c r="B81" s="21" t="str">
        <f aca="false">IF('دليل العملاء'!$B$77="","",'دليل العملاء'!$A$77)</f>
        <v/>
      </c>
      <c r="C81" s="4" t="str">
        <f aca="false">IF('دليل العملاء'!$B$77="","",'دليل العملاء'!$B$77)</f>
        <v/>
      </c>
      <c r="D81" s="27" t="str">
        <f aca="false">IF($C81="","",IF($B$4&amp;$B$5="",COUNTIFS('المبيعات اليومية'!$B$9:$B$308,$C81),COUNTIFS('المبيعات اليومية'!$B$9:$B$308,$C81,'المبيعات اليومية'!$A$9:$A$308,"&gt;="&amp;IF($B$4="",0,$B$4),'المبيعات اليومية'!$A$9:$A$308,"&lt;="&amp;IF($B$5="",2958465,$B$5))))</f>
        <v/>
      </c>
      <c r="E81" s="28" t="str">
        <f aca="false">IF($C81="","",IF($B$4&amp;$B$5="",SUMIFS('المبيعات اليومية'!$E$9:$E$308,'المبيعات اليومية'!$B$9:$B$308,$C81),SUMIFS('المبيعات اليومية'!$E$9:$E$308,'المبيعات اليومية'!$B$9:$B$308,$C81,'المبيعات اليومية'!$A$9:$A$308,"&gt;="&amp;IF($B$4="",0,$B$4),'المبيعات اليومية'!$A$9:$A$308,"&lt;="&amp;IF($B$5="",2958465,$B$5))))</f>
        <v/>
      </c>
      <c r="F81" s="19" t="str">
        <f aca="false">IF($C81="","",IF($B$4&amp;$B$5="",SUMIFS('المبيعات اليومية'!$H$9:$H$308,'المبيعات اليومية'!$B$9:$B$308,$C81),SUMIFS('المبيعات اليومية'!$H$9:$H$308,'المبيعات اليومية'!$B$9:$B$308,$C81,'المبيعات اليومية'!$A$9:$A$308,"&gt;="&amp;IF($B$4="",0,$B$4),'المبيعات اليومية'!$A$9:$A$308,"&lt;="&amp;IF($B$5="",2958465,$B$5))))</f>
        <v/>
      </c>
      <c r="G81" s="19" t="str">
        <f aca="false">IF($C81="","",IF($B$4&amp;$B$5="",SUMIFS('المبيعات اليومية'!$I$9:$I$308,'المبيعات اليومية'!$B$9:$B$308,$C81),SUMIFS('المبيعات اليومية'!$I$9:$I$308,'المبيعات اليومية'!$B$9:$B$308,$C81,'المبيعات اليومية'!$A$9:$A$308,"&gt;="&amp;IF($B$4="",0,$B$4),'المبيعات اليومية'!$A$9:$A$308,"&lt;="&amp;IF($B$5="",2958465,$B$5))))</f>
        <v/>
      </c>
      <c r="H81" s="20" t="str">
        <f aca="false">IF($C81="","",IF($B$4&amp;$B$5="",SUMIFS('المبيعات اليومية'!$J$9:$J$308,'المبيعات اليومية'!$B$9:$B$308,$C81),SUMIFS('المبيعات اليومية'!$J$9:$J$308,'المبيعات اليومية'!$B$9:$B$308,$C81,'المبيعات اليومية'!$A$9:$A$308,"&gt;="&amp;IF($B$4="",0,$B$4),'المبيعات اليومية'!$A$9:$A$308,"&lt;="&amp;IF($B$5="",2958465,$B$5))))</f>
        <v/>
      </c>
      <c r="I81" s="29" t="str">
        <f aca="false">IF(OR($C81="",$H$108=0),"",H81/$H$108)</f>
        <v/>
      </c>
      <c r="J81" s="21" t="str">
        <f aca="false">IF(C81="","",IF(D81&gt;0,"نشط","لا يوجد مبيعات"))</f>
        <v/>
      </c>
    </row>
    <row r="82" customFormat="false" ht="15" hidden="false" customHeight="false" outlineLevel="0" collapsed="false">
      <c r="A82" s="21" t="str">
        <f aca="false">IF(C82="","",75)</f>
        <v/>
      </c>
      <c r="B82" s="21" t="str">
        <f aca="false">IF('دليل العملاء'!$B$78="","",'دليل العملاء'!$A$78)</f>
        <v/>
      </c>
      <c r="C82" s="4" t="str">
        <f aca="false">IF('دليل العملاء'!$B$78="","",'دليل العملاء'!$B$78)</f>
        <v/>
      </c>
      <c r="D82" s="27" t="str">
        <f aca="false">IF($C82="","",IF($B$4&amp;$B$5="",COUNTIFS('المبيعات اليومية'!$B$9:$B$308,$C82),COUNTIFS('المبيعات اليومية'!$B$9:$B$308,$C82,'المبيعات اليومية'!$A$9:$A$308,"&gt;="&amp;IF($B$4="",0,$B$4),'المبيعات اليومية'!$A$9:$A$308,"&lt;="&amp;IF($B$5="",2958465,$B$5))))</f>
        <v/>
      </c>
      <c r="E82" s="28" t="str">
        <f aca="false">IF($C82="","",IF($B$4&amp;$B$5="",SUMIFS('المبيعات اليومية'!$E$9:$E$308,'المبيعات اليومية'!$B$9:$B$308,$C82),SUMIFS('المبيعات اليومية'!$E$9:$E$308,'المبيعات اليومية'!$B$9:$B$308,$C82,'المبيعات اليومية'!$A$9:$A$308,"&gt;="&amp;IF($B$4="",0,$B$4),'المبيعات اليومية'!$A$9:$A$308,"&lt;="&amp;IF($B$5="",2958465,$B$5))))</f>
        <v/>
      </c>
      <c r="F82" s="19" t="str">
        <f aca="false">IF($C82="","",IF($B$4&amp;$B$5="",SUMIFS('المبيعات اليومية'!$H$9:$H$308,'المبيعات اليومية'!$B$9:$B$308,$C82),SUMIFS('المبيعات اليومية'!$H$9:$H$308,'المبيعات اليومية'!$B$9:$B$308,$C82,'المبيعات اليومية'!$A$9:$A$308,"&gt;="&amp;IF($B$4="",0,$B$4),'المبيعات اليومية'!$A$9:$A$308,"&lt;="&amp;IF($B$5="",2958465,$B$5))))</f>
        <v/>
      </c>
      <c r="G82" s="19" t="str">
        <f aca="false">IF($C82="","",IF($B$4&amp;$B$5="",SUMIFS('المبيعات اليومية'!$I$9:$I$308,'المبيعات اليومية'!$B$9:$B$308,$C82),SUMIFS('المبيعات اليومية'!$I$9:$I$308,'المبيعات اليومية'!$B$9:$B$308,$C82,'المبيعات اليومية'!$A$9:$A$308,"&gt;="&amp;IF($B$4="",0,$B$4),'المبيعات اليومية'!$A$9:$A$308,"&lt;="&amp;IF($B$5="",2958465,$B$5))))</f>
        <v/>
      </c>
      <c r="H82" s="20" t="str">
        <f aca="false">IF($C82="","",IF($B$4&amp;$B$5="",SUMIFS('المبيعات اليومية'!$J$9:$J$308,'المبيعات اليومية'!$B$9:$B$308,$C82),SUMIFS('المبيعات اليومية'!$J$9:$J$308,'المبيعات اليومية'!$B$9:$B$308,$C82,'المبيعات اليومية'!$A$9:$A$308,"&gt;="&amp;IF($B$4="",0,$B$4),'المبيعات اليومية'!$A$9:$A$308,"&lt;="&amp;IF($B$5="",2958465,$B$5))))</f>
        <v/>
      </c>
      <c r="I82" s="29" t="str">
        <f aca="false">IF(OR($C82="",$H$108=0),"",H82/$H$108)</f>
        <v/>
      </c>
      <c r="J82" s="21" t="str">
        <f aca="false">IF(C82="","",IF(D82&gt;0,"نشط","لا يوجد مبيعات"))</f>
        <v/>
      </c>
    </row>
    <row r="83" customFormat="false" ht="15" hidden="false" customHeight="false" outlineLevel="0" collapsed="false">
      <c r="A83" s="21" t="str">
        <f aca="false">IF(C83="","",76)</f>
        <v/>
      </c>
      <c r="B83" s="21" t="str">
        <f aca="false">IF('دليل العملاء'!$B$79="","",'دليل العملاء'!$A$79)</f>
        <v/>
      </c>
      <c r="C83" s="4" t="str">
        <f aca="false">IF('دليل العملاء'!$B$79="","",'دليل العملاء'!$B$79)</f>
        <v/>
      </c>
      <c r="D83" s="27" t="str">
        <f aca="false">IF($C83="","",IF($B$4&amp;$B$5="",COUNTIFS('المبيعات اليومية'!$B$9:$B$308,$C83),COUNTIFS('المبيعات اليومية'!$B$9:$B$308,$C83,'المبيعات اليومية'!$A$9:$A$308,"&gt;="&amp;IF($B$4="",0,$B$4),'المبيعات اليومية'!$A$9:$A$308,"&lt;="&amp;IF($B$5="",2958465,$B$5))))</f>
        <v/>
      </c>
      <c r="E83" s="28" t="str">
        <f aca="false">IF($C83="","",IF($B$4&amp;$B$5="",SUMIFS('المبيعات اليومية'!$E$9:$E$308,'المبيعات اليومية'!$B$9:$B$308,$C83),SUMIFS('المبيعات اليومية'!$E$9:$E$308,'المبيعات اليومية'!$B$9:$B$308,$C83,'المبيعات اليومية'!$A$9:$A$308,"&gt;="&amp;IF($B$4="",0,$B$4),'المبيعات اليومية'!$A$9:$A$308,"&lt;="&amp;IF($B$5="",2958465,$B$5))))</f>
        <v/>
      </c>
      <c r="F83" s="19" t="str">
        <f aca="false">IF($C83="","",IF($B$4&amp;$B$5="",SUMIFS('المبيعات اليومية'!$H$9:$H$308,'المبيعات اليومية'!$B$9:$B$308,$C83),SUMIFS('المبيعات اليومية'!$H$9:$H$308,'المبيعات اليومية'!$B$9:$B$308,$C83,'المبيعات اليومية'!$A$9:$A$308,"&gt;="&amp;IF($B$4="",0,$B$4),'المبيعات اليومية'!$A$9:$A$308,"&lt;="&amp;IF($B$5="",2958465,$B$5))))</f>
        <v/>
      </c>
      <c r="G83" s="19" t="str">
        <f aca="false">IF($C83="","",IF($B$4&amp;$B$5="",SUMIFS('المبيعات اليومية'!$I$9:$I$308,'المبيعات اليومية'!$B$9:$B$308,$C83),SUMIFS('المبيعات اليومية'!$I$9:$I$308,'المبيعات اليومية'!$B$9:$B$308,$C83,'المبيعات اليومية'!$A$9:$A$308,"&gt;="&amp;IF($B$4="",0,$B$4),'المبيعات اليومية'!$A$9:$A$308,"&lt;="&amp;IF($B$5="",2958465,$B$5))))</f>
        <v/>
      </c>
      <c r="H83" s="20" t="str">
        <f aca="false">IF($C83="","",IF($B$4&amp;$B$5="",SUMIFS('المبيعات اليومية'!$J$9:$J$308,'المبيعات اليومية'!$B$9:$B$308,$C83),SUMIFS('المبيعات اليومية'!$J$9:$J$308,'المبيعات اليومية'!$B$9:$B$308,$C83,'المبيعات اليومية'!$A$9:$A$308,"&gt;="&amp;IF($B$4="",0,$B$4),'المبيعات اليومية'!$A$9:$A$308,"&lt;="&amp;IF($B$5="",2958465,$B$5))))</f>
        <v/>
      </c>
      <c r="I83" s="29" t="str">
        <f aca="false">IF(OR($C83="",$H$108=0),"",H83/$H$108)</f>
        <v/>
      </c>
      <c r="J83" s="21" t="str">
        <f aca="false">IF(C83="","",IF(D83&gt;0,"نشط","لا يوجد مبيعات"))</f>
        <v/>
      </c>
    </row>
    <row r="84" customFormat="false" ht="15" hidden="false" customHeight="false" outlineLevel="0" collapsed="false">
      <c r="A84" s="21" t="str">
        <f aca="false">IF(C84="","",77)</f>
        <v/>
      </c>
      <c r="B84" s="21" t="str">
        <f aca="false">IF('دليل العملاء'!$B$80="","",'دليل العملاء'!$A$80)</f>
        <v/>
      </c>
      <c r="C84" s="4" t="str">
        <f aca="false">IF('دليل العملاء'!$B$80="","",'دليل العملاء'!$B$80)</f>
        <v/>
      </c>
      <c r="D84" s="27" t="str">
        <f aca="false">IF($C84="","",IF($B$4&amp;$B$5="",COUNTIFS('المبيعات اليومية'!$B$9:$B$308,$C84),COUNTIFS('المبيعات اليومية'!$B$9:$B$308,$C84,'المبيعات اليومية'!$A$9:$A$308,"&gt;="&amp;IF($B$4="",0,$B$4),'المبيعات اليومية'!$A$9:$A$308,"&lt;="&amp;IF($B$5="",2958465,$B$5))))</f>
        <v/>
      </c>
      <c r="E84" s="28" t="str">
        <f aca="false">IF($C84="","",IF($B$4&amp;$B$5="",SUMIFS('المبيعات اليومية'!$E$9:$E$308,'المبيعات اليومية'!$B$9:$B$308,$C84),SUMIFS('المبيعات اليومية'!$E$9:$E$308,'المبيعات اليومية'!$B$9:$B$308,$C84,'المبيعات اليومية'!$A$9:$A$308,"&gt;="&amp;IF($B$4="",0,$B$4),'المبيعات اليومية'!$A$9:$A$308,"&lt;="&amp;IF($B$5="",2958465,$B$5))))</f>
        <v/>
      </c>
      <c r="F84" s="19" t="str">
        <f aca="false">IF($C84="","",IF($B$4&amp;$B$5="",SUMIFS('المبيعات اليومية'!$H$9:$H$308,'المبيعات اليومية'!$B$9:$B$308,$C84),SUMIFS('المبيعات اليومية'!$H$9:$H$308,'المبيعات اليومية'!$B$9:$B$308,$C84,'المبيعات اليومية'!$A$9:$A$308,"&gt;="&amp;IF($B$4="",0,$B$4),'المبيعات اليومية'!$A$9:$A$308,"&lt;="&amp;IF($B$5="",2958465,$B$5))))</f>
        <v/>
      </c>
      <c r="G84" s="19" t="str">
        <f aca="false">IF($C84="","",IF($B$4&amp;$B$5="",SUMIFS('المبيعات اليومية'!$I$9:$I$308,'المبيعات اليومية'!$B$9:$B$308,$C84),SUMIFS('المبيعات اليومية'!$I$9:$I$308,'المبيعات اليومية'!$B$9:$B$308,$C84,'المبيعات اليومية'!$A$9:$A$308,"&gt;="&amp;IF($B$4="",0,$B$4),'المبيعات اليومية'!$A$9:$A$308,"&lt;="&amp;IF($B$5="",2958465,$B$5))))</f>
        <v/>
      </c>
      <c r="H84" s="20" t="str">
        <f aca="false">IF($C84="","",IF($B$4&amp;$B$5="",SUMIFS('المبيعات اليومية'!$J$9:$J$308,'المبيعات اليومية'!$B$9:$B$308,$C84),SUMIFS('المبيعات اليومية'!$J$9:$J$308,'المبيعات اليومية'!$B$9:$B$308,$C84,'المبيعات اليومية'!$A$9:$A$308,"&gt;="&amp;IF($B$4="",0,$B$4),'المبيعات اليومية'!$A$9:$A$308,"&lt;="&amp;IF($B$5="",2958465,$B$5))))</f>
        <v/>
      </c>
      <c r="I84" s="29" t="str">
        <f aca="false">IF(OR($C84="",$H$108=0),"",H84/$H$108)</f>
        <v/>
      </c>
      <c r="J84" s="21" t="str">
        <f aca="false">IF(C84="","",IF(D84&gt;0,"نشط","لا يوجد مبيعات"))</f>
        <v/>
      </c>
    </row>
    <row r="85" customFormat="false" ht="15" hidden="false" customHeight="false" outlineLevel="0" collapsed="false">
      <c r="A85" s="21" t="str">
        <f aca="false">IF(C85="","",78)</f>
        <v/>
      </c>
      <c r="B85" s="21" t="str">
        <f aca="false">IF('دليل العملاء'!$B$81="","",'دليل العملاء'!$A$81)</f>
        <v/>
      </c>
      <c r="C85" s="4" t="str">
        <f aca="false">IF('دليل العملاء'!$B$81="","",'دليل العملاء'!$B$81)</f>
        <v/>
      </c>
      <c r="D85" s="27" t="str">
        <f aca="false">IF($C85="","",IF($B$4&amp;$B$5="",COUNTIFS('المبيعات اليومية'!$B$9:$B$308,$C85),COUNTIFS('المبيعات اليومية'!$B$9:$B$308,$C85,'المبيعات اليومية'!$A$9:$A$308,"&gt;="&amp;IF($B$4="",0,$B$4),'المبيعات اليومية'!$A$9:$A$308,"&lt;="&amp;IF($B$5="",2958465,$B$5))))</f>
        <v/>
      </c>
      <c r="E85" s="28" t="str">
        <f aca="false">IF($C85="","",IF($B$4&amp;$B$5="",SUMIFS('المبيعات اليومية'!$E$9:$E$308,'المبيعات اليومية'!$B$9:$B$308,$C85),SUMIFS('المبيعات اليومية'!$E$9:$E$308,'المبيعات اليومية'!$B$9:$B$308,$C85,'المبيعات اليومية'!$A$9:$A$308,"&gt;="&amp;IF($B$4="",0,$B$4),'المبيعات اليومية'!$A$9:$A$308,"&lt;="&amp;IF($B$5="",2958465,$B$5))))</f>
        <v/>
      </c>
      <c r="F85" s="19" t="str">
        <f aca="false">IF($C85="","",IF($B$4&amp;$B$5="",SUMIFS('المبيعات اليومية'!$H$9:$H$308,'المبيعات اليومية'!$B$9:$B$308,$C85),SUMIFS('المبيعات اليومية'!$H$9:$H$308,'المبيعات اليومية'!$B$9:$B$308,$C85,'المبيعات اليومية'!$A$9:$A$308,"&gt;="&amp;IF($B$4="",0,$B$4),'المبيعات اليومية'!$A$9:$A$308,"&lt;="&amp;IF($B$5="",2958465,$B$5))))</f>
        <v/>
      </c>
      <c r="G85" s="19" t="str">
        <f aca="false">IF($C85="","",IF($B$4&amp;$B$5="",SUMIFS('المبيعات اليومية'!$I$9:$I$308,'المبيعات اليومية'!$B$9:$B$308,$C85),SUMIFS('المبيعات اليومية'!$I$9:$I$308,'المبيعات اليومية'!$B$9:$B$308,$C85,'المبيعات اليومية'!$A$9:$A$308,"&gt;="&amp;IF($B$4="",0,$B$4),'المبيعات اليومية'!$A$9:$A$308,"&lt;="&amp;IF($B$5="",2958465,$B$5))))</f>
        <v/>
      </c>
      <c r="H85" s="20" t="str">
        <f aca="false">IF($C85="","",IF($B$4&amp;$B$5="",SUMIFS('المبيعات اليومية'!$J$9:$J$308,'المبيعات اليومية'!$B$9:$B$308,$C85),SUMIFS('المبيعات اليومية'!$J$9:$J$308,'المبيعات اليومية'!$B$9:$B$308,$C85,'المبيعات اليومية'!$A$9:$A$308,"&gt;="&amp;IF($B$4="",0,$B$4),'المبيعات اليومية'!$A$9:$A$308,"&lt;="&amp;IF($B$5="",2958465,$B$5))))</f>
        <v/>
      </c>
      <c r="I85" s="29" t="str">
        <f aca="false">IF(OR($C85="",$H$108=0),"",H85/$H$108)</f>
        <v/>
      </c>
      <c r="J85" s="21" t="str">
        <f aca="false">IF(C85="","",IF(D85&gt;0,"نشط","لا يوجد مبيعات"))</f>
        <v/>
      </c>
    </row>
    <row r="86" customFormat="false" ht="15" hidden="false" customHeight="false" outlineLevel="0" collapsed="false">
      <c r="A86" s="21" t="str">
        <f aca="false">IF(C86="","",79)</f>
        <v/>
      </c>
      <c r="B86" s="21" t="str">
        <f aca="false">IF('دليل العملاء'!$B$82="","",'دليل العملاء'!$A$82)</f>
        <v/>
      </c>
      <c r="C86" s="4" t="str">
        <f aca="false">IF('دليل العملاء'!$B$82="","",'دليل العملاء'!$B$82)</f>
        <v/>
      </c>
      <c r="D86" s="27" t="str">
        <f aca="false">IF($C86="","",IF($B$4&amp;$B$5="",COUNTIFS('المبيعات اليومية'!$B$9:$B$308,$C86),COUNTIFS('المبيعات اليومية'!$B$9:$B$308,$C86,'المبيعات اليومية'!$A$9:$A$308,"&gt;="&amp;IF($B$4="",0,$B$4),'المبيعات اليومية'!$A$9:$A$308,"&lt;="&amp;IF($B$5="",2958465,$B$5))))</f>
        <v/>
      </c>
      <c r="E86" s="28" t="str">
        <f aca="false">IF($C86="","",IF($B$4&amp;$B$5="",SUMIFS('المبيعات اليومية'!$E$9:$E$308,'المبيعات اليومية'!$B$9:$B$308,$C86),SUMIFS('المبيعات اليومية'!$E$9:$E$308,'المبيعات اليومية'!$B$9:$B$308,$C86,'المبيعات اليومية'!$A$9:$A$308,"&gt;="&amp;IF($B$4="",0,$B$4),'المبيعات اليومية'!$A$9:$A$308,"&lt;="&amp;IF($B$5="",2958465,$B$5))))</f>
        <v/>
      </c>
      <c r="F86" s="19" t="str">
        <f aca="false">IF($C86="","",IF($B$4&amp;$B$5="",SUMIFS('المبيعات اليومية'!$H$9:$H$308,'المبيعات اليومية'!$B$9:$B$308,$C86),SUMIFS('المبيعات اليومية'!$H$9:$H$308,'المبيعات اليومية'!$B$9:$B$308,$C86,'المبيعات اليومية'!$A$9:$A$308,"&gt;="&amp;IF($B$4="",0,$B$4),'المبيعات اليومية'!$A$9:$A$308,"&lt;="&amp;IF($B$5="",2958465,$B$5))))</f>
        <v/>
      </c>
      <c r="G86" s="19" t="str">
        <f aca="false">IF($C86="","",IF($B$4&amp;$B$5="",SUMIFS('المبيعات اليومية'!$I$9:$I$308,'المبيعات اليومية'!$B$9:$B$308,$C86),SUMIFS('المبيعات اليومية'!$I$9:$I$308,'المبيعات اليومية'!$B$9:$B$308,$C86,'المبيعات اليومية'!$A$9:$A$308,"&gt;="&amp;IF($B$4="",0,$B$4),'المبيعات اليومية'!$A$9:$A$308,"&lt;="&amp;IF($B$5="",2958465,$B$5))))</f>
        <v/>
      </c>
      <c r="H86" s="20" t="str">
        <f aca="false">IF($C86="","",IF($B$4&amp;$B$5="",SUMIFS('المبيعات اليومية'!$J$9:$J$308,'المبيعات اليومية'!$B$9:$B$308,$C86),SUMIFS('المبيعات اليومية'!$J$9:$J$308,'المبيعات اليومية'!$B$9:$B$308,$C86,'المبيعات اليومية'!$A$9:$A$308,"&gt;="&amp;IF($B$4="",0,$B$4),'المبيعات اليومية'!$A$9:$A$308,"&lt;="&amp;IF($B$5="",2958465,$B$5))))</f>
        <v/>
      </c>
      <c r="I86" s="29" t="str">
        <f aca="false">IF(OR($C86="",$H$108=0),"",H86/$H$108)</f>
        <v/>
      </c>
      <c r="J86" s="21" t="str">
        <f aca="false">IF(C86="","",IF(D86&gt;0,"نشط","لا يوجد مبيعات"))</f>
        <v/>
      </c>
    </row>
    <row r="87" customFormat="false" ht="15" hidden="false" customHeight="false" outlineLevel="0" collapsed="false">
      <c r="A87" s="21" t="str">
        <f aca="false">IF(C87="","",80)</f>
        <v/>
      </c>
      <c r="B87" s="21" t="str">
        <f aca="false">IF('دليل العملاء'!$B$83="","",'دليل العملاء'!$A$83)</f>
        <v/>
      </c>
      <c r="C87" s="4" t="str">
        <f aca="false">IF('دليل العملاء'!$B$83="","",'دليل العملاء'!$B$83)</f>
        <v/>
      </c>
      <c r="D87" s="27" t="str">
        <f aca="false">IF($C87="","",IF($B$4&amp;$B$5="",COUNTIFS('المبيعات اليومية'!$B$9:$B$308,$C87),COUNTIFS('المبيعات اليومية'!$B$9:$B$308,$C87,'المبيعات اليومية'!$A$9:$A$308,"&gt;="&amp;IF($B$4="",0,$B$4),'المبيعات اليومية'!$A$9:$A$308,"&lt;="&amp;IF($B$5="",2958465,$B$5))))</f>
        <v/>
      </c>
      <c r="E87" s="28" t="str">
        <f aca="false">IF($C87="","",IF($B$4&amp;$B$5="",SUMIFS('المبيعات اليومية'!$E$9:$E$308,'المبيعات اليومية'!$B$9:$B$308,$C87),SUMIFS('المبيعات اليومية'!$E$9:$E$308,'المبيعات اليومية'!$B$9:$B$308,$C87,'المبيعات اليومية'!$A$9:$A$308,"&gt;="&amp;IF($B$4="",0,$B$4),'المبيعات اليومية'!$A$9:$A$308,"&lt;="&amp;IF($B$5="",2958465,$B$5))))</f>
        <v/>
      </c>
      <c r="F87" s="19" t="str">
        <f aca="false">IF($C87="","",IF($B$4&amp;$B$5="",SUMIFS('المبيعات اليومية'!$H$9:$H$308,'المبيعات اليومية'!$B$9:$B$308,$C87),SUMIFS('المبيعات اليومية'!$H$9:$H$308,'المبيعات اليومية'!$B$9:$B$308,$C87,'المبيعات اليومية'!$A$9:$A$308,"&gt;="&amp;IF($B$4="",0,$B$4),'المبيعات اليومية'!$A$9:$A$308,"&lt;="&amp;IF($B$5="",2958465,$B$5))))</f>
        <v/>
      </c>
      <c r="G87" s="19" t="str">
        <f aca="false">IF($C87="","",IF($B$4&amp;$B$5="",SUMIFS('المبيعات اليومية'!$I$9:$I$308,'المبيعات اليومية'!$B$9:$B$308,$C87),SUMIFS('المبيعات اليومية'!$I$9:$I$308,'المبيعات اليومية'!$B$9:$B$308,$C87,'المبيعات اليومية'!$A$9:$A$308,"&gt;="&amp;IF($B$4="",0,$B$4),'المبيعات اليومية'!$A$9:$A$308,"&lt;="&amp;IF($B$5="",2958465,$B$5))))</f>
        <v/>
      </c>
      <c r="H87" s="20" t="str">
        <f aca="false">IF($C87="","",IF($B$4&amp;$B$5="",SUMIFS('المبيعات اليومية'!$J$9:$J$308,'المبيعات اليومية'!$B$9:$B$308,$C87),SUMIFS('المبيعات اليومية'!$J$9:$J$308,'المبيعات اليومية'!$B$9:$B$308,$C87,'المبيعات اليومية'!$A$9:$A$308,"&gt;="&amp;IF($B$4="",0,$B$4),'المبيعات اليومية'!$A$9:$A$308,"&lt;="&amp;IF($B$5="",2958465,$B$5))))</f>
        <v/>
      </c>
      <c r="I87" s="29" t="str">
        <f aca="false">IF(OR($C87="",$H$108=0),"",H87/$H$108)</f>
        <v/>
      </c>
      <c r="J87" s="21" t="str">
        <f aca="false">IF(C87="","",IF(D87&gt;0,"نشط","لا يوجد مبيعات"))</f>
        <v/>
      </c>
    </row>
    <row r="88" customFormat="false" ht="15" hidden="false" customHeight="false" outlineLevel="0" collapsed="false">
      <c r="A88" s="21" t="str">
        <f aca="false">IF(C88="","",81)</f>
        <v/>
      </c>
      <c r="B88" s="21" t="str">
        <f aca="false">IF('دليل العملاء'!$B$84="","",'دليل العملاء'!$A$84)</f>
        <v/>
      </c>
      <c r="C88" s="4" t="str">
        <f aca="false">IF('دليل العملاء'!$B$84="","",'دليل العملاء'!$B$84)</f>
        <v/>
      </c>
      <c r="D88" s="27" t="str">
        <f aca="false">IF($C88="","",IF($B$4&amp;$B$5="",COUNTIFS('المبيعات اليومية'!$B$9:$B$308,$C88),COUNTIFS('المبيعات اليومية'!$B$9:$B$308,$C88,'المبيعات اليومية'!$A$9:$A$308,"&gt;="&amp;IF($B$4="",0,$B$4),'المبيعات اليومية'!$A$9:$A$308,"&lt;="&amp;IF($B$5="",2958465,$B$5))))</f>
        <v/>
      </c>
      <c r="E88" s="28" t="str">
        <f aca="false">IF($C88="","",IF($B$4&amp;$B$5="",SUMIFS('المبيعات اليومية'!$E$9:$E$308,'المبيعات اليومية'!$B$9:$B$308,$C88),SUMIFS('المبيعات اليومية'!$E$9:$E$308,'المبيعات اليومية'!$B$9:$B$308,$C88,'المبيعات اليومية'!$A$9:$A$308,"&gt;="&amp;IF($B$4="",0,$B$4),'المبيعات اليومية'!$A$9:$A$308,"&lt;="&amp;IF($B$5="",2958465,$B$5))))</f>
        <v/>
      </c>
      <c r="F88" s="19" t="str">
        <f aca="false">IF($C88="","",IF($B$4&amp;$B$5="",SUMIFS('المبيعات اليومية'!$H$9:$H$308,'المبيعات اليومية'!$B$9:$B$308,$C88),SUMIFS('المبيعات اليومية'!$H$9:$H$308,'المبيعات اليومية'!$B$9:$B$308,$C88,'المبيعات اليومية'!$A$9:$A$308,"&gt;="&amp;IF($B$4="",0,$B$4),'المبيعات اليومية'!$A$9:$A$308,"&lt;="&amp;IF($B$5="",2958465,$B$5))))</f>
        <v/>
      </c>
      <c r="G88" s="19" t="str">
        <f aca="false">IF($C88="","",IF($B$4&amp;$B$5="",SUMIFS('المبيعات اليومية'!$I$9:$I$308,'المبيعات اليومية'!$B$9:$B$308,$C88),SUMIFS('المبيعات اليومية'!$I$9:$I$308,'المبيعات اليومية'!$B$9:$B$308,$C88,'المبيعات اليومية'!$A$9:$A$308,"&gt;="&amp;IF($B$4="",0,$B$4),'المبيعات اليومية'!$A$9:$A$308,"&lt;="&amp;IF($B$5="",2958465,$B$5))))</f>
        <v/>
      </c>
      <c r="H88" s="20" t="str">
        <f aca="false">IF($C88="","",IF($B$4&amp;$B$5="",SUMIFS('المبيعات اليومية'!$J$9:$J$308,'المبيعات اليومية'!$B$9:$B$308,$C88),SUMIFS('المبيعات اليومية'!$J$9:$J$308,'المبيعات اليومية'!$B$9:$B$308,$C88,'المبيعات اليومية'!$A$9:$A$308,"&gt;="&amp;IF($B$4="",0,$B$4),'المبيعات اليومية'!$A$9:$A$308,"&lt;="&amp;IF($B$5="",2958465,$B$5))))</f>
        <v/>
      </c>
      <c r="I88" s="29" t="str">
        <f aca="false">IF(OR($C88="",$H$108=0),"",H88/$H$108)</f>
        <v/>
      </c>
      <c r="J88" s="21" t="str">
        <f aca="false">IF(C88="","",IF(D88&gt;0,"نشط","لا يوجد مبيعات"))</f>
        <v/>
      </c>
    </row>
    <row r="89" customFormat="false" ht="15" hidden="false" customHeight="false" outlineLevel="0" collapsed="false">
      <c r="A89" s="21" t="str">
        <f aca="false">IF(C89="","",82)</f>
        <v/>
      </c>
      <c r="B89" s="21" t="str">
        <f aca="false">IF('دليل العملاء'!$B$85="","",'دليل العملاء'!$A$85)</f>
        <v/>
      </c>
      <c r="C89" s="4" t="str">
        <f aca="false">IF('دليل العملاء'!$B$85="","",'دليل العملاء'!$B$85)</f>
        <v/>
      </c>
      <c r="D89" s="27" t="str">
        <f aca="false">IF($C89="","",IF($B$4&amp;$B$5="",COUNTIFS('المبيعات اليومية'!$B$9:$B$308,$C89),COUNTIFS('المبيعات اليومية'!$B$9:$B$308,$C89,'المبيعات اليومية'!$A$9:$A$308,"&gt;="&amp;IF($B$4="",0,$B$4),'المبيعات اليومية'!$A$9:$A$308,"&lt;="&amp;IF($B$5="",2958465,$B$5))))</f>
        <v/>
      </c>
      <c r="E89" s="28" t="str">
        <f aca="false">IF($C89="","",IF($B$4&amp;$B$5="",SUMIFS('المبيعات اليومية'!$E$9:$E$308,'المبيعات اليومية'!$B$9:$B$308,$C89),SUMIFS('المبيعات اليومية'!$E$9:$E$308,'المبيعات اليومية'!$B$9:$B$308,$C89,'المبيعات اليومية'!$A$9:$A$308,"&gt;="&amp;IF($B$4="",0,$B$4),'المبيعات اليومية'!$A$9:$A$308,"&lt;="&amp;IF($B$5="",2958465,$B$5))))</f>
        <v/>
      </c>
      <c r="F89" s="19" t="str">
        <f aca="false">IF($C89="","",IF($B$4&amp;$B$5="",SUMIFS('المبيعات اليومية'!$H$9:$H$308,'المبيعات اليومية'!$B$9:$B$308,$C89),SUMIFS('المبيعات اليومية'!$H$9:$H$308,'المبيعات اليومية'!$B$9:$B$308,$C89,'المبيعات اليومية'!$A$9:$A$308,"&gt;="&amp;IF($B$4="",0,$B$4),'المبيعات اليومية'!$A$9:$A$308,"&lt;="&amp;IF($B$5="",2958465,$B$5))))</f>
        <v/>
      </c>
      <c r="G89" s="19" t="str">
        <f aca="false">IF($C89="","",IF($B$4&amp;$B$5="",SUMIFS('المبيعات اليومية'!$I$9:$I$308,'المبيعات اليومية'!$B$9:$B$308,$C89),SUMIFS('المبيعات اليومية'!$I$9:$I$308,'المبيعات اليومية'!$B$9:$B$308,$C89,'المبيعات اليومية'!$A$9:$A$308,"&gt;="&amp;IF($B$4="",0,$B$4),'المبيعات اليومية'!$A$9:$A$308,"&lt;="&amp;IF($B$5="",2958465,$B$5))))</f>
        <v/>
      </c>
      <c r="H89" s="20" t="str">
        <f aca="false">IF($C89="","",IF($B$4&amp;$B$5="",SUMIFS('المبيعات اليومية'!$J$9:$J$308,'المبيعات اليومية'!$B$9:$B$308,$C89),SUMIFS('المبيعات اليومية'!$J$9:$J$308,'المبيعات اليومية'!$B$9:$B$308,$C89,'المبيعات اليومية'!$A$9:$A$308,"&gt;="&amp;IF($B$4="",0,$B$4),'المبيعات اليومية'!$A$9:$A$308,"&lt;="&amp;IF($B$5="",2958465,$B$5))))</f>
        <v/>
      </c>
      <c r="I89" s="29" t="str">
        <f aca="false">IF(OR($C89="",$H$108=0),"",H89/$H$108)</f>
        <v/>
      </c>
      <c r="J89" s="21" t="str">
        <f aca="false">IF(C89="","",IF(D89&gt;0,"نشط","لا يوجد مبيعات"))</f>
        <v/>
      </c>
    </row>
    <row r="90" customFormat="false" ht="15" hidden="false" customHeight="false" outlineLevel="0" collapsed="false">
      <c r="A90" s="21" t="str">
        <f aca="false">IF(C90="","",83)</f>
        <v/>
      </c>
      <c r="B90" s="21" t="str">
        <f aca="false">IF('دليل العملاء'!$B$86="","",'دليل العملاء'!$A$86)</f>
        <v/>
      </c>
      <c r="C90" s="4" t="str">
        <f aca="false">IF('دليل العملاء'!$B$86="","",'دليل العملاء'!$B$86)</f>
        <v/>
      </c>
      <c r="D90" s="27" t="str">
        <f aca="false">IF($C90="","",IF($B$4&amp;$B$5="",COUNTIFS('المبيعات اليومية'!$B$9:$B$308,$C90),COUNTIFS('المبيعات اليومية'!$B$9:$B$308,$C90,'المبيعات اليومية'!$A$9:$A$308,"&gt;="&amp;IF($B$4="",0,$B$4),'المبيعات اليومية'!$A$9:$A$308,"&lt;="&amp;IF($B$5="",2958465,$B$5))))</f>
        <v/>
      </c>
      <c r="E90" s="28" t="str">
        <f aca="false">IF($C90="","",IF($B$4&amp;$B$5="",SUMIFS('المبيعات اليومية'!$E$9:$E$308,'المبيعات اليومية'!$B$9:$B$308,$C90),SUMIFS('المبيعات اليومية'!$E$9:$E$308,'المبيعات اليومية'!$B$9:$B$308,$C90,'المبيعات اليومية'!$A$9:$A$308,"&gt;="&amp;IF($B$4="",0,$B$4),'المبيعات اليومية'!$A$9:$A$308,"&lt;="&amp;IF($B$5="",2958465,$B$5))))</f>
        <v/>
      </c>
      <c r="F90" s="19" t="str">
        <f aca="false">IF($C90="","",IF($B$4&amp;$B$5="",SUMIFS('المبيعات اليومية'!$H$9:$H$308,'المبيعات اليومية'!$B$9:$B$308,$C90),SUMIFS('المبيعات اليومية'!$H$9:$H$308,'المبيعات اليومية'!$B$9:$B$308,$C90,'المبيعات اليومية'!$A$9:$A$308,"&gt;="&amp;IF($B$4="",0,$B$4),'المبيعات اليومية'!$A$9:$A$308,"&lt;="&amp;IF($B$5="",2958465,$B$5))))</f>
        <v/>
      </c>
      <c r="G90" s="19" t="str">
        <f aca="false">IF($C90="","",IF($B$4&amp;$B$5="",SUMIFS('المبيعات اليومية'!$I$9:$I$308,'المبيعات اليومية'!$B$9:$B$308,$C90),SUMIFS('المبيعات اليومية'!$I$9:$I$308,'المبيعات اليومية'!$B$9:$B$308,$C90,'المبيعات اليومية'!$A$9:$A$308,"&gt;="&amp;IF($B$4="",0,$B$4),'المبيعات اليومية'!$A$9:$A$308,"&lt;="&amp;IF($B$5="",2958465,$B$5))))</f>
        <v/>
      </c>
      <c r="H90" s="20" t="str">
        <f aca="false">IF($C90="","",IF($B$4&amp;$B$5="",SUMIFS('المبيعات اليومية'!$J$9:$J$308,'المبيعات اليومية'!$B$9:$B$308,$C90),SUMIFS('المبيعات اليومية'!$J$9:$J$308,'المبيعات اليومية'!$B$9:$B$308,$C90,'المبيعات اليومية'!$A$9:$A$308,"&gt;="&amp;IF($B$4="",0,$B$4),'المبيعات اليومية'!$A$9:$A$308,"&lt;="&amp;IF($B$5="",2958465,$B$5))))</f>
        <v/>
      </c>
      <c r="I90" s="29" t="str">
        <f aca="false">IF(OR($C90="",$H$108=0),"",H90/$H$108)</f>
        <v/>
      </c>
      <c r="J90" s="21" t="str">
        <f aca="false">IF(C90="","",IF(D90&gt;0,"نشط","لا يوجد مبيعات"))</f>
        <v/>
      </c>
    </row>
    <row r="91" customFormat="false" ht="15" hidden="false" customHeight="false" outlineLevel="0" collapsed="false">
      <c r="A91" s="21" t="str">
        <f aca="false">IF(C91="","",84)</f>
        <v/>
      </c>
      <c r="B91" s="21" t="str">
        <f aca="false">IF('دليل العملاء'!$B$87="","",'دليل العملاء'!$A$87)</f>
        <v/>
      </c>
      <c r="C91" s="4" t="str">
        <f aca="false">IF('دليل العملاء'!$B$87="","",'دليل العملاء'!$B$87)</f>
        <v/>
      </c>
      <c r="D91" s="27" t="str">
        <f aca="false">IF($C91="","",IF($B$4&amp;$B$5="",COUNTIFS('المبيعات اليومية'!$B$9:$B$308,$C91),COUNTIFS('المبيعات اليومية'!$B$9:$B$308,$C91,'المبيعات اليومية'!$A$9:$A$308,"&gt;="&amp;IF($B$4="",0,$B$4),'المبيعات اليومية'!$A$9:$A$308,"&lt;="&amp;IF($B$5="",2958465,$B$5))))</f>
        <v/>
      </c>
      <c r="E91" s="28" t="str">
        <f aca="false">IF($C91="","",IF($B$4&amp;$B$5="",SUMIFS('المبيعات اليومية'!$E$9:$E$308,'المبيعات اليومية'!$B$9:$B$308,$C91),SUMIFS('المبيعات اليومية'!$E$9:$E$308,'المبيعات اليومية'!$B$9:$B$308,$C91,'المبيعات اليومية'!$A$9:$A$308,"&gt;="&amp;IF($B$4="",0,$B$4),'المبيعات اليومية'!$A$9:$A$308,"&lt;="&amp;IF($B$5="",2958465,$B$5))))</f>
        <v/>
      </c>
      <c r="F91" s="19" t="str">
        <f aca="false">IF($C91="","",IF($B$4&amp;$B$5="",SUMIFS('المبيعات اليومية'!$H$9:$H$308,'المبيعات اليومية'!$B$9:$B$308,$C91),SUMIFS('المبيعات اليومية'!$H$9:$H$308,'المبيعات اليومية'!$B$9:$B$308,$C91,'المبيعات اليومية'!$A$9:$A$308,"&gt;="&amp;IF($B$4="",0,$B$4),'المبيعات اليومية'!$A$9:$A$308,"&lt;="&amp;IF($B$5="",2958465,$B$5))))</f>
        <v/>
      </c>
      <c r="G91" s="19" t="str">
        <f aca="false">IF($C91="","",IF($B$4&amp;$B$5="",SUMIFS('المبيعات اليومية'!$I$9:$I$308,'المبيعات اليومية'!$B$9:$B$308,$C91),SUMIFS('المبيعات اليومية'!$I$9:$I$308,'المبيعات اليومية'!$B$9:$B$308,$C91,'المبيعات اليومية'!$A$9:$A$308,"&gt;="&amp;IF($B$4="",0,$B$4),'المبيعات اليومية'!$A$9:$A$308,"&lt;="&amp;IF($B$5="",2958465,$B$5))))</f>
        <v/>
      </c>
      <c r="H91" s="20" t="str">
        <f aca="false">IF($C91="","",IF($B$4&amp;$B$5="",SUMIFS('المبيعات اليومية'!$J$9:$J$308,'المبيعات اليومية'!$B$9:$B$308,$C91),SUMIFS('المبيعات اليومية'!$J$9:$J$308,'المبيعات اليومية'!$B$9:$B$308,$C91,'المبيعات اليومية'!$A$9:$A$308,"&gt;="&amp;IF($B$4="",0,$B$4),'المبيعات اليومية'!$A$9:$A$308,"&lt;="&amp;IF($B$5="",2958465,$B$5))))</f>
        <v/>
      </c>
      <c r="I91" s="29" t="str">
        <f aca="false">IF(OR($C91="",$H$108=0),"",H91/$H$108)</f>
        <v/>
      </c>
      <c r="J91" s="21" t="str">
        <f aca="false">IF(C91="","",IF(D91&gt;0,"نشط","لا يوجد مبيعات"))</f>
        <v/>
      </c>
    </row>
    <row r="92" customFormat="false" ht="15" hidden="false" customHeight="false" outlineLevel="0" collapsed="false">
      <c r="A92" s="21" t="str">
        <f aca="false">IF(C92="","",85)</f>
        <v/>
      </c>
      <c r="B92" s="21" t="str">
        <f aca="false">IF('دليل العملاء'!$B$88="","",'دليل العملاء'!$A$88)</f>
        <v/>
      </c>
      <c r="C92" s="4" t="str">
        <f aca="false">IF('دليل العملاء'!$B$88="","",'دليل العملاء'!$B$88)</f>
        <v/>
      </c>
      <c r="D92" s="27" t="str">
        <f aca="false">IF($C92="","",IF($B$4&amp;$B$5="",COUNTIFS('المبيعات اليومية'!$B$9:$B$308,$C92),COUNTIFS('المبيعات اليومية'!$B$9:$B$308,$C92,'المبيعات اليومية'!$A$9:$A$308,"&gt;="&amp;IF($B$4="",0,$B$4),'المبيعات اليومية'!$A$9:$A$308,"&lt;="&amp;IF($B$5="",2958465,$B$5))))</f>
        <v/>
      </c>
      <c r="E92" s="28" t="str">
        <f aca="false">IF($C92="","",IF($B$4&amp;$B$5="",SUMIFS('المبيعات اليومية'!$E$9:$E$308,'المبيعات اليومية'!$B$9:$B$308,$C92),SUMIFS('المبيعات اليومية'!$E$9:$E$308,'المبيعات اليومية'!$B$9:$B$308,$C92,'المبيعات اليومية'!$A$9:$A$308,"&gt;="&amp;IF($B$4="",0,$B$4),'المبيعات اليومية'!$A$9:$A$308,"&lt;="&amp;IF($B$5="",2958465,$B$5))))</f>
        <v/>
      </c>
      <c r="F92" s="19" t="str">
        <f aca="false">IF($C92="","",IF($B$4&amp;$B$5="",SUMIFS('المبيعات اليومية'!$H$9:$H$308,'المبيعات اليومية'!$B$9:$B$308,$C92),SUMIFS('المبيعات اليومية'!$H$9:$H$308,'المبيعات اليومية'!$B$9:$B$308,$C92,'المبيعات اليومية'!$A$9:$A$308,"&gt;="&amp;IF($B$4="",0,$B$4),'المبيعات اليومية'!$A$9:$A$308,"&lt;="&amp;IF($B$5="",2958465,$B$5))))</f>
        <v/>
      </c>
      <c r="G92" s="19" t="str">
        <f aca="false">IF($C92="","",IF($B$4&amp;$B$5="",SUMIFS('المبيعات اليومية'!$I$9:$I$308,'المبيعات اليومية'!$B$9:$B$308,$C92),SUMIFS('المبيعات اليومية'!$I$9:$I$308,'المبيعات اليومية'!$B$9:$B$308,$C92,'المبيعات اليومية'!$A$9:$A$308,"&gt;="&amp;IF($B$4="",0,$B$4),'المبيعات اليومية'!$A$9:$A$308,"&lt;="&amp;IF($B$5="",2958465,$B$5))))</f>
        <v/>
      </c>
      <c r="H92" s="20" t="str">
        <f aca="false">IF($C92="","",IF($B$4&amp;$B$5="",SUMIFS('المبيعات اليومية'!$J$9:$J$308,'المبيعات اليومية'!$B$9:$B$308,$C92),SUMIFS('المبيعات اليومية'!$J$9:$J$308,'المبيعات اليومية'!$B$9:$B$308,$C92,'المبيعات اليومية'!$A$9:$A$308,"&gt;="&amp;IF($B$4="",0,$B$4),'المبيعات اليومية'!$A$9:$A$308,"&lt;="&amp;IF($B$5="",2958465,$B$5))))</f>
        <v/>
      </c>
      <c r="I92" s="29" t="str">
        <f aca="false">IF(OR($C92="",$H$108=0),"",H92/$H$108)</f>
        <v/>
      </c>
      <c r="J92" s="21" t="str">
        <f aca="false">IF(C92="","",IF(D92&gt;0,"نشط","لا يوجد مبيعات"))</f>
        <v/>
      </c>
    </row>
    <row r="93" customFormat="false" ht="15" hidden="false" customHeight="false" outlineLevel="0" collapsed="false">
      <c r="A93" s="21" t="str">
        <f aca="false">IF(C93="","",86)</f>
        <v/>
      </c>
      <c r="B93" s="21" t="str">
        <f aca="false">IF('دليل العملاء'!$B$89="","",'دليل العملاء'!$A$89)</f>
        <v/>
      </c>
      <c r="C93" s="4" t="str">
        <f aca="false">IF('دليل العملاء'!$B$89="","",'دليل العملاء'!$B$89)</f>
        <v/>
      </c>
      <c r="D93" s="27" t="str">
        <f aca="false">IF($C93="","",IF($B$4&amp;$B$5="",COUNTIFS('المبيعات اليومية'!$B$9:$B$308,$C93),COUNTIFS('المبيعات اليومية'!$B$9:$B$308,$C93,'المبيعات اليومية'!$A$9:$A$308,"&gt;="&amp;IF($B$4="",0,$B$4),'المبيعات اليومية'!$A$9:$A$308,"&lt;="&amp;IF($B$5="",2958465,$B$5))))</f>
        <v/>
      </c>
      <c r="E93" s="28" t="str">
        <f aca="false">IF($C93="","",IF($B$4&amp;$B$5="",SUMIFS('المبيعات اليومية'!$E$9:$E$308,'المبيعات اليومية'!$B$9:$B$308,$C93),SUMIFS('المبيعات اليومية'!$E$9:$E$308,'المبيعات اليومية'!$B$9:$B$308,$C93,'المبيعات اليومية'!$A$9:$A$308,"&gt;="&amp;IF($B$4="",0,$B$4),'المبيعات اليومية'!$A$9:$A$308,"&lt;="&amp;IF($B$5="",2958465,$B$5))))</f>
        <v/>
      </c>
      <c r="F93" s="19" t="str">
        <f aca="false">IF($C93="","",IF($B$4&amp;$B$5="",SUMIFS('المبيعات اليومية'!$H$9:$H$308,'المبيعات اليومية'!$B$9:$B$308,$C93),SUMIFS('المبيعات اليومية'!$H$9:$H$308,'المبيعات اليومية'!$B$9:$B$308,$C93,'المبيعات اليومية'!$A$9:$A$308,"&gt;="&amp;IF($B$4="",0,$B$4),'المبيعات اليومية'!$A$9:$A$308,"&lt;="&amp;IF($B$5="",2958465,$B$5))))</f>
        <v/>
      </c>
      <c r="G93" s="19" t="str">
        <f aca="false">IF($C93="","",IF($B$4&amp;$B$5="",SUMIFS('المبيعات اليومية'!$I$9:$I$308,'المبيعات اليومية'!$B$9:$B$308,$C93),SUMIFS('المبيعات اليومية'!$I$9:$I$308,'المبيعات اليومية'!$B$9:$B$308,$C93,'المبيعات اليومية'!$A$9:$A$308,"&gt;="&amp;IF($B$4="",0,$B$4),'المبيعات اليومية'!$A$9:$A$308,"&lt;="&amp;IF($B$5="",2958465,$B$5))))</f>
        <v/>
      </c>
      <c r="H93" s="20" t="str">
        <f aca="false">IF($C93="","",IF($B$4&amp;$B$5="",SUMIFS('المبيعات اليومية'!$J$9:$J$308,'المبيعات اليومية'!$B$9:$B$308,$C93),SUMIFS('المبيعات اليومية'!$J$9:$J$308,'المبيعات اليومية'!$B$9:$B$308,$C93,'المبيعات اليومية'!$A$9:$A$308,"&gt;="&amp;IF($B$4="",0,$B$4),'المبيعات اليومية'!$A$9:$A$308,"&lt;="&amp;IF($B$5="",2958465,$B$5))))</f>
        <v/>
      </c>
      <c r="I93" s="29" t="str">
        <f aca="false">IF(OR($C93="",$H$108=0),"",H93/$H$108)</f>
        <v/>
      </c>
      <c r="J93" s="21" t="str">
        <f aca="false">IF(C93="","",IF(D93&gt;0,"نشط","لا يوجد مبيعات"))</f>
        <v/>
      </c>
    </row>
    <row r="94" customFormat="false" ht="15" hidden="false" customHeight="false" outlineLevel="0" collapsed="false">
      <c r="A94" s="21" t="str">
        <f aca="false">IF(C94="","",87)</f>
        <v/>
      </c>
      <c r="B94" s="21" t="str">
        <f aca="false">IF('دليل العملاء'!$B$90="","",'دليل العملاء'!$A$90)</f>
        <v/>
      </c>
      <c r="C94" s="4" t="str">
        <f aca="false">IF('دليل العملاء'!$B$90="","",'دليل العملاء'!$B$90)</f>
        <v/>
      </c>
      <c r="D94" s="27" t="str">
        <f aca="false">IF($C94="","",IF($B$4&amp;$B$5="",COUNTIFS('المبيعات اليومية'!$B$9:$B$308,$C94),COUNTIFS('المبيعات اليومية'!$B$9:$B$308,$C94,'المبيعات اليومية'!$A$9:$A$308,"&gt;="&amp;IF($B$4="",0,$B$4),'المبيعات اليومية'!$A$9:$A$308,"&lt;="&amp;IF($B$5="",2958465,$B$5))))</f>
        <v/>
      </c>
      <c r="E94" s="28" t="str">
        <f aca="false">IF($C94="","",IF($B$4&amp;$B$5="",SUMIFS('المبيعات اليومية'!$E$9:$E$308,'المبيعات اليومية'!$B$9:$B$308,$C94),SUMIFS('المبيعات اليومية'!$E$9:$E$308,'المبيعات اليومية'!$B$9:$B$308,$C94,'المبيعات اليومية'!$A$9:$A$308,"&gt;="&amp;IF($B$4="",0,$B$4),'المبيعات اليومية'!$A$9:$A$308,"&lt;="&amp;IF($B$5="",2958465,$B$5))))</f>
        <v/>
      </c>
      <c r="F94" s="19" t="str">
        <f aca="false">IF($C94="","",IF($B$4&amp;$B$5="",SUMIFS('المبيعات اليومية'!$H$9:$H$308,'المبيعات اليومية'!$B$9:$B$308,$C94),SUMIFS('المبيعات اليومية'!$H$9:$H$308,'المبيعات اليومية'!$B$9:$B$308,$C94,'المبيعات اليومية'!$A$9:$A$308,"&gt;="&amp;IF($B$4="",0,$B$4),'المبيعات اليومية'!$A$9:$A$308,"&lt;="&amp;IF($B$5="",2958465,$B$5))))</f>
        <v/>
      </c>
      <c r="G94" s="19" t="str">
        <f aca="false">IF($C94="","",IF($B$4&amp;$B$5="",SUMIFS('المبيعات اليومية'!$I$9:$I$308,'المبيعات اليومية'!$B$9:$B$308,$C94),SUMIFS('المبيعات اليومية'!$I$9:$I$308,'المبيعات اليومية'!$B$9:$B$308,$C94,'المبيعات اليومية'!$A$9:$A$308,"&gt;="&amp;IF($B$4="",0,$B$4),'المبيعات اليومية'!$A$9:$A$308,"&lt;="&amp;IF($B$5="",2958465,$B$5))))</f>
        <v/>
      </c>
      <c r="H94" s="20" t="str">
        <f aca="false">IF($C94="","",IF($B$4&amp;$B$5="",SUMIFS('المبيعات اليومية'!$J$9:$J$308,'المبيعات اليومية'!$B$9:$B$308,$C94),SUMIFS('المبيعات اليومية'!$J$9:$J$308,'المبيعات اليومية'!$B$9:$B$308,$C94,'المبيعات اليومية'!$A$9:$A$308,"&gt;="&amp;IF($B$4="",0,$B$4),'المبيعات اليومية'!$A$9:$A$308,"&lt;="&amp;IF($B$5="",2958465,$B$5))))</f>
        <v/>
      </c>
      <c r="I94" s="29" t="str">
        <f aca="false">IF(OR($C94="",$H$108=0),"",H94/$H$108)</f>
        <v/>
      </c>
      <c r="J94" s="21" t="str">
        <f aca="false">IF(C94="","",IF(D94&gt;0,"نشط","لا يوجد مبيعات"))</f>
        <v/>
      </c>
    </row>
    <row r="95" customFormat="false" ht="15" hidden="false" customHeight="false" outlineLevel="0" collapsed="false">
      <c r="A95" s="21" t="str">
        <f aca="false">IF(C95="","",88)</f>
        <v/>
      </c>
      <c r="B95" s="21" t="str">
        <f aca="false">IF('دليل العملاء'!$B$91="","",'دليل العملاء'!$A$91)</f>
        <v/>
      </c>
      <c r="C95" s="4" t="str">
        <f aca="false">IF('دليل العملاء'!$B$91="","",'دليل العملاء'!$B$91)</f>
        <v/>
      </c>
      <c r="D95" s="27" t="str">
        <f aca="false">IF($C95="","",IF($B$4&amp;$B$5="",COUNTIFS('المبيعات اليومية'!$B$9:$B$308,$C95),COUNTIFS('المبيعات اليومية'!$B$9:$B$308,$C95,'المبيعات اليومية'!$A$9:$A$308,"&gt;="&amp;IF($B$4="",0,$B$4),'المبيعات اليومية'!$A$9:$A$308,"&lt;="&amp;IF($B$5="",2958465,$B$5))))</f>
        <v/>
      </c>
      <c r="E95" s="28" t="str">
        <f aca="false">IF($C95="","",IF($B$4&amp;$B$5="",SUMIFS('المبيعات اليومية'!$E$9:$E$308,'المبيعات اليومية'!$B$9:$B$308,$C95),SUMIFS('المبيعات اليومية'!$E$9:$E$308,'المبيعات اليومية'!$B$9:$B$308,$C95,'المبيعات اليومية'!$A$9:$A$308,"&gt;="&amp;IF($B$4="",0,$B$4),'المبيعات اليومية'!$A$9:$A$308,"&lt;="&amp;IF($B$5="",2958465,$B$5))))</f>
        <v/>
      </c>
      <c r="F95" s="19" t="str">
        <f aca="false">IF($C95="","",IF($B$4&amp;$B$5="",SUMIFS('المبيعات اليومية'!$H$9:$H$308,'المبيعات اليومية'!$B$9:$B$308,$C95),SUMIFS('المبيعات اليومية'!$H$9:$H$308,'المبيعات اليومية'!$B$9:$B$308,$C95,'المبيعات اليومية'!$A$9:$A$308,"&gt;="&amp;IF($B$4="",0,$B$4),'المبيعات اليومية'!$A$9:$A$308,"&lt;="&amp;IF($B$5="",2958465,$B$5))))</f>
        <v/>
      </c>
      <c r="G95" s="19" t="str">
        <f aca="false">IF($C95="","",IF($B$4&amp;$B$5="",SUMIFS('المبيعات اليومية'!$I$9:$I$308,'المبيعات اليومية'!$B$9:$B$308,$C95),SUMIFS('المبيعات اليومية'!$I$9:$I$308,'المبيعات اليومية'!$B$9:$B$308,$C95,'المبيعات اليومية'!$A$9:$A$308,"&gt;="&amp;IF($B$4="",0,$B$4),'المبيعات اليومية'!$A$9:$A$308,"&lt;="&amp;IF($B$5="",2958465,$B$5))))</f>
        <v/>
      </c>
      <c r="H95" s="20" t="str">
        <f aca="false">IF($C95="","",IF($B$4&amp;$B$5="",SUMIFS('المبيعات اليومية'!$J$9:$J$308,'المبيعات اليومية'!$B$9:$B$308,$C95),SUMIFS('المبيعات اليومية'!$J$9:$J$308,'المبيعات اليومية'!$B$9:$B$308,$C95,'المبيعات اليومية'!$A$9:$A$308,"&gt;="&amp;IF($B$4="",0,$B$4),'المبيعات اليومية'!$A$9:$A$308,"&lt;="&amp;IF($B$5="",2958465,$B$5))))</f>
        <v/>
      </c>
      <c r="I95" s="29" t="str">
        <f aca="false">IF(OR($C95="",$H$108=0),"",H95/$H$108)</f>
        <v/>
      </c>
      <c r="J95" s="21" t="str">
        <f aca="false">IF(C95="","",IF(D95&gt;0,"نشط","لا يوجد مبيعات"))</f>
        <v/>
      </c>
    </row>
    <row r="96" customFormat="false" ht="15" hidden="false" customHeight="false" outlineLevel="0" collapsed="false">
      <c r="A96" s="21" t="str">
        <f aca="false">IF(C96="","",89)</f>
        <v/>
      </c>
      <c r="B96" s="21" t="str">
        <f aca="false">IF('دليل العملاء'!$B$92="","",'دليل العملاء'!$A$92)</f>
        <v/>
      </c>
      <c r="C96" s="4" t="str">
        <f aca="false">IF('دليل العملاء'!$B$92="","",'دليل العملاء'!$B$92)</f>
        <v/>
      </c>
      <c r="D96" s="27" t="str">
        <f aca="false">IF($C96="","",IF($B$4&amp;$B$5="",COUNTIFS('المبيعات اليومية'!$B$9:$B$308,$C96),COUNTIFS('المبيعات اليومية'!$B$9:$B$308,$C96,'المبيعات اليومية'!$A$9:$A$308,"&gt;="&amp;IF($B$4="",0,$B$4),'المبيعات اليومية'!$A$9:$A$308,"&lt;="&amp;IF($B$5="",2958465,$B$5))))</f>
        <v/>
      </c>
      <c r="E96" s="28" t="str">
        <f aca="false">IF($C96="","",IF($B$4&amp;$B$5="",SUMIFS('المبيعات اليومية'!$E$9:$E$308,'المبيعات اليومية'!$B$9:$B$308,$C96),SUMIFS('المبيعات اليومية'!$E$9:$E$308,'المبيعات اليومية'!$B$9:$B$308,$C96,'المبيعات اليومية'!$A$9:$A$308,"&gt;="&amp;IF($B$4="",0,$B$4),'المبيعات اليومية'!$A$9:$A$308,"&lt;="&amp;IF($B$5="",2958465,$B$5))))</f>
        <v/>
      </c>
      <c r="F96" s="19" t="str">
        <f aca="false">IF($C96="","",IF($B$4&amp;$B$5="",SUMIFS('المبيعات اليومية'!$H$9:$H$308,'المبيعات اليومية'!$B$9:$B$308,$C96),SUMIFS('المبيعات اليومية'!$H$9:$H$308,'المبيعات اليومية'!$B$9:$B$308,$C96,'المبيعات اليومية'!$A$9:$A$308,"&gt;="&amp;IF($B$4="",0,$B$4),'المبيعات اليومية'!$A$9:$A$308,"&lt;="&amp;IF($B$5="",2958465,$B$5))))</f>
        <v/>
      </c>
      <c r="G96" s="19" t="str">
        <f aca="false">IF($C96="","",IF($B$4&amp;$B$5="",SUMIFS('المبيعات اليومية'!$I$9:$I$308,'المبيعات اليومية'!$B$9:$B$308,$C96),SUMIFS('المبيعات اليومية'!$I$9:$I$308,'المبيعات اليومية'!$B$9:$B$308,$C96,'المبيعات اليومية'!$A$9:$A$308,"&gt;="&amp;IF($B$4="",0,$B$4),'المبيعات اليومية'!$A$9:$A$308,"&lt;="&amp;IF($B$5="",2958465,$B$5))))</f>
        <v/>
      </c>
      <c r="H96" s="20" t="str">
        <f aca="false">IF($C96="","",IF($B$4&amp;$B$5="",SUMIFS('المبيعات اليومية'!$J$9:$J$308,'المبيعات اليومية'!$B$9:$B$308,$C96),SUMIFS('المبيعات اليومية'!$J$9:$J$308,'المبيعات اليومية'!$B$9:$B$308,$C96,'المبيعات اليومية'!$A$9:$A$308,"&gt;="&amp;IF($B$4="",0,$B$4),'المبيعات اليومية'!$A$9:$A$308,"&lt;="&amp;IF($B$5="",2958465,$B$5))))</f>
        <v/>
      </c>
      <c r="I96" s="29" t="str">
        <f aca="false">IF(OR($C96="",$H$108=0),"",H96/$H$108)</f>
        <v/>
      </c>
      <c r="J96" s="21" t="str">
        <f aca="false">IF(C96="","",IF(D96&gt;0,"نشط","لا يوجد مبيعات"))</f>
        <v/>
      </c>
    </row>
    <row r="97" customFormat="false" ht="15" hidden="false" customHeight="false" outlineLevel="0" collapsed="false">
      <c r="A97" s="21" t="str">
        <f aca="false">IF(C97="","",90)</f>
        <v/>
      </c>
      <c r="B97" s="21" t="str">
        <f aca="false">IF('دليل العملاء'!$B$93="","",'دليل العملاء'!$A$93)</f>
        <v/>
      </c>
      <c r="C97" s="4" t="str">
        <f aca="false">IF('دليل العملاء'!$B$93="","",'دليل العملاء'!$B$93)</f>
        <v/>
      </c>
      <c r="D97" s="27" t="str">
        <f aca="false">IF($C97="","",IF($B$4&amp;$B$5="",COUNTIFS('المبيعات اليومية'!$B$9:$B$308,$C97),COUNTIFS('المبيعات اليومية'!$B$9:$B$308,$C97,'المبيعات اليومية'!$A$9:$A$308,"&gt;="&amp;IF($B$4="",0,$B$4),'المبيعات اليومية'!$A$9:$A$308,"&lt;="&amp;IF($B$5="",2958465,$B$5))))</f>
        <v/>
      </c>
      <c r="E97" s="28" t="str">
        <f aca="false">IF($C97="","",IF($B$4&amp;$B$5="",SUMIFS('المبيعات اليومية'!$E$9:$E$308,'المبيعات اليومية'!$B$9:$B$308,$C97),SUMIFS('المبيعات اليومية'!$E$9:$E$308,'المبيعات اليومية'!$B$9:$B$308,$C97,'المبيعات اليومية'!$A$9:$A$308,"&gt;="&amp;IF($B$4="",0,$B$4),'المبيعات اليومية'!$A$9:$A$308,"&lt;="&amp;IF($B$5="",2958465,$B$5))))</f>
        <v/>
      </c>
      <c r="F97" s="19" t="str">
        <f aca="false">IF($C97="","",IF($B$4&amp;$B$5="",SUMIFS('المبيعات اليومية'!$H$9:$H$308,'المبيعات اليومية'!$B$9:$B$308,$C97),SUMIFS('المبيعات اليومية'!$H$9:$H$308,'المبيعات اليومية'!$B$9:$B$308,$C97,'المبيعات اليومية'!$A$9:$A$308,"&gt;="&amp;IF($B$4="",0,$B$4),'المبيعات اليومية'!$A$9:$A$308,"&lt;="&amp;IF($B$5="",2958465,$B$5))))</f>
        <v/>
      </c>
      <c r="G97" s="19" t="str">
        <f aca="false">IF($C97="","",IF($B$4&amp;$B$5="",SUMIFS('المبيعات اليومية'!$I$9:$I$308,'المبيعات اليومية'!$B$9:$B$308,$C97),SUMIFS('المبيعات اليومية'!$I$9:$I$308,'المبيعات اليومية'!$B$9:$B$308,$C97,'المبيعات اليومية'!$A$9:$A$308,"&gt;="&amp;IF($B$4="",0,$B$4),'المبيعات اليومية'!$A$9:$A$308,"&lt;="&amp;IF($B$5="",2958465,$B$5))))</f>
        <v/>
      </c>
      <c r="H97" s="20" t="str">
        <f aca="false">IF($C97="","",IF($B$4&amp;$B$5="",SUMIFS('المبيعات اليومية'!$J$9:$J$308,'المبيعات اليومية'!$B$9:$B$308,$C97),SUMIFS('المبيعات اليومية'!$J$9:$J$308,'المبيعات اليومية'!$B$9:$B$308,$C97,'المبيعات اليومية'!$A$9:$A$308,"&gt;="&amp;IF($B$4="",0,$B$4),'المبيعات اليومية'!$A$9:$A$308,"&lt;="&amp;IF($B$5="",2958465,$B$5))))</f>
        <v/>
      </c>
      <c r="I97" s="29" t="str">
        <f aca="false">IF(OR($C97="",$H$108=0),"",H97/$H$108)</f>
        <v/>
      </c>
      <c r="J97" s="21" t="str">
        <f aca="false">IF(C97="","",IF(D97&gt;0,"نشط","لا يوجد مبيعات"))</f>
        <v/>
      </c>
    </row>
    <row r="98" customFormat="false" ht="15" hidden="false" customHeight="false" outlineLevel="0" collapsed="false">
      <c r="A98" s="21" t="str">
        <f aca="false">IF(C98="","",91)</f>
        <v/>
      </c>
      <c r="B98" s="21" t="str">
        <f aca="false">IF('دليل العملاء'!$B$94="","",'دليل العملاء'!$A$94)</f>
        <v/>
      </c>
      <c r="C98" s="4" t="str">
        <f aca="false">IF('دليل العملاء'!$B$94="","",'دليل العملاء'!$B$94)</f>
        <v/>
      </c>
      <c r="D98" s="27" t="str">
        <f aca="false">IF($C98="","",IF($B$4&amp;$B$5="",COUNTIFS('المبيعات اليومية'!$B$9:$B$308,$C98),COUNTIFS('المبيعات اليومية'!$B$9:$B$308,$C98,'المبيعات اليومية'!$A$9:$A$308,"&gt;="&amp;IF($B$4="",0,$B$4),'المبيعات اليومية'!$A$9:$A$308,"&lt;="&amp;IF($B$5="",2958465,$B$5))))</f>
        <v/>
      </c>
      <c r="E98" s="28" t="str">
        <f aca="false">IF($C98="","",IF($B$4&amp;$B$5="",SUMIFS('المبيعات اليومية'!$E$9:$E$308,'المبيعات اليومية'!$B$9:$B$308,$C98),SUMIFS('المبيعات اليومية'!$E$9:$E$308,'المبيعات اليومية'!$B$9:$B$308,$C98,'المبيعات اليومية'!$A$9:$A$308,"&gt;="&amp;IF($B$4="",0,$B$4),'المبيعات اليومية'!$A$9:$A$308,"&lt;="&amp;IF($B$5="",2958465,$B$5))))</f>
        <v/>
      </c>
      <c r="F98" s="19" t="str">
        <f aca="false">IF($C98="","",IF($B$4&amp;$B$5="",SUMIFS('المبيعات اليومية'!$H$9:$H$308,'المبيعات اليومية'!$B$9:$B$308,$C98),SUMIFS('المبيعات اليومية'!$H$9:$H$308,'المبيعات اليومية'!$B$9:$B$308,$C98,'المبيعات اليومية'!$A$9:$A$308,"&gt;="&amp;IF($B$4="",0,$B$4),'المبيعات اليومية'!$A$9:$A$308,"&lt;="&amp;IF($B$5="",2958465,$B$5))))</f>
        <v/>
      </c>
      <c r="G98" s="19" t="str">
        <f aca="false">IF($C98="","",IF($B$4&amp;$B$5="",SUMIFS('المبيعات اليومية'!$I$9:$I$308,'المبيعات اليومية'!$B$9:$B$308,$C98),SUMIFS('المبيعات اليومية'!$I$9:$I$308,'المبيعات اليومية'!$B$9:$B$308,$C98,'المبيعات اليومية'!$A$9:$A$308,"&gt;="&amp;IF($B$4="",0,$B$4),'المبيعات اليومية'!$A$9:$A$308,"&lt;="&amp;IF($B$5="",2958465,$B$5))))</f>
        <v/>
      </c>
      <c r="H98" s="20" t="str">
        <f aca="false">IF($C98="","",IF($B$4&amp;$B$5="",SUMIFS('المبيعات اليومية'!$J$9:$J$308,'المبيعات اليومية'!$B$9:$B$308,$C98),SUMIFS('المبيعات اليومية'!$J$9:$J$308,'المبيعات اليومية'!$B$9:$B$308,$C98,'المبيعات اليومية'!$A$9:$A$308,"&gt;="&amp;IF($B$4="",0,$B$4),'المبيعات اليومية'!$A$9:$A$308,"&lt;="&amp;IF($B$5="",2958465,$B$5))))</f>
        <v/>
      </c>
      <c r="I98" s="29" t="str">
        <f aca="false">IF(OR($C98="",$H$108=0),"",H98/$H$108)</f>
        <v/>
      </c>
      <c r="J98" s="21" t="str">
        <f aca="false">IF(C98="","",IF(D98&gt;0,"نشط","لا يوجد مبيعات"))</f>
        <v/>
      </c>
    </row>
    <row r="99" customFormat="false" ht="15" hidden="false" customHeight="false" outlineLevel="0" collapsed="false">
      <c r="A99" s="21" t="str">
        <f aca="false">IF(C99="","",92)</f>
        <v/>
      </c>
      <c r="B99" s="21" t="str">
        <f aca="false">IF('دليل العملاء'!$B$95="","",'دليل العملاء'!$A$95)</f>
        <v/>
      </c>
      <c r="C99" s="4" t="str">
        <f aca="false">IF('دليل العملاء'!$B$95="","",'دليل العملاء'!$B$95)</f>
        <v/>
      </c>
      <c r="D99" s="27" t="str">
        <f aca="false">IF($C99="","",IF($B$4&amp;$B$5="",COUNTIFS('المبيعات اليومية'!$B$9:$B$308,$C99),COUNTIFS('المبيعات اليومية'!$B$9:$B$308,$C99,'المبيعات اليومية'!$A$9:$A$308,"&gt;="&amp;IF($B$4="",0,$B$4),'المبيعات اليومية'!$A$9:$A$308,"&lt;="&amp;IF($B$5="",2958465,$B$5))))</f>
        <v/>
      </c>
      <c r="E99" s="28" t="str">
        <f aca="false">IF($C99="","",IF($B$4&amp;$B$5="",SUMIFS('المبيعات اليومية'!$E$9:$E$308,'المبيعات اليومية'!$B$9:$B$308,$C99),SUMIFS('المبيعات اليومية'!$E$9:$E$308,'المبيعات اليومية'!$B$9:$B$308,$C99,'المبيعات اليومية'!$A$9:$A$308,"&gt;="&amp;IF($B$4="",0,$B$4),'المبيعات اليومية'!$A$9:$A$308,"&lt;="&amp;IF($B$5="",2958465,$B$5))))</f>
        <v/>
      </c>
      <c r="F99" s="19" t="str">
        <f aca="false">IF($C99="","",IF($B$4&amp;$B$5="",SUMIFS('المبيعات اليومية'!$H$9:$H$308,'المبيعات اليومية'!$B$9:$B$308,$C99),SUMIFS('المبيعات اليومية'!$H$9:$H$308,'المبيعات اليومية'!$B$9:$B$308,$C99,'المبيعات اليومية'!$A$9:$A$308,"&gt;="&amp;IF($B$4="",0,$B$4),'المبيعات اليومية'!$A$9:$A$308,"&lt;="&amp;IF($B$5="",2958465,$B$5))))</f>
        <v/>
      </c>
      <c r="G99" s="19" t="str">
        <f aca="false">IF($C99="","",IF($B$4&amp;$B$5="",SUMIFS('المبيعات اليومية'!$I$9:$I$308,'المبيعات اليومية'!$B$9:$B$308,$C99),SUMIFS('المبيعات اليومية'!$I$9:$I$308,'المبيعات اليومية'!$B$9:$B$308,$C99,'المبيعات اليومية'!$A$9:$A$308,"&gt;="&amp;IF($B$4="",0,$B$4),'المبيعات اليومية'!$A$9:$A$308,"&lt;="&amp;IF($B$5="",2958465,$B$5))))</f>
        <v/>
      </c>
      <c r="H99" s="20" t="str">
        <f aca="false">IF($C99="","",IF($B$4&amp;$B$5="",SUMIFS('المبيعات اليومية'!$J$9:$J$308,'المبيعات اليومية'!$B$9:$B$308,$C99),SUMIFS('المبيعات اليومية'!$J$9:$J$308,'المبيعات اليومية'!$B$9:$B$308,$C99,'المبيعات اليومية'!$A$9:$A$308,"&gt;="&amp;IF($B$4="",0,$B$4),'المبيعات اليومية'!$A$9:$A$308,"&lt;="&amp;IF($B$5="",2958465,$B$5))))</f>
        <v/>
      </c>
      <c r="I99" s="29" t="str">
        <f aca="false">IF(OR($C99="",$H$108=0),"",H99/$H$108)</f>
        <v/>
      </c>
      <c r="J99" s="21" t="str">
        <f aca="false">IF(C99="","",IF(D99&gt;0,"نشط","لا يوجد مبيعات"))</f>
        <v/>
      </c>
    </row>
    <row r="100" customFormat="false" ht="15" hidden="false" customHeight="false" outlineLevel="0" collapsed="false">
      <c r="A100" s="21" t="str">
        <f aca="false">IF(C100="","",93)</f>
        <v/>
      </c>
      <c r="B100" s="21" t="str">
        <f aca="false">IF('دليل العملاء'!$B$96="","",'دليل العملاء'!$A$96)</f>
        <v/>
      </c>
      <c r="C100" s="4" t="str">
        <f aca="false">IF('دليل العملاء'!$B$96="","",'دليل العملاء'!$B$96)</f>
        <v/>
      </c>
      <c r="D100" s="27" t="str">
        <f aca="false">IF($C100="","",IF($B$4&amp;$B$5="",COUNTIFS('المبيعات اليومية'!$B$9:$B$308,$C100),COUNTIFS('المبيعات اليومية'!$B$9:$B$308,$C100,'المبيعات اليومية'!$A$9:$A$308,"&gt;="&amp;IF($B$4="",0,$B$4),'المبيعات اليومية'!$A$9:$A$308,"&lt;="&amp;IF($B$5="",2958465,$B$5))))</f>
        <v/>
      </c>
      <c r="E100" s="28" t="str">
        <f aca="false">IF($C100="","",IF($B$4&amp;$B$5="",SUMIFS('المبيعات اليومية'!$E$9:$E$308,'المبيعات اليومية'!$B$9:$B$308,$C100),SUMIFS('المبيعات اليومية'!$E$9:$E$308,'المبيعات اليومية'!$B$9:$B$308,$C100,'المبيعات اليومية'!$A$9:$A$308,"&gt;="&amp;IF($B$4="",0,$B$4),'المبيعات اليومية'!$A$9:$A$308,"&lt;="&amp;IF($B$5="",2958465,$B$5))))</f>
        <v/>
      </c>
      <c r="F100" s="19" t="str">
        <f aca="false">IF($C100="","",IF($B$4&amp;$B$5="",SUMIFS('المبيعات اليومية'!$H$9:$H$308,'المبيعات اليومية'!$B$9:$B$308,$C100),SUMIFS('المبيعات اليومية'!$H$9:$H$308,'المبيعات اليومية'!$B$9:$B$308,$C100,'المبيعات اليومية'!$A$9:$A$308,"&gt;="&amp;IF($B$4="",0,$B$4),'المبيعات اليومية'!$A$9:$A$308,"&lt;="&amp;IF($B$5="",2958465,$B$5))))</f>
        <v/>
      </c>
      <c r="G100" s="19" t="str">
        <f aca="false">IF($C100="","",IF($B$4&amp;$B$5="",SUMIFS('المبيعات اليومية'!$I$9:$I$308,'المبيعات اليومية'!$B$9:$B$308,$C100),SUMIFS('المبيعات اليومية'!$I$9:$I$308,'المبيعات اليومية'!$B$9:$B$308,$C100,'المبيعات اليومية'!$A$9:$A$308,"&gt;="&amp;IF($B$4="",0,$B$4),'المبيعات اليومية'!$A$9:$A$308,"&lt;="&amp;IF($B$5="",2958465,$B$5))))</f>
        <v/>
      </c>
      <c r="H100" s="20" t="str">
        <f aca="false">IF($C100="","",IF($B$4&amp;$B$5="",SUMIFS('المبيعات اليومية'!$J$9:$J$308,'المبيعات اليومية'!$B$9:$B$308,$C100),SUMIFS('المبيعات اليومية'!$J$9:$J$308,'المبيعات اليومية'!$B$9:$B$308,$C100,'المبيعات اليومية'!$A$9:$A$308,"&gt;="&amp;IF($B$4="",0,$B$4),'المبيعات اليومية'!$A$9:$A$308,"&lt;="&amp;IF($B$5="",2958465,$B$5))))</f>
        <v/>
      </c>
      <c r="I100" s="29" t="str">
        <f aca="false">IF(OR($C100="",$H$108=0),"",H100/$H$108)</f>
        <v/>
      </c>
      <c r="J100" s="21" t="str">
        <f aca="false">IF(C100="","",IF(D100&gt;0,"نشط","لا يوجد مبيعات"))</f>
        <v/>
      </c>
    </row>
    <row r="101" customFormat="false" ht="15" hidden="false" customHeight="false" outlineLevel="0" collapsed="false">
      <c r="A101" s="21" t="str">
        <f aca="false">IF(C101="","",94)</f>
        <v/>
      </c>
      <c r="B101" s="21" t="str">
        <f aca="false">IF('دليل العملاء'!$B$97="","",'دليل العملاء'!$A$97)</f>
        <v/>
      </c>
      <c r="C101" s="4" t="str">
        <f aca="false">IF('دليل العملاء'!$B$97="","",'دليل العملاء'!$B$97)</f>
        <v/>
      </c>
      <c r="D101" s="27" t="str">
        <f aca="false">IF($C101="","",IF($B$4&amp;$B$5="",COUNTIFS('المبيعات اليومية'!$B$9:$B$308,$C101),COUNTIFS('المبيعات اليومية'!$B$9:$B$308,$C101,'المبيعات اليومية'!$A$9:$A$308,"&gt;="&amp;IF($B$4="",0,$B$4),'المبيعات اليومية'!$A$9:$A$308,"&lt;="&amp;IF($B$5="",2958465,$B$5))))</f>
        <v/>
      </c>
      <c r="E101" s="28" t="str">
        <f aca="false">IF($C101="","",IF($B$4&amp;$B$5="",SUMIFS('المبيعات اليومية'!$E$9:$E$308,'المبيعات اليومية'!$B$9:$B$308,$C101),SUMIFS('المبيعات اليومية'!$E$9:$E$308,'المبيعات اليومية'!$B$9:$B$308,$C101,'المبيعات اليومية'!$A$9:$A$308,"&gt;="&amp;IF($B$4="",0,$B$4),'المبيعات اليومية'!$A$9:$A$308,"&lt;="&amp;IF($B$5="",2958465,$B$5))))</f>
        <v/>
      </c>
      <c r="F101" s="19" t="str">
        <f aca="false">IF($C101="","",IF($B$4&amp;$B$5="",SUMIFS('المبيعات اليومية'!$H$9:$H$308,'المبيعات اليومية'!$B$9:$B$308,$C101),SUMIFS('المبيعات اليومية'!$H$9:$H$308,'المبيعات اليومية'!$B$9:$B$308,$C101,'المبيعات اليومية'!$A$9:$A$308,"&gt;="&amp;IF($B$4="",0,$B$4),'المبيعات اليومية'!$A$9:$A$308,"&lt;="&amp;IF($B$5="",2958465,$B$5))))</f>
        <v/>
      </c>
      <c r="G101" s="19" t="str">
        <f aca="false">IF($C101="","",IF($B$4&amp;$B$5="",SUMIFS('المبيعات اليومية'!$I$9:$I$308,'المبيعات اليومية'!$B$9:$B$308,$C101),SUMIFS('المبيعات اليومية'!$I$9:$I$308,'المبيعات اليومية'!$B$9:$B$308,$C101,'المبيعات اليومية'!$A$9:$A$308,"&gt;="&amp;IF($B$4="",0,$B$4),'المبيعات اليومية'!$A$9:$A$308,"&lt;="&amp;IF($B$5="",2958465,$B$5))))</f>
        <v/>
      </c>
      <c r="H101" s="20" t="str">
        <f aca="false">IF($C101="","",IF($B$4&amp;$B$5="",SUMIFS('المبيعات اليومية'!$J$9:$J$308,'المبيعات اليومية'!$B$9:$B$308,$C101),SUMIFS('المبيعات اليومية'!$J$9:$J$308,'المبيعات اليومية'!$B$9:$B$308,$C101,'المبيعات اليومية'!$A$9:$A$308,"&gt;="&amp;IF($B$4="",0,$B$4),'المبيعات اليومية'!$A$9:$A$308,"&lt;="&amp;IF($B$5="",2958465,$B$5))))</f>
        <v/>
      </c>
      <c r="I101" s="29" t="str">
        <f aca="false">IF(OR($C101="",$H$108=0),"",H101/$H$108)</f>
        <v/>
      </c>
      <c r="J101" s="21" t="str">
        <f aca="false">IF(C101="","",IF(D101&gt;0,"نشط","لا يوجد مبيعات"))</f>
        <v/>
      </c>
    </row>
    <row r="102" customFormat="false" ht="15" hidden="false" customHeight="false" outlineLevel="0" collapsed="false">
      <c r="A102" s="21" t="str">
        <f aca="false">IF(C102="","",95)</f>
        <v/>
      </c>
      <c r="B102" s="21" t="str">
        <f aca="false">IF('دليل العملاء'!$B$98="","",'دليل العملاء'!$A$98)</f>
        <v/>
      </c>
      <c r="C102" s="4" t="str">
        <f aca="false">IF('دليل العملاء'!$B$98="","",'دليل العملاء'!$B$98)</f>
        <v/>
      </c>
      <c r="D102" s="27" t="str">
        <f aca="false">IF($C102="","",IF($B$4&amp;$B$5="",COUNTIFS('المبيعات اليومية'!$B$9:$B$308,$C102),COUNTIFS('المبيعات اليومية'!$B$9:$B$308,$C102,'المبيعات اليومية'!$A$9:$A$308,"&gt;="&amp;IF($B$4="",0,$B$4),'المبيعات اليومية'!$A$9:$A$308,"&lt;="&amp;IF($B$5="",2958465,$B$5))))</f>
        <v/>
      </c>
      <c r="E102" s="28" t="str">
        <f aca="false">IF($C102="","",IF($B$4&amp;$B$5="",SUMIFS('المبيعات اليومية'!$E$9:$E$308,'المبيعات اليومية'!$B$9:$B$308,$C102),SUMIFS('المبيعات اليومية'!$E$9:$E$308,'المبيعات اليومية'!$B$9:$B$308,$C102,'المبيعات اليومية'!$A$9:$A$308,"&gt;="&amp;IF($B$4="",0,$B$4),'المبيعات اليومية'!$A$9:$A$308,"&lt;="&amp;IF($B$5="",2958465,$B$5))))</f>
        <v/>
      </c>
      <c r="F102" s="19" t="str">
        <f aca="false">IF($C102="","",IF($B$4&amp;$B$5="",SUMIFS('المبيعات اليومية'!$H$9:$H$308,'المبيعات اليومية'!$B$9:$B$308,$C102),SUMIFS('المبيعات اليومية'!$H$9:$H$308,'المبيعات اليومية'!$B$9:$B$308,$C102,'المبيعات اليومية'!$A$9:$A$308,"&gt;="&amp;IF($B$4="",0,$B$4),'المبيعات اليومية'!$A$9:$A$308,"&lt;="&amp;IF($B$5="",2958465,$B$5))))</f>
        <v/>
      </c>
      <c r="G102" s="19" t="str">
        <f aca="false">IF($C102="","",IF($B$4&amp;$B$5="",SUMIFS('المبيعات اليومية'!$I$9:$I$308,'المبيعات اليومية'!$B$9:$B$308,$C102),SUMIFS('المبيعات اليومية'!$I$9:$I$308,'المبيعات اليومية'!$B$9:$B$308,$C102,'المبيعات اليومية'!$A$9:$A$308,"&gt;="&amp;IF($B$4="",0,$B$4),'المبيعات اليومية'!$A$9:$A$308,"&lt;="&amp;IF($B$5="",2958465,$B$5))))</f>
        <v/>
      </c>
      <c r="H102" s="20" t="str">
        <f aca="false">IF($C102="","",IF($B$4&amp;$B$5="",SUMIFS('المبيعات اليومية'!$J$9:$J$308,'المبيعات اليومية'!$B$9:$B$308,$C102),SUMIFS('المبيعات اليومية'!$J$9:$J$308,'المبيعات اليومية'!$B$9:$B$308,$C102,'المبيعات اليومية'!$A$9:$A$308,"&gt;="&amp;IF($B$4="",0,$B$4),'المبيعات اليومية'!$A$9:$A$308,"&lt;="&amp;IF($B$5="",2958465,$B$5))))</f>
        <v/>
      </c>
      <c r="I102" s="29" t="str">
        <f aca="false">IF(OR($C102="",$H$108=0),"",H102/$H$108)</f>
        <v/>
      </c>
      <c r="J102" s="21" t="str">
        <f aca="false">IF(C102="","",IF(D102&gt;0,"نشط","لا يوجد مبيعات"))</f>
        <v/>
      </c>
    </row>
    <row r="103" customFormat="false" ht="15" hidden="false" customHeight="false" outlineLevel="0" collapsed="false">
      <c r="A103" s="21" t="str">
        <f aca="false">IF(C103="","",96)</f>
        <v/>
      </c>
      <c r="B103" s="21" t="str">
        <f aca="false">IF('دليل العملاء'!$B$99="","",'دليل العملاء'!$A$99)</f>
        <v/>
      </c>
      <c r="C103" s="4" t="str">
        <f aca="false">IF('دليل العملاء'!$B$99="","",'دليل العملاء'!$B$99)</f>
        <v/>
      </c>
      <c r="D103" s="27" t="str">
        <f aca="false">IF($C103="","",IF($B$4&amp;$B$5="",COUNTIFS('المبيعات اليومية'!$B$9:$B$308,$C103),COUNTIFS('المبيعات اليومية'!$B$9:$B$308,$C103,'المبيعات اليومية'!$A$9:$A$308,"&gt;="&amp;IF($B$4="",0,$B$4),'المبيعات اليومية'!$A$9:$A$308,"&lt;="&amp;IF($B$5="",2958465,$B$5))))</f>
        <v/>
      </c>
      <c r="E103" s="28" t="str">
        <f aca="false">IF($C103="","",IF($B$4&amp;$B$5="",SUMIFS('المبيعات اليومية'!$E$9:$E$308,'المبيعات اليومية'!$B$9:$B$308,$C103),SUMIFS('المبيعات اليومية'!$E$9:$E$308,'المبيعات اليومية'!$B$9:$B$308,$C103,'المبيعات اليومية'!$A$9:$A$308,"&gt;="&amp;IF($B$4="",0,$B$4),'المبيعات اليومية'!$A$9:$A$308,"&lt;="&amp;IF($B$5="",2958465,$B$5))))</f>
        <v/>
      </c>
      <c r="F103" s="19" t="str">
        <f aca="false">IF($C103="","",IF($B$4&amp;$B$5="",SUMIFS('المبيعات اليومية'!$H$9:$H$308,'المبيعات اليومية'!$B$9:$B$308,$C103),SUMIFS('المبيعات اليومية'!$H$9:$H$308,'المبيعات اليومية'!$B$9:$B$308,$C103,'المبيعات اليومية'!$A$9:$A$308,"&gt;="&amp;IF($B$4="",0,$B$4),'المبيعات اليومية'!$A$9:$A$308,"&lt;="&amp;IF($B$5="",2958465,$B$5))))</f>
        <v/>
      </c>
      <c r="G103" s="19" t="str">
        <f aca="false">IF($C103="","",IF($B$4&amp;$B$5="",SUMIFS('المبيعات اليومية'!$I$9:$I$308,'المبيعات اليومية'!$B$9:$B$308,$C103),SUMIFS('المبيعات اليومية'!$I$9:$I$308,'المبيعات اليومية'!$B$9:$B$308,$C103,'المبيعات اليومية'!$A$9:$A$308,"&gt;="&amp;IF($B$4="",0,$B$4),'المبيعات اليومية'!$A$9:$A$308,"&lt;="&amp;IF($B$5="",2958465,$B$5))))</f>
        <v/>
      </c>
      <c r="H103" s="20" t="str">
        <f aca="false">IF($C103="","",IF($B$4&amp;$B$5="",SUMIFS('المبيعات اليومية'!$J$9:$J$308,'المبيعات اليومية'!$B$9:$B$308,$C103),SUMIFS('المبيعات اليومية'!$J$9:$J$308,'المبيعات اليومية'!$B$9:$B$308,$C103,'المبيعات اليومية'!$A$9:$A$308,"&gt;="&amp;IF($B$4="",0,$B$4),'المبيعات اليومية'!$A$9:$A$308,"&lt;="&amp;IF($B$5="",2958465,$B$5))))</f>
        <v/>
      </c>
      <c r="I103" s="29" t="str">
        <f aca="false">IF(OR($C103="",$H$108=0),"",H103/$H$108)</f>
        <v/>
      </c>
      <c r="J103" s="21" t="str">
        <f aca="false">IF(C103="","",IF(D103&gt;0,"نشط","لا يوجد مبيعات"))</f>
        <v/>
      </c>
    </row>
    <row r="104" customFormat="false" ht="15" hidden="false" customHeight="false" outlineLevel="0" collapsed="false">
      <c r="A104" s="21" t="str">
        <f aca="false">IF(C104="","",97)</f>
        <v/>
      </c>
      <c r="B104" s="21" t="str">
        <f aca="false">IF('دليل العملاء'!$B$100="","",'دليل العملاء'!$A$100)</f>
        <v/>
      </c>
      <c r="C104" s="4" t="str">
        <f aca="false">IF('دليل العملاء'!$B$100="","",'دليل العملاء'!$B$100)</f>
        <v/>
      </c>
      <c r="D104" s="27" t="str">
        <f aca="false">IF($C104="","",IF($B$4&amp;$B$5="",COUNTIFS('المبيعات اليومية'!$B$9:$B$308,$C104),COUNTIFS('المبيعات اليومية'!$B$9:$B$308,$C104,'المبيعات اليومية'!$A$9:$A$308,"&gt;="&amp;IF($B$4="",0,$B$4),'المبيعات اليومية'!$A$9:$A$308,"&lt;="&amp;IF($B$5="",2958465,$B$5))))</f>
        <v/>
      </c>
      <c r="E104" s="28" t="str">
        <f aca="false">IF($C104="","",IF($B$4&amp;$B$5="",SUMIFS('المبيعات اليومية'!$E$9:$E$308,'المبيعات اليومية'!$B$9:$B$308,$C104),SUMIFS('المبيعات اليومية'!$E$9:$E$308,'المبيعات اليومية'!$B$9:$B$308,$C104,'المبيعات اليومية'!$A$9:$A$308,"&gt;="&amp;IF($B$4="",0,$B$4),'المبيعات اليومية'!$A$9:$A$308,"&lt;="&amp;IF($B$5="",2958465,$B$5))))</f>
        <v/>
      </c>
      <c r="F104" s="19" t="str">
        <f aca="false">IF($C104="","",IF($B$4&amp;$B$5="",SUMIFS('المبيعات اليومية'!$H$9:$H$308,'المبيعات اليومية'!$B$9:$B$308,$C104),SUMIFS('المبيعات اليومية'!$H$9:$H$308,'المبيعات اليومية'!$B$9:$B$308,$C104,'المبيعات اليومية'!$A$9:$A$308,"&gt;="&amp;IF($B$4="",0,$B$4),'المبيعات اليومية'!$A$9:$A$308,"&lt;="&amp;IF($B$5="",2958465,$B$5))))</f>
        <v/>
      </c>
      <c r="G104" s="19" t="str">
        <f aca="false">IF($C104="","",IF($B$4&amp;$B$5="",SUMIFS('المبيعات اليومية'!$I$9:$I$308,'المبيعات اليومية'!$B$9:$B$308,$C104),SUMIFS('المبيعات اليومية'!$I$9:$I$308,'المبيعات اليومية'!$B$9:$B$308,$C104,'المبيعات اليومية'!$A$9:$A$308,"&gt;="&amp;IF($B$4="",0,$B$4),'المبيعات اليومية'!$A$9:$A$308,"&lt;="&amp;IF($B$5="",2958465,$B$5))))</f>
        <v/>
      </c>
      <c r="H104" s="20" t="str">
        <f aca="false">IF($C104="","",IF($B$4&amp;$B$5="",SUMIFS('المبيعات اليومية'!$J$9:$J$308,'المبيعات اليومية'!$B$9:$B$308,$C104),SUMIFS('المبيعات اليومية'!$J$9:$J$308,'المبيعات اليومية'!$B$9:$B$308,$C104,'المبيعات اليومية'!$A$9:$A$308,"&gt;="&amp;IF($B$4="",0,$B$4),'المبيعات اليومية'!$A$9:$A$308,"&lt;="&amp;IF($B$5="",2958465,$B$5))))</f>
        <v/>
      </c>
      <c r="I104" s="29" t="str">
        <f aca="false">IF(OR($C104="",$H$108=0),"",H104/$H$108)</f>
        <v/>
      </c>
      <c r="J104" s="21" t="str">
        <f aca="false">IF(C104="","",IF(D104&gt;0,"نشط","لا يوجد مبيعات"))</f>
        <v/>
      </c>
    </row>
    <row r="105" customFormat="false" ht="15" hidden="false" customHeight="false" outlineLevel="0" collapsed="false">
      <c r="A105" s="21" t="str">
        <f aca="false">IF(C105="","",98)</f>
        <v/>
      </c>
      <c r="B105" s="21" t="str">
        <f aca="false">IF('دليل العملاء'!$B$101="","",'دليل العملاء'!$A$101)</f>
        <v/>
      </c>
      <c r="C105" s="4" t="str">
        <f aca="false">IF('دليل العملاء'!$B$101="","",'دليل العملاء'!$B$101)</f>
        <v/>
      </c>
      <c r="D105" s="27" t="str">
        <f aca="false">IF($C105="","",IF($B$4&amp;$B$5="",COUNTIFS('المبيعات اليومية'!$B$9:$B$308,$C105),COUNTIFS('المبيعات اليومية'!$B$9:$B$308,$C105,'المبيعات اليومية'!$A$9:$A$308,"&gt;="&amp;IF($B$4="",0,$B$4),'المبيعات اليومية'!$A$9:$A$308,"&lt;="&amp;IF($B$5="",2958465,$B$5))))</f>
        <v/>
      </c>
      <c r="E105" s="28" t="str">
        <f aca="false">IF($C105="","",IF($B$4&amp;$B$5="",SUMIFS('المبيعات اليومية'!$E$9:$E$308,'المبيعات اليومية'!$B$9:$B$308,$C105),SUMIFS('المبيعات اليومية'!$E$9:$E$308,'المبيعات اليومية'!$B$9:$B$308,$C105,'المبيعات اليومية'!$A$9:$A$308,"&gt;="&amp;IF($B$4="",0,$B$4),'المبيعات اليومية'!$A$9:$A$308,"&lt;="&amp;IF($B$5="",2958465,$B$5))))</f>
        <v/>
      </c>
      <c r="F105" s="19" t="str">
        <f aca="false">IF($C105="","",IF($B$4&amp;$B$5="",SUMIFS('المبيعات اليومية'!$H$9:$H$308,'المبيعات اليومية'!$B$9:$B$308,$C105),SUMIFS('المبيعات اليومية'!$H$9:$H$308,'المبيعات اليومية'!$B$9:$B$308,$C105,'المبيعات اليومية'!$A$9:$A$308,"&gt;="&amp;IF($B$4="",0,$B$4),'المبيعات اليومية'!$A$9:$A$308,"&lt;="&amp;IF($B$5="",2958465,$B$5))))</f>
        <v/>
      </c>
      <c r="G105" s="19" t="str">
        <f aca="false">IF($C105="","",IF($B$4&amp;$B$5="",SUMIFS('المبيعات اليومية'!$I$9:$I$308,'المبيعات اليومية'!$B$9:$B$308,$C105),SUMIFS('المبيعات اليومية'!$I$9:$I$308,'المبيعات اليومية'!$B$9:$B$308,$C105,'المبيعات اليومية'!$A$9:$A$308,"&gt;="&amp;IF($B$4="",0,$B$4),'المبيعات اليومية'!$A$9:$A$308,"&lt;="&amp;IF($B$5="",2958465,$B$5))))</f>
        <v/>
      </c>
      <c r="H105" s="20" t="str">
        <f aca="false">IF($C105="","",IF($B$4&amp;$B$5="",SUMIFS('المبيعات اليومية'!$J$9:$J$308,'المبيعات اليومية'!$B$9:$B$308,$C105),SUMIFS('المبيعات اليومية'!$J$9:$J$308,'المبيعات اليومية'!$B$9:$B$308,$C105,'المبيعات اليومية'!$A$9:$A$308,"&gt;="&amp;IF($B$4="",0,$B$4),'المبيعات اليومية'!$A$9:$A$308,"&lt;="&amp;IF($B$5="",2958465,$B$5))))</f>
        <v/>
      </c>
      <c r="I105" s="29" t="str">
        <f aca="false">IF(OR($C105="",$H$108=0),"",H105/$H$108)</f>
        <v/>
      </c>
      <c r="J105" s="21" t="str">
        <f aca="false">IF(C105="","",IF(D105&gt;0,"نشط","لا يوجد مبيعات"))</f>
        <v/>
      </c>
    </row>
    <row r="106" customFormat="false" ht="15" hidden="false" customHeight="false" outlineLevel="0" collapsed="false">
      <c r="A106" s="21" t="str">
        <f aca="false">IF(C106="","",99)</f>
        <v/>
      </c>
      <c r="B106" s="21" t="str">
        <f aca="false">IF('دليل العملاء'!$B$102="","",'دليل العملاء'!$A$102)</f>
        <v/>
      </c>
      <c r="C106" s="4" t="str">
        <f aca="false">IF('دليل العملاء'!$B$102="","",'دليل العملاء'!$B$102)</f>
        <v/>
      </c>
      <c r="D106" s="27" t="str">
        <f aca="false">IF($C106="","",IF($B$4&amp;$B$5="",COUNTIFS('المبيعات اليومية'!$B$9:$B$308,$C106),COUNTIFS('المبيعات اليومية'!$B$9:$B$308,$C106,'المبيعات اليومية'!$A$9:$A$308,"&gt;="&amp;IF($B$4="",0,$B$4),'المبيعات اليومية'!$A$9:$A$308,"&lt;="&amp;IF($B$5="",2958465,$B$5))))</f>
        <v/>
      </c>
      <c r="E106" s="28" t="str">
        <f aca="false">IF($C106="","",IF($B$4&amp;$B$5="",SUMIFS('المبيعات اليومية'!$E$9:$E$308,'المبيعات اليومية'!$B$9:$B$308,$C106),SUMIFS('المبيعات اليومية'!$E$9:$E$308,'المبيعات اليومية'!$B$9:$B$308,$C106,'المبيعات اليومية'!$A$9:$A$308,"&gt;="&amp;IF($B$4="",0,$B$4),'المبيعات اليومية'!$A$9:$A$308,"&lt;="&amp;IF($B$5="",2958465,$B$5))))</f>
        <v/>
      </c>
      <c r="F106" s="19" t="str">
        <f aca="false">IF($C106="","",IF($B$4&amp;$B$5="",SUMIFS('المبيعات اليومية'!$H$9:$H$308,'المبيعات اليومية'!$B$9:$B$308,$C106),SUMIFS('المبيعات اليومية'!$H$9:$H$308,'المبيعات اليومية'!$B$9:$B$308,$C106,'المبيعات اليومية'!$A$9:$A$308,"&gt;="&amp;IF($B$4="",0,$B$4),'المبيعات اليومية'!$A$9:$A$308,"&lt;="&amp;IF($B$5="",2958465,$B$5))))</f>
        <v/>
      </c>
      <c r="G106" s="19" t="str">
        <f aca="false">IF($C106="","",IF($B$4&amp;$B$5="",SUMIFS('المبيعات اليومية'!$I$9:$I$308,'المبيعات اليومية'!$B$9:$B$308,$C106),SUMIFS('المبيعات اليومية'!$I$9:$I$308,'المبيعات اليومية'!$B$9:$B$308,$C106,'المبيعات اليومية'!$A$9:$A$308,"&gt;="&amp;IF($B$4="",0,$B$4),'المبيعات اليومية'!$A$9:$A$308,"&lt;="&amp;IF($B$5="",2958465,$B$5))))</f>
        <v/>
      </c>
      <c r="H106" s="20" t="str">
        <f aca="false">IF($C106="","",IF($B$4&amp;$B$5="",SUMIFS('المبيعات اليومية'!$J$9:$J$308,'المبيعات اليومية'!$B$9:$B$308,$C106),SUMIFS('المبيعات اليومية'!$J$9:$J$308,'المبيعات اليومية'!$B$9:$B$308,$C106,'المبيعات اليومية'!$A$9:$A$308,"&gt;="&amp;IF($B$4="",0,$B$4),'المبيعات اليومية'!$A$9:$A$308,"&lt;="&amp;IF($B$5="",2958465,$B$5))))</f>
        <v/>
      </c>
      <c r="I106" s="29" t="str">
        <f aca="false">IF(OR($C106="",$H$108=0),"",H106/$H$108)</f>
        <v/>
      </c>
      <c r="J106" s="21" t="str">
        <f aca="false">IF(C106="","",IF(D106&gt;0,"نشط","لا يوجد مبيعات"))</f>
        <v/>
      </c>
    </row>
    <row r="107" customFormat="false" ht="15" hidden="false" customHeight="false" outlineLevel="0" collapsed="false">
      <c r="A107" s="21" t="str">
        <f aca="false">IF(C107="","",100)</f>
        <v/>
      </c>
      <c r="B107" s="21" t="str">
        <f aca="false">IF('دليل العملاء'!$B$103="","",'دليل العملاء'!$A$103)</f>
        <v/>
      </c>
      <c r="C107" s="4" t="str">
        <f aca="false">IF('دليل العملاء'!$B$103="","",'دليل العملاء'!$B$103)</f>
        <v/>
      </c>
      <c r="D107" s="27" t="str">
        <f aca="false">IF($C107="","",IF($B$4&amp;$B$5="",COUNTIFS('المبيعات اليومية'!$B$9:$B$308,$C107),COUNTIFS('المبيعات اليومية'!$B$9:$B$308,$C107,'المبيعات اليومية'!$A$9:$A$308,"&gt;="&amp;IF($B$4="",0,$B$4),'المبيعات اليومية'!$A$9:$A$308,"&lt;="&amp;IF($B$5="",2958465,$B$5))))</f>
        <v/>
      </c>
      <c r="E107" s="28" t="str">
        <f aca="false">IF($C107="","",IF($B$4&amp;$B$5="",SUMIFS('المبيعات اليومية'!$E$9:$E$308,'المبيعات اليومية'!$B$9:$B$308,$C107),SUMIFS('المبيعات اليومية'!$E$9:$E$308,'المبيعات اليومية'!$B$9:$B$308,$C107,'المبيعات اليومية'!$A$9:$A$308,"&gt;="&amp;IF($B$4="",0,$B$4),'المبيعات اليومية'!$A$9:$A$308,"&lt;="&amp;IF($B$5="",2958465,$B$5))))</f>
        <v/>
      </c>
      <c r="F107" s="19" t="str">
        <f aca="false">IF($C107="","",IF($B$4&amp;$B$5="",SUMIFS('المبيعات اليومية'!$H$9:$H$308,'المبيعات اليومية'!$B$9:$B$308,$C107),SUMIFS('المبيعات اليومية'!$H$9:$H$308,'المبيعات اليومية'!$B$9:$B$308,$C107,'المبيعات اليومية'!$A$9:$A$308,"&gt;="&amp;IF($B$4="",0,$B$4),'المبيعات اليومية'!$A$9:$A$308,"&lt;="&amp;IF($B$5="",2958465,$B$5))))</f>
        <v/>
      </c>
      <c r="G107" s="19" t="str">
        <f aca="false">IF($C107="","",IF($B$4&amp;$B$5="",SUMIFS('المبيعات اليومية'!$I$9:$I$308,'المبيعات اليومية'!$B$9:$B$308,$C107),SUMIFS('المبيعات اليومية'!$I$9:$I$308,'المبيعات اليومية'!$B$9:$B$308,$C107,'المبيعات اليومية'!$A$9:$A$308,"&gt;="&amp;IF($B$4="",0,$B$4),'المبيعات اليومية'!$A$9:$A$308,"&lt;="&amp;IF($B$5="",2958465,$B$5))))</f>
        <v/>
      </c>
      <c r="H107" s="20" t="str">
        <f aca="false">IF($C107="","",IF($B$4&amp;$B$5="",SUMIFS('المبيعات اليومية'!$J$9:$J$308,'المبيعات اليومية'!$B$9:$B$308,$C107),SUMIFS('المبيعات اليومية'!$J$9:$J$308,'المبيعات اليومية'!$B$9:$B$308,$C107,'المبيعات اليومية'!$A$9:$A$308,"&gt;="&amp;IF($B$4="",0,$B$4),'المبيعات اليومية'!$A$9:$A$308,"&lt;="&amp;IF($B$5="",2958465,$B$5))))</f>
        <v/>
      </c>
      <c r="I107" s="29" t="str">
        <f aca="false">IF(OR($C107="",$H$108=0),"",H107/$H$108)</f>
        <v/>
      </c>
      <c r="J107" s="21" t="str">
        <f aca="false">IF(C107="","",IF(D107&gt;0,"نشط","لا يوجد مبيعات"))</f>
        <v/>
      </c>
    </row>
    <row r="108" customFormat="false" ht="15" hidden="false" customHeight="true" outlineLevel="0" collapsed="false">
      <c r="A108" s="30" t="s">
        <v>90</v>
      </c>
      <c r="B108" s="30"/>
      <c r="C108" s="30"/>
      <c r="D108" s="31" t="n">
        <f aca="false">SUM(D8:D107)</f>
        <v>8</v>
      </c>
      <c r="E108" s="32" t="n">
        <f aca="false">SUM(E8:E107)</f>
        <v>1817</v>
      </c>
      <c r="F108" s="30" t="n">
        <f aca="false">SUM(F8:F107)</f>
        <v>11944.5</v>
      </c>
      <c r="G108" s="30" t="n">
        <f aca="false">SUM(G8:G107)</f>
        <v>1791.68</v>
      </c>
      <c r="H108" s="30" t="n">
        <f aca="false">SUM(H8:H107)</f>
        <v>13736.18</v>
      </c>
      <c r="I108" s="33" t="n">
        <f aca="false">IF(H108=0,"",1)</f>
        <v>1</v>
      </c>
      <c r="J108" s="30"/>
    </row>
    <row r="109" customFormat="false" ht="15" hidden="false" customHeight="true" outlineLevel="0" collapsed="false">
      <c r="A109" s="30" t="s">
        <v>91</v>
      </c>
      <c r="B109" s="30"/>
      <c r="C109" s="30"/>
      <c r="D109" s="30"/>
      <c r="E109" s="30"/>
      <c r="F109" s="30"/>
      <c r="G109" s="30"/>
      <c r="H109" s="30" t="n">
        <f aca="false">ROUND(IF($B$4&amp;$B$5="",SUM('المبيعات اليومية'!$J$9:$J$308),SUMIFS('المبيعات اليومية'!$J$9:$J$308,'المبيعات اليومية'!$A$9:$A$308,"&gt;="&amp;IF($B$4="",0,$B$4),'المبيعات اليومية'!$A$9:$A$308,"&lt;="&amp;IF($B$5="",2958465,$B$5)))-H108,2)</f>
        <v>0</v>
      </c>
      <c r="I109" s="33"/>
      <c r="J109" s="30"/>
    </row>
  </sheetData>
  <mergeCells count="5">
    <mergeCell ref="A1:J1"/>
    <mergeCell ref="A2:J2"/>
    <mergeCell ref="D4:H4"/>
    <mergeCell ref="A108:C108"/>
    <mergeCell ref="A109:G109"/>
  </mergeCells>
  <conditionalFormatting sqref="H109">
    <cfRule type="cellIs" priority="2" operator="notEqual" aboveAverage="0" equalAverage="0" bottom="0" percent="0" rank="0" text="" dxfId="9">
      <formula>0</formula>
    </cfRule>
  </conditionalFormatting>
  <conditionalFormatting sqref="A8:J107">
    <cfRule type="expression" priority="3" aboveAverage="0" equalAverage="0" bottom="0" percent="0" rank="0" text="" dxfId="12">
      <formula>AND($C8&lt;&gt;"",MOD(ROW(),2)=0)</formula>
    </cfRule>
  </conditionalFormatting>
  <conditionalFormatting sqref="J8:J107">
    <cfRule type="cellIs" priority="4" operator="equal" aboveAverage="0" equalAverage="0" bottom="0" percent="0" rank="0" text="" dxfId="13">
      <formula>"نشط"</formula>
    </cfRule>
    <cfRule type="cellIs" priority="5" operator="equal" aboveAverage="0" equalAverage="0" bottom="0" percent="0" rank="0" text="" dxfId="14">
      <formula>"لا يوجد مبيعات"</formula>
    </cfRule>
  </conditionalFormatting>
  <dataValidations count="1">
    <dataValidation allowBlank="true" error="أدخل تاريخاً صحيحاً أو اترك الخلية فارغة." errorStyle="stop" errorTitle="تاريخ غير صحيح" operator="between" showDropDown="false" showErrorMessage="true" showInputMessage="true" sqref="B4:B5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J20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6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7" t="s">
        <v>79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26.85" hidden="false" customHeight="false" outlineLevel="0" collapsed="false">
      <c r="A4" s="24" t="s">
        <v>80</v>
      </c>
      <c r="B4" s="13"/>
      <c r="D4" s="25" t="str">
        <f aca="false">IF(AND(B4&lt;&gt;"",B5&lt;&gt;"",B4&gt;B5),"⚠ تاريخ البداية بعد تاريخ النهاية","")</f>
        <v/>
      </c>
      <c r="E4" s="25"/>
      <c r="F4" s="25"/>
      <c r="G4" s="25"/>
      <c r="H4" s="25"/>
    </row>
    <row r="5" customFormat="false" ht="26.85" hidden="false" customHeight="false" outlineLevel="0" collapsed="false">
      <c r="A5" s="24" t="s">
        <v>81</v>
      </c>
      <c r="B5" s="13"/>
    </row>
    <row r="7" customFormat="false" ht="42" hidden="false" customHeight="true" outlineLevel="0" collapsed="false">
      <c r="A7" s="26" t="s">
        <v>82</v>
      </c>
      <c r="B7" s="26" t="s">
        <v>93</v>
      </c>
      <c r="C7" s="26" t="s">
        <v>94</v>
      </c>
      <c r="D7" s="26" t="s">
        <v>85</v>
      </c>
      <c r="E7" s="26" t="s">
        <v>86</v>
      </c>
      <c r="F7" s="26" t="s">
        <v>47</v>
      </c>
      <c r="G7" s="26" t="s">
        <v>87</v>
      </c>
      <c r="H7" s="26" t="s">
        <v>49</v>
      </c>
      <c r="I7" s="26" t="s">
        <v>88</v>
      </c>
      <c r="J7" s="26" t="s">
        <v>95</v>
      </c>
    </row>
    <row r="8" customFormat="false" ht="15" hidden="false" customHeight="false" outlineLevel="0" collapsed="false">
      <c r="A8" s="21" t="n">
        <f aca="false">IF(C8="","",1)</f>
        <v>1</v>
      </c>
      <c r="B8" s="21" t="n">
        <f aca="false">IF('دليل الأصناف'!$B$4="","",'دليل الأصناف'!$A$4)</f>
        <v>20211</v>
      </c>
      <c r="C8" s="4" t="str">
        <f aca="false">IF('دليل الأصناف'!$B$4="","",'دليل الأصناف'!$B$4)</f>
        <v>بصل كبير</v>
      </c>
      <c r="D8" s="27" t="n">
        <f aca="false">IF($C8="","",IF($B$4&amp;$B$5="",COUNTIFS('المبيعات اليومية'!$C$9:$C$308,$C8),COUNTIFS('المبيعات اليومية'!$C$9:$C$308,$C8,'المبيعات اليومية'!$A$9:$A$308,"&gt;="&amp;IF($B$4="",0,$B$4),'المبيعات اليومية'!$A$9:$A$308,"&lt;="&amp;IF($B$5="",2958465,$B$5))))</f>
        <v>1</v>
      </c>
      <c r="E8" s="28" t="n">
        <f aca="false">IF($C8="","",IF($B$4&amp;$B$5="",SUMIFS('المبيعات اليومية'!$E$9:$E$308,'المبيعات اليومية'!$C$9:$C$308,$C8),SUMIFS('المبيعات اليومية'!$E$9:$E$308,'المبيعات اليومية'!$C$9:$C$308,$C8,'المبيعات اليومية'!$A$9:$A$308,"&gt;="&amp;IF($B$4="",0,$B$4),'المبيعات اليومية'!$A$9:$A$308,"&lt;="&amp;IF($B$5="",2958465,$B$5))))</f>
        <v>470</v>
      </c>
      <c r="F8" s="19" t="n">
        <f aca="false">IF($C8="","",IF($B$4&amp;$B$5="",SUMIFS('المبيعات اليومية'!$H$9:$H$308,'المبيعات اليومية'!$C$9:$C$308,$C8),SUMIFS('المبيعات اليومية'!$H$9:$H$308,'المبيعات اليومية'!$C$9:$C$308,$C8,'المبيعات اليومية'!$A$9:$A$308,"&gt;="&amp;IF($B$4="",0,$B$4),'المبيعات اليومية'!$A$9:$A$308,"&lt;="&amp;IF($B$5="",2958465,$B$5))))</f>
        <v>2115</v>
      </c>
      <c r="G8" s="19" t="n">
        <f aca="false">IF($C8="","",IF($B$4&amp;$B$5="",SUMIFS('المبيعات اليومية'!$I$9:$I$308,'المبيعات اليومية'!$C$9:$C$308,$C8),SUMIFS('المبيعات اليومية'!$I$9:$I$308,'المبيعات اليومية'!$C$9:$C$308,$C8,'المبيعات اليومية'!$A$9:$A$308,"&gt;="&amp;IF($B$4="",0,$B$4),'المبيعات اليومية'!$A$9:$A$308,"&lt;="&amp;IF($B$5="",2958465,$B$5))))</f>
        <v>317.25</v>
      </c>
      <c r="H8" s="20" t="n">
        <f aca="false">IF($C8="","",IF($B$4&amp;$B$5="",SUMIFS('المبيعات اليومية'!$J$9:$J$308,'المبيعات اليومية'!$C$9:$C$308,$C8),SUMIFS('المبيعات اليومية'!$J$9:$J$308,'المبيعات اليومية'!$C$9:$C$308,$C8,'المبيعات اليومية'!$A$9:$A$308,"&gt;="&amp;IF($B$4="",0,$B$4),'المبيعات اليومية'!$A$9:$A$308,"&lt;="&amp;IF($B$5="",2958465,$B$5))))</f>
        <v>2432.25</v>
      </c>
      <c r="I8" s="29" t="n">
        <f aca="false">IF(OR($C8="",$H$208=0),"",H8/$H$208)</f>
        <v>0.177068879411889</v>
      </c>
      <c r="J8" s="19" t="n">
        <f aca="false">IF(OR(C8="",N(E8)=0),"",F8/E8)</f>
        <v>4.5</v>
      </c>
    </row>
    <row r="9" customFormat="false" ht="15" hidden="false" customHeight="false" outlineLevel="0" collapsed="false">
      <c r="A9" s="21" t="n">
        <f aca="false">IF(C9="","",2)</f>
        <v>2</v>
      </c>
      <c r="B9" s="21" t="n">
        <f aca="false">IF('دليل الأصناف'!$B$5="","",'دليل الأصناف'!$A$5)</f>
        <v>20212</v>
      </c>
      <c r="C9" s="4" t="str">
        <f aca="false">IF('دليل الأصناف'!$B$5="","",'دليل الأصناف'!$B$5)</f>
        <v>بصل صغير</v>
      </c>
      <c r="D9" s="27" t="n">
        <f aca="false">IF($C9="","",IF($B$4&amp;$B$5="",COUNTIFS('المبيعات اليومية'!$C$9:$C$308,$C9),COUNTIFS('المبيعات اليومية'!$C$9:$C$308,$C9,'المبيعات اليومية'!$A$9:$A$308,"&gt;="&amp;IF($B$4="",0,$B$4),'المبيعات اليومية'!$A$9:$A$308,"&lt;="&amp;IF($B$5="",2958465,$B$5))))</f>
        <v>0</v>
      </c>
      <c r="E9" s="28" t="n">
        <f aca="false">IF($C9="","",IF($B$4&amp;$B$5="",SUMIFS('المبيعات اليومية'!$E$9:$E$308,'المبيعات اليومية'!$C$9:$C$308,$C9),SUMIFS('المبيعات اليومية'!$E$9:$E$308,'المبيعات اليومية'!$C$9:$C$308,$C9,'المبيعات اليومية'!$A$9:$A$308,"&gt;="&amp;IF($B$4="",0,$B$4),'المبيعات اليومية'!$A$9:$A$308,"&lt;="&amp;IF($B$5="",2958465,$B$5))))</f>
        <v>0</v>
      </c>
      <c r="F9" s="19" t="n">
        <f aca="false">IF($C9="","",IF($B$4&amp;$B$5="",SUMIFS('المبيعات اليومية'!$H$9:$H$308,'المبيعات اليومية'!$C$9:$C$308,$C9),SUMIFS('المبيعات اليومية'!$H$9:$H$308,'المبيعات اليومية'!$C$9:$C$308,$C9,'المبيعات اليومية'!$A$9:$A$308,"&gt;="&amp;IF($B$4="",0,$B$4),'المبيعات اليومية'!$A$9:$A$308,"&lt;="&amp;IF($B$5="",2958465,$B$5))))</f>
        <v>0</v>
      </c>
      <c r="G9" s="19" t="n">
        <f aca="false">IF($C9="","",IF($B$4&amp;$B$5="",SUMIFS('المبيعات اليومية'!$I$9:$I$308,'المبيعات اليومية'!$C$9:$C$308,$C9),SUMIFS('المبيعات اليومية'!$I$9:$I$308,'المبيعات اليومية'!$C$9:$C$308,$C9,'المبيعات اليومية'!$A$9:$A$308,"&gt;="&amp;IF($B$4="",0,$B$4),'المبيعات اليومية'!$A$9:$A$308,"&lt;="&amp;IF($B$5="",2958465,$B$5))))</f>
        <v>0</v>
      </c>
      <c r="H9" s="20" t="n">
        <f aca="false">IF($C9="","",IF($B$4&amp;$B$5="",SUMIFS('المبيعات اليومية'!$J$9:$J$308,'المبيعات اليومية'!$C$9:$C$308,$C9),SUMIFS('المبيعات اليومية'!$J$9:$J$308,'المبيعات اليومية'!$C$9:$C$308,$C9,'المبيعات اليومية'!$A$9:$A$308,"&gt;="&amp;IF($B$4="",0,$B$4),'المبيعات اليومية'!$A$9:$A$308,"&lt;="&amp;IF($B$5="",2958465,$B$5))))</f>
        <v>0</v>
      </c>
      <c r="I9" s="29" t="n">
        <f aca="false">IF(OR($C9="",$H$208=0),"",H9/$H$208)</f>
        <v>0</v>
      </c>
      <c r="J9" s="19" t="str">
        <f aca="false">IF(OR(C9="",N(E9)=0),"",F9/E9)</f>
        <v/>
      </c>
    </row>
    <row r="10" customFormat="false" ht="15" hidden="false" customHeight="false" outlineLevel="0" collapsed="false">
      <c r="A10" s="21" t="n">
        <f aca="false">IF(C10="","",3)</f>
        <v>3</v>
      </c>
      <c r="B10" s="21" t="n">
        <f aca="false">IF('دليل الأصناف'!$B$6="","",'دليل الأصناف'!$A$6)</f>
        <v>20213</v>
      </c>
      <c r="C10" s="4" t="str">
        <f aca="false">IF('دليل الأصناف'!$B$6="","",'دليل الأصناف'!$B$6)</f>
        <v>بطاطس كبير</v>
      </c>
      <c r="D10" s="27" t="n">
        <f aca="false">IF($C10="","",IF($B$4&amp;$B$5="",COUNTIFS('المبيعات اليومية'!$C$9:$C$308,$C10),COUNTIFS('المبيعات اليومية'!$C$9:$C$308,$C10,'المبيعات اليومية'!$A$9:$A$308,"&gt;="&amp;IF($B$4="",0,$B$4),'المبيعات اليومية'!$A$9:$A$308,"&lt;="&amp;IF($B$5="",2958465,$B$5))))</f>
        <v>1</v>
      </c>
      <c r="E10" s="28" t="n">
        <f aca="false">IF($C10="","",IF($B$4&amp;$B$5="",SUMIFS('المبيعات اليومية'!$E$9:$E$308,'المبيعات اليومية'!$C$9:$C$308,$C10),SUMIFS('المبيعات اليومية'!$E$9:$E$308,'المبيعات اليومية'!$C$9:$C$308,$C10,'المبيعات اليومية'!$A$9:$A$308,"&gt;="&amp;IF($B$4="",0,$B$4),'المبيعات اليومية'!$A$9:$A$308,"&lt;="&amp;IF($B$5="",2958465,$B$5))))</f>
        <v>297</v>
      </c>
      <c r="F10" s="19" t="n">
        <f aca="false">IF($C10="","",IF($B$4&amp;$B$5="",SUMIFS('المبيعات اليومية'!$H$9:$H$308,'المبيعات اليومية'!$C$9:$C$308,$C10),SUMIFS('المبيعات اليومية'!$H$9:$H$308,'المبيعات اليومية'!$C$9:$C$308,$C10,'المبيعات اليومية'!$A$9:$A$308,"&gt;="&amp;IF($B$4="",0,$B$4),'المبيعات اليومية'!$A$9:$A$308,"&lt;="&amp;IF($B$5="",2958465,$B$5))))</f>
        <v>2524.5</v>
      </c>
      <c r="G10" s="19" t="n">
        <f aca="false">IF($C10="","",IF($B$4&amp;$B$5="",SUMIFS('المبيعات اليومية'!$I$9:$I$308,'المبيعات اليومية'!$C$9:$C$308,$C10),SUMIFS('المبيعات اليومية'!$I$9:$I$308,'المبيعات اليومية'!$C$9:$C$308,$C10,'المبيعات اليومية'!$A$9:$A$308,"&gt;="&amp;IF($B$4="",0,$B$4),'المبيعات اليومية'!$A$9:$A$308,"&lt;="&amp;IF($B$5="",2958465,$B$5))))</f>
        <v>378.68</v>
      </c>
      <c r="H10" s="20" t="n">
        <f aca="false">IF($C10="","",IF($B$4&amp;$B$5="",SUMIFS('المبيعات اليومية'!$J$9:$J$308,'المبيعات اليومية'!$C$9:$C$308,$C10),SUMIFS('المبيعات اليومية'!$J$9:$J$308,'المبيعات اليومية'!$C$9:$C$308,$C10,'المبيعات اليومية'!$A$9:$A$308,"&gt;="&amp;IF($B$4="",0,$B$4),'المبيعات اليومية'!$A$9:$A$308,"&lt;="&amp;IF($B$5="",2958465,$B$5))))</f>
        <v>2903.18</v>
      </c>
      <c r="I10" s="29" t="n">
        <f aca="false">IF(OR($C10="",$H$208=0),"",H10/$H$208)</f>
        <v>0.211352792406623</v>
      </c>
      <c r="J10" s="19" t="n">
        <f aca="false">IF(OR(C10="",N(E10)=0),"",F10/E10)</f>
        <v>8.5</v>
      </c>
    </row>
    <row r="11" customFormat="false" ht="15" hidden="false" customHeight="false" outlineLevel="0" collapsed="false">
      <c r="A11" s="21" t="n">
        <f aca="false">IF(C11="","",4)</f>
        <v>4</v>
      </c>
      <c r="B11" s="21" t="n">
        <f aca="false">IF('دليل الأصناف'!$B$7="","",'دليل الأصناف'!$A$7)</f>
        <v>20301</v>
      </c>
      <c r="C11" s="4" t="str">
        <f aca="false">IF('دليل الأصناف'!$B$7="","",'دليل الأصناف'!$B$7)</f>
        <v>بطاطس 2 K</v>
      </c>
      <c r="D11" s="27" t="n">
        <f aca="false">IF($C11="","",IF($B$4&amp;$B$5="",COUNTIFS('المبيعات اليومية'!$C$9:$C$308,$C11),COUNTIFS('المبيعات اليومية'!$C$9:$C$308,$C11,'المبيعات اليومية'!$A$9:$A$308,"&gt;="&amp;IF($B$4="",0,$B$4),'المبيعات اليومية'!$A$9:$A$308,"&lt;="&amp;IF($B$5="",2958465,$B$5))))</f>
        <v>0</v>
      </c>
      <c r="E11" s="28" t="n">
        <f aca="false">IF($C11="","",IF($B$4&amp;$B$5="",SUMIFS('المبيعات اليومية'!$E$9:$E$308,'المبيعات اليومية'!$C$9:$C$308,$C11),SUMIFS('المبيعات اليومية'!$E$9:$E$308,'المبيعات اليومية'!$C$9:$C$308,$C11,'المبيعات اليومية'!$A$9:$A$308,"&gt;="&amp;IF($B$4="",0,$B$4),'المبيعات اليومية'!$A$9:$A$308,"&lt;="&amp;IF($B$5="",2958465,$B$5))))</f>
        <v>0</v>
      </c>
      <c r="F11" s="19" t="n">
        <f aca="false">IF($C11="","",IF($B$4&amp;$B$5="",SUMIFS('المبيعات اليومية'!$H$9:$H$308,'المبيعات اليومية'!$C$9:$C$308,$C11),SUMIFS('المبيعات اليومية'!$H$9:$H$308,'المبيعات اليومية'!$C$9:$C$308,$C11,'المبيعات اليومية'!$A$9:$A$308,"&gt;="&amp;IF($B$4="",0,$B$4),'المبيعات اليومية'!$A$9:$A$308,"&lt;="&amp;IF($B$5="",2958465,$B$5))))</f>
        <v>0</v>
      </c>
      <c r="G11" s="19" t="n">
        <f aca="false">IF($C11="","",IF($B$4&amp;$B$5="",SUMIFS('المبيعات اليومية'!$I$9:$I$308,'المبيعات اليومية'!$C$9:$C$308,$C11),SUMIFS('المبيعات اليومية'!$I$9:$I$308,'المبيعات اليومية'!$C$9:$C$308,$C11,'المبيعات اليومية'!$A$9:$A$308,"&gt;="&amp;IF($B$4="",0,$B$4),'المبيعات اليومية'!$A$9:$A$308,"&lt;="&amp;IF($B$5="",2958465,$B$5))))</f>
        <v>0</v>
      </c>
      <c r="H11" s="20" t="n">
        <f aca="false">IF($C11="","",IF($B$4&amp;$B$5="",SUMIFS('المبيعات اليومية'!$J$9:$J$308,'المبيعات اليومية'!$C$9:$C$308,$C11),SUMIFS('المبيعات اليومية'!$J$9:$J$308,'المبيعات اليومية'!$C$9:$C$308,$C11,'المبيعات اليومية'!$A$9:$A$308,"&gt;="&amp;IF($B$4="",0,$B$4),'المبيعات اليومية'!$A$9:$A$308,"&lt;="&amp;IF($B$5="",2958465,$B$5))))</f>
        <v>0</v>
      </c>
      <c r="I11" s="29" t="n">
        <f aca="false">IF(OR($C11="",$H$208=0),"",H11/$H$208)</f>
        <v>0</v>
      </c>
      <c r="J11" s="19" t="str">
        <f aca="false">IF(OR(C11="",N(E11)=0),"",F11/E11)</f>
        <v/>
      </c>
    </row>
    <row r="12" customFormat="false" ht="15" hidden="false" customHeight="false" outlineLevel="0" collapsed="false">
      <c r="A12" s="21" t="n">
        <f aca="false">IF(C12="","",5)</f>
        <v>5</v>
      </c>
      <c r="B12" s="21" t="n">
        <f aca="false">IF('دليل الأصناف'!$B$8="","",'دليل الأصناف'!$A$8)</f>
        <v>448660</v>
      </c>
      <c r="C12" s="4" t="str">
        <f aca="false">IF('دليل الأصناف'!$B$8="","",'دليل الأصناف'!$B$8)</f>
        <v>بصل ابيض</v>
      </c>
      <c r="D12" s="27" t="n">
        <f aca="false">IF($C12="","",IF($B$4&amp;$B$5="",COUNTIFS('المبيعات اليومية'!$C$9:$C$308,$C12),COUNTIFS('المبيعات اليومية'!$C$9:$C$308,$C12,'المبيعات اليومية'!$A$9:$A$308,"&gt;="&amp;IF($B$4="",0,$B$4),'المبيعات اليومية'!$A$9:$A$308,"&lt;="&amp;IF($B$5="",2958465,$B$5))))</f>
        <v>1</v>
      </c>
      <c r="E12" s="28" t="n">
        <f aca="false">IF($C12="","",IF($B$4&amp;$B$5="",SUMIFS('المبيعات اليومية'!$E$9:$E$308,'المبيعات اليومية'!$C$9:$C$308,$C12),SUMIFS('المبيعات اليومية'!$E$9:$E$308,'المبيعات اليومية'!$C$9:$C$308,$C12,'المبيعات اليومية'!$A$9:$A$308,"&gt;="&amp;IF($B$4="",0,$B$4),'المبيعات اليومية'!$A$9:$A$308,"&lt;="&amp;IF($B$5="",2958465,$B$5))))</f>
        <v>150</v>
      </c>
      <c r="F12" s="19" t="n">
        <f aca="false">IF($C12="","",IF($B$4&amp;$B$5="",SUMIFS('المبيعات اليومية'!$H$9:$H$308,'المبيعات اليومية'!$C$9:$C$308,$C12),SUMIFS('المبيعات اليومية'!$H$9:$H$308,'المبيعات اليومية'!$C$9:$C$308,$C12,'المبيعات اليومية'!$A$9:$A$308,"&gt;="&amp;IF($B$4="",0,$B$4),'المبيعات اليومية'!$A$9:$A$308,"&lt;="&amp;IF($B$5="",2958465,$B$5))))</f>
        <v>750</v>
      </c>
      <c r="G12" s="19" t="n">
        <f aca="false">IF($C12="","",IF($B$4&amp;$B$5="",SUMIFS('المبيعات اليومية'!$I$9:$I$308,'المبيعات اليومية'!$C$9:$C$308,$C12),SUMIFS('المبيعات اليومية'!$I$9:$I$308,'المبيعات اليومية'!$C$9:$C$308,$C12,'المبيعات اليومية'!$A$9:$A$308,"&gt;="&amp;IF($B$4="",0,$B$4),'المبيعات اليومية'!$A$9:$A$308,"&lt;="&amp;IF($B$5="",2958465,$B$5))))</f>
        <v>112.5</v>
      </c>
      <c r="H12" s="20" t="n">
        <f aca="false">IF($C12="","",IF($B$4&amp;$B$5="",SUMIFS('المبيعات اليومية'!$J$9:$J$308,'المبيعات اليومية'!$C$9:$C$308,$C12),SUMIFS('المبيعات اليومية'!$J$9:$J$308,'المبيعات اليومية'!$C$9:$C$308,$C12,'المبيعات اليومية'!$A$9:$A$308,"&gt;="&amp;IF($B$4="",0,$B$4),'المبيعات اليومية'!$A$9:$A$308,"&lt;="&amp;IF($B$5="",2958465,$B$5))))</f>
        <v>862.5</v>
      </c>
      <c r="I12" s="29" t="n">
        <f aca="false">IF(OR($C12="",$H$208=0),"",H12/$H$208)</f>
        <v>0.0627903827701734</v>
      </c>
      <c r="J12" s="19" t="n">
        <f aca="false">IF(OR(C12="",N(E12)=0),"",F12/E12)</f>
        <v>5</v>
      </c>
    </row>
    <row r="13" customFormat="false" ht="15" hidden="false" customHeight="false" outlineLevel="0" collapsed="false">
      <c r="A13" s="21" t="n">
        <f aca="false">IF(C13="","",6)</f>
        <v>6</v>
      </c>
      <c r="B13" s="21" t="n">
        <f aca="false">IF('دليل الأصناف'!$B$9="","",'دليل الأصناف'!$A$9)</f>
        <v>20214</v>
      </c>
      <c r="C13" s="4" t="str">
        <f aca="false">IF('دليل الأصناف'!$B$9="","",'دليل الأصناف'!$B$9)</f>
        <v>طماطم محمية</v>
      </c>
      <c r="D13" s="27" t="n">
        <f aca="false">IF($C13="","",IF($B$4&amp;$B$5="",COUNTIFS('المبيعات اليومية'!$C$9:$C$308,$C13),COUNTIFS('المبيعات اليومية'!$C$9:$C$308,$C13,'المبيعات اليومية'!$A$9:$A$308,"&gt;="&amp;IF($B$4="",0,$B$4),'المبيعات اليومية'!$A$9:$A$308,"&lt;="&amp;IF($B$5="",2958465,$B$5))))</f>
        <v>0</v>
      </c>
      <c r="E13" s="28" t="n">
        <f aca="false">IF($C13="","",IF($B$4&amp;$B$5="",SUMIFS('المبيعات اليومية'!$E$9:$E$308,'المبيعات اليومية'!$C$9:$C$308,$C13),SUMIFS('المبيعات اليومية'!$E$9:$E$308,'المبيعات اليومية'!$C$9:$C$308,$C13,'المبيعات اليومية'!$A$9:$A$308,"&gt;="&amp;IF($B$4="",0,$B$4),'المبيعات اليومية'!$A$9:$A$308,"&lt;="&amp;IF($B$5="",2958465,$B$5))))</f>
        <v>0</v>
      </c>
      <c r="F13" s="19" t="n">
        <f aca="false">IF($C13="","",IF($B$4&amp;$B$5="",SUMIFS('المبيعات اليومية'!$H$9:$H$308,'المبيعات اليومية'!$C$9:$C$308,$C13),SUMIFS('المبيعات اليومية'!$H$9:$H$308,'المبيعات اليومية'!$C$9:$C$308,$C13,'المبيعات اليومية'!$A$9:$A$308,"&gt;="&amp;IF($B$4="",0,$B$4),'المبيعات اليومية'!$A$9:$A$308,"&lt;="&amp;IF($B$5="",2958465,$B$5))))</f>
        <v>0</v>
      </c>
      <c r="G13" s="19" t="n">
        <f aca="false">IF($C13="","",IF($B$4&amp;$B$5="",SUMIFS('المبيعات اليومية'!$I$9:$I$308,'المبيعات اليومية'!$C$9:$C$308,$C13),SUMIFS('المبيعات اليومية'!$I$9:$I$308,'المبيعات اليومية'!$C$9:$C$308,$C13,'المبيعات اليومية'!$A$9:$A$308,"&gt;="&amp;IF($B$4="",0,$B$4),'المبيعات اليومية'!$A$9:$A$308,"&lt;="&amp;IF($B$5="",2958465,$B$5))))</f>
        <v>0</v>
      </c>
      <c r="H13" s="20" t="n">
        <f aca="false">IF($C13="","",IF($B$4&amp;$B$5="",SUMIFS('المبيعات اليومية'!$J$9:$J$308,'المبيعات اليومية'!$C$9:$C$308,$C13),SUMIFS('المبيعات اليومية'!$J$9:$J$308,'المبيعات اليومية'!$C$9:$C$308,$C13,'المبيعات اليومية'!$A$9:$A$308,"&gt;="&amp;IF($B$4="",0,$B$4),'المبيعات اليومية'!$A$9:$A$308,"&lt;="&amp;IF($B$5="",2958465,$B$5))))</f>
        <v>0</v>
      </c>
      <c r="I13" s="29" t="n">
        <f aca="false">IF(OR($C13="",$H$208=0),"",H13/$H$208)</f>
        <v>0</v>
      </c>
      <c r="J13" s="19" t="str">
        <f aca="false">IF(OR(C13="",N(E13)=0),"",F13/E13)</f>
        <v/>
      </c>
    </row>
    <row r="14" customFormat="false" ht="15" hidden="false" customHeight="false" outlineLevel="0" collapsed="false">
      <c r="A14" s="21" t="n">
        <f aca="false">IF(C14="","",7)</f>
        <v>7</v>
      </c>
      <c r="B14" s="21" t="n">
        <f aca="false">IF('دليل الأصناف'!$B$10="","",'دليل الأصناف'!$A$10)</f>
        <v>20215</v>
      </c>
      <c r="C14" s="4" t="str">
        <f aca="false">IF('دليل الأصناف'!$B$10="","",'دليل الأصناف'!$B$10)</f>
        <v>خيار بلدي</v>
      </c>
      <c r="D14" s="27" t="n">
        <f aca="false">IF($C14="","",IF($B$4&amp;$B$5="",COUNTIFS('المبيعات اليومية'!$C$9:$C$308,$C14),COUNTIFS('المبيعات اليومية'!$C$9:$C$308,$C14,'المبيعات اليومية'!$A$9:$A$308,"&gt;="&amp;IF($B$4="",0,$B$4),'المبيعات اليومية'!$A$9:$A$308,"&lt;="&amp;IF($B$5="",2958465,$B$5))))</f>
        <v>0</v>
      </c>
      <c r="E14" s="28" t="n">
        <f aca="false">IF($C14="","",IF($B$4&amp;$B$5="",SUMIFS('المبيعات اليومية'!$E$9:$E$308,'المبيعات اليومية'!$C$9:$C$308,$C14),SUMIFS('المبيعات اليومية'!$E$9:$E$308,'المبيعات اليومية'!$C$9:$C$308,$C14,'المبيعات اليومية'!$A$9:$A$308,"&gt;="&amp;IF($B$4="",0,$B$4),'المبيعات اليومية'!$A$9:$A$308,"&lt;="&amp;IF($B$5="",2958465,$B$5))))</f>
        <v>0</v>
      </c>
      <c r="F14" s="19" t="n">
        <f aca="false">IF($C14="","",IF($B$4&amp;$B$5="",SUMIFS('المبيعات اليومية'!$H$9:$H$308,'المبيعات اليومية'!$C$9:$C$308,$C14),SUMIFS('المبيعات اليومية'!$H$9:$H$308,'المبيعات اليومية'!$C$9:$C$308,$C14,'المبيعات اليومية'!$A$9:$A$308,"&gt;="&amp;IF($B$4="",0,$B$4),'المبيعات اليومية'!$A$9:$A$308,"&lt;="&amp;IF($B$5="",2958465,$B$5))))</f>
        <v>0</v>
      </c>
      <c r="G14" s="19" t="n">
        <f aca="false">IF($C14="","",IF($B$4&amp;$B$5="",SUMIFS('المبيعات اليومية'!$I$9:$I$308,'المبيعات اليومية'!$C$9:$C$308,$C14),SUMIFS('المبيعات اليومية'!$I$9:$I$308,'المبيعات اليومية'!$C$9:$C$308,$C14,'المبيعات اليومية'!$A$9:$A$308,"&gt;="&amp;IF($B$4="",0,$B$4),'المبيعات اليومية'!$A$9:$A$308,"&lt;="&amp;IF($B$5="",2958465,$B$5))))</f>
        <v>0</v>
      </c>
      <c r="H14" s="20" t="n">
        <f aca="false">IF($C14="","",IF($B$4&amp;$B$5="",SUMIFS('المبيعات اليومية'!$J$9:$J$308,'المبيعات اليومية'!$C$9:$C$308,$C14),SUMIFS('المبيعات اليومية'!$J$9:$J$308,'المبيعات اليومية'!$C$9:$C$308,$C14,'المبيعات اليومية'!$A$9:$A$308,"&gt;="&amp;IF($B$4="",0,$B$4),'المبيعات اليومية'!$A$9:$A$308,"&lt;="&amp;IF($B$5="",2958465,$B$5))))</f>
        <v>0</v>
      </c>
      <c r="I14" s="29" t="n">
        <f aca="false">IF(OR($C14="",$H$208=0),"",H14/$H$208)</f>
        <v>0</v>
      </c>
      <c r="J14" s="19" t="str">
        <f aca="false">IF(OR(C14="",N(E14)=0),"",F14/E14)</f>
        <v/>
      </c>
    </row>
    <row r="15" customFormat="false" ht="15" hidden="false" customHeight="false" outlineLevel="0" collapsed="false">
      <c r="A15" s="21" t="n">
        <f aca="false">IF(C15="","",8)</f>
        <v>8</v>
      </c>
      <c r="B15" s="21" t="n">
        <f aca="false">IF('دليل الأصناف'!$B$11="","",'دليل الأصناف'!$A$11)</f>
        <v>20216</v>
      </c>
      <c r="C15" s="4" t="str">
        <f aca="false">IF('دليل الأصناف'!$B$11="","",'دليل الأصناف'!$B$11)</f>
        <v>كوسة طازجة</v>
      </c>
      <c r="D15" s="27" t="n">
        <f aca="false">IF($C15="","",IF($B$4&amp;$B$5="",COUNTIFS('المبيعات اليومية'!$C$9:$C$308,$C15),COUNTIFS('المبيعات اليومية'!$C$9:$C$308,$C15,'المبيعات اليومية'!$A$9:$A$308,"&gt;="&amp;IF($B$4="",0,$B$4),'المبيعات اليومية'!$A$9:$A$308,"&lt;="&amp;IF($B$5="",2958465,$B$5))))</f>
        <v>0</v>
      </c>
      <c r="E15" s="28" t="n">
        <f aca="false">IF($C15="","",IF($B$4&amp;$B$5="",SUMIFS('المبيعات اليومية'!$E$9:$E$308,'المبيعات اليومية'!$C$9:$C$308,$C15),SUMIFS('المبيعات اليومية'!$E$9:$E$308,'المبيعات اليومية'!$C$9:$C$308,$C15,'المبيعات اليومية'!$A$9:$A$308,"&gt;="&amp;IF($B$4="",0,$B$4),'المبيعات اليومية'!$A$9:$A$308,"&lt;="&amp;IF($B$5="",2958465,$B$5))))</f>
        <v>0</v>
      </c>
      <c r="F15" s="19" t="n">
        <f aca="false">IF($C15="","",IF($B$4&amp;$B$5="",SUMIFS('المبيعات اليومية'!$H$9:$H$308,'المبيعات اليومية'!$C$9:$C$308,$C15),SUMIFS('المبيعات اليومية'!$H$9:$H$308,'المبيعات اليومية'!$C$9:$C$308,$C15,'المبيعات اليومية'!$A$9:$A$308,"&gt;="&amp;IF($B$4="",0,$B$4),'المبيعات اليومية'!$A$9:$A$308,"&lt;="&amp;IF($B$5="",2958465,$B$5))))</f>
        <v>0</v>
      </c>
      <c r="G15" s="19" t="n">
        <f aca="false">IF($C15="","",IF($B$4&amp;$B$5="",SUMIFS('المبيعات اليومية'!$I$9:$I$308,'المبيعات اليومية'!$C$9:$C$308,$C15),SUMIFS('المبيعات اليومية'!$I$9:$I$308,'المبيعات اليومية'!$C$9:$C$308,$C15,'المبيعات اليومية'!$A$9:$A$308,"&gt;="&amp;IF($B$4="",0,$B$4),'المبيعات اليومية'!$A$9:$A$308,"&lt;="&amp;IF($B$5="",2958465,$B$5))))</f>
        <v>0</v>
      </c>
      <c r="H15" s="20" t="n">
        <f aca="false">IF($C15="","",IF($B$4&amp;$B$5="",SUMIFS('المبيعات اليومية'!$J$9:$J$308,'المبيعات اليومية'!$C$9:$C$308,$C15),SUMIFS('المبيعات اليومية'!$J$9:$J$308,'المبيعات اليومية'!$C$9:$C$308,$C15,'المبيعات اليومية'!$A$9:$A$308,"&gt;="&amp;IF($B$4="",0,$B$4),'المبيعات اليومية'!$A$9:$A$308,"&lt;="&amp;IF($B$5="",2958465,$B$5))))</f>
        <v>0</v>
      </c>
      <c r="I15" s="29" t="n">
        <f aca="false">IF(OR($C15="",$H$208=0),"",H15/$H$208)</f>
        <v>0</v>
      </c>
      <c r="J15" s="19" t="str">
        <f aca="false">IF(OR(C15="",N(E15)=0),"",F15/E15)</f>
        <v/>
      </c>
    </row>
    <row r="16" customFormat="false" ht="15" hidden="false" customHeight="false" outlineLevel="0" collapsed="false">
      <c r="A16" s="21" t="n">
        <f aca="false">IF(C16="","",9)</f>
        <v>9</v>
      </c>
      <c r="B16" s="21" t="n">
        <f aca="false">IF('دليل الأصناف'!$B$12="","",'دليل الأصناف'!$A$12)</f>
        <v>20217</v>
      </c>
      <c r="C16" s="4" t="str">
        <f aca="false">IF('دليل الأصناف'!$B$12="","",'دليل الأصناف'!$B$12)</f>
        <v>جزر استرالي</v>
      </c>
      <c r="D16" s="27" t="n">
        <f aca="false">IF($C16="","",IF($B$4&amp;$B$5="",COUNTIFS('المبيعات اليومية'!$C$9:$C$308,$C16),COUNTIFS('المبيعات اليومية'!$C$9:$C$308,$C16,'المبيعات اليومية'!$A$9:$A$308,"&gt;="&amp;IF($B$4="",0,$B$4),'المبيعات اليومية'!$A$9:$A$308,"&lt;="&amp;IF($B$5="",2958465,$B$5))))</f>
        <v>0</v>
      </c>
      <c r="E16" s="28" t="n">
        <f aca="false">IF($C16="","",IF($B$4&amp;$B$5="",SUMIFS('المبيعات اليومية'!$E$9:$E$308,'المبيعات اليومية'!$C$9:$C$308,$C16),SUMIFS('المبيعات اليومية'!$E$9:$E$308,'المبيعات اليومية'!$C$9:$C$308,$C16,'المبيعات اليومية'!$A$9:$A$308,"&gt;="&amp;IF($B$4="",0,$B$4),'المبيعات اليومية'!$A$9:$A$308,"&lt;="&amp;IF($B$5="",2958465,$B$5))))</f>
        <v>0</v>
      </c>
      <c r="F16" s="19" t="n">
        <f aca="false">IF($C16="","",IF($B$4&amp;$B$5="",SUMIFS('المبيعات اليومية'!$H$9:$H$308,'المبيعات اليومية'!$C$9:$C$308,$C16),SUMIFS('المبيعات اليومية'!$H$9:$H$308,'المبيعات اليومية'!$C$9:$C$308,$C16,'المبيعات اليومية'!$A$9:$A$308,"&gt;="&amp;IF($B$4="",0,$B$4),'المبيعات اليومية'!$A$9:$A$308,"&lt;="&amp;IF($B$5="",2958465,$B$5))))</f>
        <v>0</v>
      </c>
      <c r="G16" s="19" t="n">
        <f aca="false">IF($C16="","",IF($B$4&amp;$B$5="",SUMIFS('المبيعات اليومية'!$I$9:$I$308,'المبيعات اليومية'!$C$9:$C$308,$C16),SUMIFS('المبيعات اليومية'!$I$9:$I$308,'المبيعات اليومية'!$C$9:$C$308,$C16,'المبيعات اليومية'!$A$9:$A$308,"&gt;="&amp;IF($B$4="",0,$B$4),'المبيعات اليومية'!$A$9:$A$308,"&lt;="&amp;IF($B$5="",2958465,$B$5))))</f>
        <v>0</v>
      </c>
      <c r="H16" s="20" t="n">
        <f aca="false">IF($C16="","",IF($B$4&amp;$B$5="",SUMIFS('المبيعات اليومية'!$J$9:$J$308,'المبيعات اليومية'!$C$9:$C$308,$C16),SUMIFS('المبيعات اليومية'!$J$9:$J$308,'المبيعات اليومية'!$C$9:$C$308,$C16,'المبيعات اليومية'!$A$9:$A$308,"&gt;="&amp;IF($B$4="",0,$B$4),'المبيعات اليومية'!$A$9:$A$308,"&lt;="&amp;IF($B$5="",2958465,$B$5))))</f>
        <v>0</v>
      </c>
      <c r="I16" s="29" t="n">
        <f aca="false">IF(OR($C16="",$H$208=0),"",H16/$H$208)</f>
        <v>0</v>
      </c>
      <c r="J16" s="19" t="str">
        <f aca="false">IF(OR(C16="",N(E16)=0),"",F16/E16)</f>
        <v/>
      </c>
    </row>
    <row r="17" customFormat="false" ht="15" hidden="false" customHeight="false" outlineLevel="0" collapsed="false">
      <c r="A17" s="21" t="n">
        <f aca="false">IF(C17="","",10)</f>
        <v>10</v>
      </c>
      <c r="B17" s="21" t="n">
        <f aca="false">IF('دليل الأصناف'!$B$13="","",'دليل الأصناف'!$A$13)</f>
        <v>20218</v>
      </c>
      <c r="C17" s="4" t="str">
        <f aca="false">IF('دليل الأصناف'!$B$13="","",'دليل الأصناف'!$B$13)</f>
        <v>عنب ابيض</v>
      </c>
      <c r="D17" s="27" t="n">
        <f aca="false">IF($C17="","",IF($B$4&amp;$B$5="",COUNTIFS('المبيعات اليومية'!$C$9:$C$308,$C17),COUNTIFS('المبيعات اليومية'!$C$9:$C$308,$C17,'المبيعات اليومية'!$A$9:$A$308,"&gt;="&amp;IF($B$4="",0,$B$4),'المبيعات اليومية'!$A$9:$A$308,"&lt;="&amp;IF($B$5="",2958465,$B$5))))</f>
        <v>1</v>
      </c>
      <c r="E17" s="28" t="n">
        <f aca="false">IF($C17="","",IF($B$4&amp;$B$5="",SUMIFS('المبيعات اليومية'!$E$9:$E$308,'المبيعات اليومية'!$C$9:$C$308,$C17),SUMIFS('المبيعات اليومية'!$E$9:$E$308,'المبيعات اليومية'!$C$9:$C$308,$C17,'المبيعات اليومية'!$A$9:$A$308,"&gt;="&amp;IF($B$4="",0,$B$4),'المبيعات اليومية'!$A$9:$A$308,"&lt;="&amp;IF($B$5="",2958465,$B$5))))</f>
        <v>80</v>
      </c>
      <c r="F17" s="19" t="n">
        <f aca="false">IF($C17="","",IF($B$4&amp;$B$5="",SUMIFS('المبيعات اليومية'!$H$9:$H$308,'المبيعات اليومية'!$C$9:$C$308,$C17),SUMIFS('المبيعات اليومية'!$H$9:$H$308,'المبيعات اليومية'!$C$9:$C$308,$C17,'المبيعات اليومية'!$A$9:$A$308,"&gt;="&amp;IF($B$4="",0,$B$4),'المبيعات اليومية'!$A$9:$A$308,"&lt;="&amp;IF($B$5="",2958465,$B$5))))</f>
        <v>1000</v>
      </c>
      <c r="G17" s="19" t="n">
        <f aca="false">IF($C17="","",IF($B$4&amp;$B$5="",SUMIFS('المبيعات اليومية'!$I$9:$I$308,'المبيعات اليومية'!$C$9:$C$308,$C17),SUMIFS('المبيعات اليومية'!$I$9:$I$308,'المبيعات اليومية'!$C$9:$C$308,$C17,'المبيعات اليومية'!$A$9:$A$308,"&gt;="&amp;IF($B$4="",0,$B$4),'المبيعات اليومية'!$A$9:$A$308,"&lt;="&amp;IF($B$5="",2958465,$B$5))))</f>
        <v>150</v>
      </c>
      <c r="H17" s="20" t="n">
        <f aca="false">IF($C17="","",IF($B$4&amp;$B$5="",SUMIFS('المبيعات اليومية'!$J$9:$J$308,'المبيعات اليومية'!$C$9:$C$308,$C17),SUMIFS('المبيعات اليومية'!$J$9:$J$308,'المبيعات اليومية'!$C$9:$C$308,$C17,'المبيعات اليومية'!$A$9:$A$308,"&gt;="&amp;IF($B$4="",0,$B$4),'المبيعات اليومية'!$A$9:$A$308,"&lt;="&amp;IF($B$5="",2958465,$B$5))))</f>
        <v>1150</v>
      </c>
      <c r="I17" s="29" t="n">
        <f aca="false">IF(OR($C17="",$H$208=0),"",H17/$H$208)</f>
        <v>0.0837205103602312</v>
      </c>
      <c r="J17" s="19" t="n">
        <f aca="false">IF(OR(C17="",N(E17)=0),"",F17/E17)</f>
        <v>12.5</v>
      </c>
    </row>
    <row r="18" customFormat="false" ht="15" hidden="false" customHeight="false" outlineLevel="0" collapsed="false">
      <c r="A18" s="21" t="n">
        <f aca="false">IF(C18="","",11)</f>
        <v>11</v>
      </c>
      <c r="B18" s="21" t="n">
        <f aca="false">IF('دليل الأصناف'!$B$14="","",'دليل الأصناف'!$A$14)</f>
        <v>20219</v>
      </c>
      <c r="C18" s="4" t="str">
        <f aca="false">IF('دليل الأصناف'!$B$14="","",'دليل الأصناف'!$B$14)</f>
        <v>كيوي</v>
      </c>
      <c r="D18" s="27" t="n">
        <f aca="false">IF($C18="","",IF($B$4&amp;$B$5="",COUNTIFS('المبيعات اليومية'!$C$9:$C$308,$C18),COUNTIFS('المبيعات اليومية'!$C$9:$C$308,$C18,'المبيعات اليومية'!$A$9:$A$308,"&gt;="&amp;IF($B$4="",0,$B$4),'المبيعات اليومية'!$A$9:$A$308,"&lt;="&amp;IF($B$5="",2958465,$B$5))))</f>
        <v>0</v>
      </c>
      <c r="E18" s="28" t="n">
        <f aca="false">IF($C18="","",IF($B$4&amp;$B$5="",SUMIFS('المبيعات اليومية'!$E$9:$E$308,'المبيعات اليومية'!$C$9:$C$308,$C18),SUMIFS('المبيعات اليومية'!$E$9:$E$308,'المبيعات اليومية'!$C$9:$C$308,$C18,'المبيعات اليومية'!$A$9:$A$308,"&gt;="&amp;IF($B$4="",0,$B$4),'المبيعات اليومية'!$A$9:$A$308,"&lt;="&amp;IF($B$5="",2958465,$B$5))))</f>
        <v>0</v>
      </c>
      <c r="F18" s="19" t="n">
        <f aca="false">IF($C18="","",IF($B$4&amp;$B$5="",SUMIFS('المبيعات اليومية'!$H$9:$H$308,'المبيعات اليومية'!$C$9:$C$308,$C18),SUMIFS('المبيعات اليومية'!$H$9:$H$308,'المبيعات اليومية'!$C$9:$C$308,$C18,'المبيعات اليومية'!$A$9:$A$308,"&gt;="&amp;IF($B$4="",0,$B$4),'المبيعات اليومية'!$A$9:$A$308,"&lt;="&amp;IF($B$5="",2958465,$B$5))))</f>
        <v>0</v>
      </c>
      <c r="G18" s="19" t="n">
        <f aca="false">IF($C18="","",IF($B$4&amp;$B$5="",SUMIFS('المبيعات اليومية'!$I$9:$I$308,'المبيعات اليومية'!$C$9:$C$308,$C18),SUMIFS('المبيعات اليومية'!$I$9:$I$308,'المبيعات اليومية'!$C$9:$C$308,$C18,'المبيعات اليومية'!$A$9:$A$308,"&gt;="&amp;IF($B$4="",0,$B$4),'المبيعات اليومية'!$A$9:$A$308,"&lt;="&amp;IF($B$5="",2958465,$B$5))))</f>
        <v>0</v>
      </c>
      <c r="H18" s="20" t="n">
        <f aca="false">IF($C18="","",IF($B$4&amp;$B$5="",SUMIFS('المبيعات اليومية'!$J$9:$J$308,'المبيعات اليومية'!$C$9:$C$308,$C18),SUMIFS('المبيعات اليومية'!$J$9:$J$308,'المبيعات اليومية'!$C$9:$C$308,$C18,'المبيعات اليومية'!$A$9:$A$308,"&gt;="&amp;IF($B$4="",0,$B$4),'المبيعات اليومية'!$A$9:$A$308,"&lt;="&amp;IF($B$5="",2958465,$B$5))))</f>
        <v>0</v>
      </c>
      <c r="I18" s="29" t="n">
        <f aca="false">IF(OR($C18="",$H$208=0),"",H18/$H$208)</f>
        <v>0</v>
      </c>
      <c r="J18" s="19" t="str">
        <f aca="false">IF(OR(C18="",N(E18)=0),"",F18/E18)</f>
        <v/>
      </c>
    </row>
    <row r="19" customFormat="false" ht="15" hidden="false" customHeight="false" outlineLevel="0" collapsed="false">
      <c r="A19" s="21" t="n">
        <f aca="false">IF(C19="","",12)</f>
        <v>12</v>
      </c>
      <c r="B19" s="21" t="n">
        <f aca="false">IF('دليل الأصناف'!$B$15="","",'دليل الأصناف'!$A$15)</f>
        <v>20220</v>
      </c>
      <c r="C19" s="4" t="str">
        <f aca="false">IF('دليل الأصناف'!$B$15="","",'دليل الأصناف'!$B$15)</f>
        <v>ليمون</v>
      </c>
      <c r="D19" s="27" t="n">
        <f aca="false">IF($C19="","",IF($B$4&amp;$B$5="",COUNTIFS('المبيعات اليومية'!$C$9:$C$308,$C19),COUNTIFS('المبيعات اليومية'!$C$9:$C$308,$C19,'المبيعات اليومية'!$A$9:$A$308,"&gt;="&amp;IF($B$4="",0,$B$4),'المبيعات اليومية'!$A$9:$A$308,"&lt;="&amp;IF($B$5="",2958465,$B$5))))</f>
        <v>0</v>
      </c>
      <c r="E19" s="28" t="n">
        <f aca="false">IF($C19="","",IF($B$4&amp;$B$5="",SUMIFS('المبيعات اليومية'!$E$9:$E$308,'المبيعات اليومية'!$C$9:$C$308,$C19),SUMIFS('المبيعات اليومية'!$E$9:$E$308,'المبيعات اليومية'!$C$9:$C$308,$C19,'المبيعات اليومية'!$A$9:$A$308,"&gt;="&amp;IF($B$4="",0,$B$4),'المبيعات اليومية'!$A$9:$A$308,"&lt;="&amp;IF($B$5="",2958465,$B$5))))</f>
        <v>0</v>
      </c>
      <c r="F19" s="19" t="n">
        <f aca="false">IF($C19="","",IF($B$4&amp;$B$5="",SUMIFS('المبيعات اليومية'!$H$9:$H$308,'المبيعات اليومية'!$C$9:$C$308,$C19),SUMIFS('المبيعات اليومية'!$H$9:$H$308,'المبيعات اليومية'!$C$9:$C$308,$C19,'المبيعات اليومية'!$A$9:$A$308,"&gt;="&amp;IF($B$4="",0,$B$4),'المبيعات اليومية'!$A$9:$A$308,"&lt;="&amp;IF($B$5="",2958465,$B$5))))</f>
        <v>0</v>
      </c>
      <c r="G19" s="19" t="n">
        <f aca="false">IF($C19="","",IF($B$4&amp;$B$5="",SUMIFS('المبيعات اليومية'!$I$9:$I$308,'المبيعات اليومية'!$C$9:$C$308,$C19),SUMIFS('المبيعات اليومية'!$I$9:$I$308,'المبيعات اليومية'!$C$9:$C$308,$C19,'المبيعات اليومية'!$A$9:$A$308,"&gt;="&amp;IF($B$4="",0,$B$4),'المبيعات اليومية'!$A$9:$A$308,"&lt;="&amp;IF($B$5="",2958465,$B$5))))</f>
        <v>0</v>
      </c>
      <c r="H19" s="20" t="n">
        <f aca="false">IF($C19="","",IF($B$4&amp;$B$5="",SUMIFS('المبيعات اليومية'!$J$9:$J$308,'المبيعات اليومية'!$C$9:$C$308,$C19),SUMIFS('المبيعات اليومية'!$J$9:$J$308,'المبيعات اليومية'!$C$9:$C$308,$C19,'المبيعات اليومية'!$A$9:$A$308,"&gt;="&amp;IF($B$4="",0,$B$4),'المبيعات اليومية'!$A$9:$A$308,"&lt;="&amp;IF($B$5="",2958465,$B$5))))</f>
        <v>0</v>
      </c>
      <c r="I19" s="29" t="n">
        <f aca="false">IF(OR($C19="",$H$208=0),"",H19/$H$208)</f>
        <v>0</v>
      </c>
      <c r="J19" s="19" t="str">
        <f aca="false">IF(OR(C19="",N(E19)=0),"",F19/E19)</f>
        <v/>
      </c>
    </row>
    <row r="20" customFormat="false" ht="15" hidden="false" customHeight="false" outlineLevel="0" collapsed="false">
      <c r="A20" s="21" t="n">
        <f aca="false">IF(C20="","",13)</f>
        <v>13</v>
      </c>
      <c r="B20" s="21" t="n">
        <f aca="false">IF('دليل الأصناف'!$B$16="","",'دليل الأصناف'!$A$16)</f>
        <v>20221</v>
      </c>
      <c r="C20" s="4" t="str">
        <f aca="false">IF('دليل الأصناف'!$B$16="","",'دليل الأصناف'!$B$16)</f>
        <v>برتقال عصير</v>
      </c>
      <c r="D20" s="27" t="n">
        <f aca="false">IF($C20="","",IF($B$4&amp;$B$5="",COUNTIFS('المبيعات اليومية'!$C$9:$C$308,$C20),COUNTIFS('المبيعات اليومية'!$C$9:$C$308,$C20,'المبيعات اليومية'!$A$9:$A$308,"&gt;="&amp;IF($B$4="",0,$B$4),'المبيعات اليومية'!$A$9:$A$308,"&lt;="&amp;IF($B$5="",2958465,$B$5))))</f>
        <v>1</v>
      </c>
      <c r="E20" s="28" t="n">
        <f aca="false">IF($C20="","",IF($B$4&amp;$B$5="",SUMIFS('المبيعات اليومية'!$E$9:$E$308,'المبيعات اليومية'!$C$9:$C$308,$C20),SUMIFS('المبيعات اليومية'!$E$9:$E$308,'المبيعات اليومية'!$C$9:$C$308,$C20,'المبيعات اليومية'!$A$9:$A$308,"&gt;="&amp;IF($B$4="",0,$B$4),'المبيعات اليومية'!$A$9:$A$308,"&lt;="&amp;IF($B$5="",2958465,$B$5))))</f>
        <v>350</v>
      </c>
      <c r="F20" s="19" t="n">
        <f aca="false">IF($C20="","",IF($B$4&amp;$B$5="",SUMIFS('المبيعات اليومية'!$H$9:$H$308,'المبيعات اليومية'!$C$9:$C$308,$C20),SUMIFS('المبيعات اليومية'!$H$9:$H$308,'المبيعات اليومية'!$C$9:$C$308,$C20,'المبيعات اليومية'!$A$9:$A$308,"&gt;="&amp;IF($B$4="",0,$B$4),'المبيعات اليومية'!$A$9:$A$308,"&lt;="&amp;IF($B$5="",2958465,$B$5))))</f>
        <v>1750</v>
      </c>
      <c r="G20" s="19" t="n">
        <f aca="false">IF($C20="","",IF($B$4&amp;$B$5="",SUMIFS('المبيعات اليومية'!$I$9:$I$308,'المبيعات اليومية'!$C$9:$C$308,$C20),SUMIFS('المبيعات اليومية'!$I$9:$I$308,'المبيعات اليومية'!$C$9:$C$308,$C20,'المبيعات اليومية'!$A$9:$A$308,"&gt;="&amp;IF($B$4="",0,$B$4),'المبيعات اليومية'!$A$9:$A$308,"&lt;="&amp;IF($B$5="",2958465,$B$5))))</f>
        <v>262.5</v>
      </c>
      <c r="H20" s="20" t="n">
        <f aca="false">IF($C20="","",IF($B$4&amp;$B$5="",SUMIFS('المبيعات اليومية'!$J$9:$J$308,'المبيعات اليومية'!$C$9:$C$308,$C20),SUMIFS('المبيعات اليومية'!$J$9:$J$308,'المبيعات اليومية'!$C$9:$C$308,$C20,'المبيعات اليومية'!$A$9:$A$308,"&gt;="&amp;IF($B$4="",0,$B$4),'المبيعات اليومية'!$A$9:$A$308,"&lt;="&amp;IF($B$5="",2958465,$B$5))))</f>
        <v>2012.5</v>
      </c>
      <c r="I20" s="29" t="n">
        <f aca="false">IF(OR($C20="",$H$208=0),"",H20/$H$208)</f>
        <v>0.146510893130405</v>
      </c>
      <c r="J20" s="19" t="n">
        <f aca="false">IF(OR(C20="",N(E20)=0),"",F20/E20)</f>
        <v>5</v>
      </c>
    </row>
    <row r="21" customFormat="false" ht="15" hidden="false" customHeight="false" outlineLevel="0" collapsed="false">
      <c r="A21" s="21" t="n">
        <f aca="false">IF(C21="","",14)</f>
        <v>14</v>
      </c>
      <c r="B21" s="21" t="n">
        <f aca="false">IF('دليل الأصناف'!$B$17="","",'دليل الأصناف'!$A$17)</f>
        <v>20222</v>
      </c>
      <c r="C21" s="4" t="str">
        <f aca="false">IF('دليل الأصناف'!$B$17="","",'دليل الأصناف'!$B$17)</f>
        <v>برتقال أبو صرة</v>
      </c>
      <c r="D21" s="27" t="n">
        <f aca="false">IF($C21="","",IF($B$4&amp;$B$5="",COUNTIFS('المبيعات اليومية'!$C$9:$C$308,$C21),COUNTIFS('المبيعات اليومية'!$C$9:$C$308,$C21,'المبيعات اليومية'!$A$9:$A$308,"&gt;="&amp;IF($B$4="",0,$B$4),'المبيعات اليومية'!$A$9:$A$308,"&lt;="&amp;IF($B$5="",2958465,$B$5))))</f>
        <v>0</v>
      </c>
      <c r="E21" s="28" t="n">
        <f aca="false">IF($C21="","",IF($B$4&amp;$B$5="",SUMIFS('المبيعات اليومية'!$E$9:$E$308,'المبيعات اليومية'!$C$9:$C$308,$C21),SUMIFS('المبيعات اليومية'!$E$9:$E$308,'المبيعات اليومية'!$C$9:$C$308,$C21,'المبيعات اليومية'!$A$9:$A$308,"&gt;="&amp;IF($B$4="",0,$B$4),'المبيعات اليومية'!$A$9:$A$308,"&lt;="&amp;IF($B$5="",2958465,$B$5))))</f>
        <v>0</v>
      </c>
      <c r="F21" s="19" t="n">
        <f aca="false">IF($C21="","",IF($B$4&amp;$B$5="",SUMIFS('المبيعات اليومية'!$H$9:$H$308,'المبيعات اليومية'!$C$9:$C$308,$C21),SUMIFS('المبيعات اليومية'!$H$9:$H$308,'المبيعات اليومية'!$C$9:$C$308,$C21,'المبيعات اليومية'!$A$9:$A$308,"&gt;="&amp;IF($B$4="",0,$B$4),'المبيعات اليومية'!$A$9:$A$308,"&lt;="&amp;IF($B$5="",2958465,$B$5))))</f>
        <v>0</v>
      </c>
      <c r="G21" s="19" t="n">
        <f aca="false">IF($C21="","",IF($B$4&amp;$B$5="",SUMIFS('المبيعات اليومية'!$I$9:$I$308,'المبيعات اليومية'!$C$9:$C$308,$C21),SUMIFS('المبيعات اليومية'!$I$9:$I$308,'المبيعات اليومية'!$C$9:$C$308,$C21,'المبيعات اليومية'!$A$9:$A$308,"&gt;="&amp;IF($B$4="",0,$B$4),'المبيعات اليومية'!$A$9:$A$308,"&lt;="&amp;IF($B$5="",2958465,$B$5))))</f>
        <v>0</v>
      </c>
      <c r="H21" s="20" t="n">
        <f aca="false">IF($C21="","",IF($B$4&amp;$B$5="",SUMIFS('المبيعات اليومية'!$J$9:$J$308,'المبيعات اليومية'!$C$9:$C$308,$C21),SUMIFS('المبيعات اليومية'!$J$9:$J$308,'المبيعات اليومية'!$C$9:$C$308,$C21,'المبيعات اليومية'!$A$9:$A$308,"&gt;="&amp;IF($B$4="",0,$B$4),'المبيعات اليومية'!$A$9:$A$308,"&lt;="&amp;IF($B$5="",2958465,$B$5))))</f>
        <v>0</v>
      </c>
      <c r="I21" s="29" t="n">
        <f aca="false">IF(OR($C21="",$H$208=0),"",H21/$H$208)</f>
        <v>0</v>
      </c>
      <c r="J21" s="19" t="str">
        <f aca="false">IF(OR(C21="",N(E21)=0),"",F21/E21)</f>
        <v/>
      </c>
    </row>
    <row r="22" customFormat="false" ht="15" hidden="false" customHeight="false" outlineLevel="0" collapsed="false">
      <c r="A22" s="21" t="n">
        <f aca="false">IF(C22="","",15)</f>
        <v>15</v>
      </c>
      <c r="B22" s="21" t="n">
        <f aca="false">IF('دليل الأصناف'!$B$18="","",'دليل الأصناف'!$A$18)</f>
        <v>20223</v>
      </c>
      <c r="C22" s="4" t="str">
        <f aca="false">IF('دليل الأصناف'!$B$18="","",'دليل الأصناف'!$B$18)</f>
        <v>كاكا</v>
      </c>
      <c r="D22" s="27" t="n">
        <f aca="false">IF($C22="","",IF($B$4&amp;$B$5="",COUNTIFS('المبيعات اليومية'!$C$9:$C$308,$C22),COUNTIFS('المبيعات اليومية'!$C$9:$C$308,$C22,'المبيعات اليومية'!$A$9:$A$308,"&gt;="&amp;IF($B$4="",0,$B$4),'المبيعات اليومية'!$A$9:$A$308,"&lt;="&amp;IF($B$5="",2958465,$B$5))))</f>
        <v>0</v>
      </c>
      <c r="E22" s="28" t="n">
        <f aca="false">IF($C22="","",IF($B$4&amp;$B$5="",SUMIFS('المبيعات اليومية'!$E$9:$E$308,'المبيعات اليومية'!$C$9:$C$308,$C22),SUMIFS('المبيعات اليومية'!$E$9:$E$308,'المبيعات اليومية'!$C$9:$C$308,$C22,'المبيعات اليومية'!$A$9:$A$308,"&gt;="&amp;IF($B$4="",0,$B$4),'المبيعات اليومية'!$A$9:$A$308,"&lt;="&amp;IF($B$5="",2958465,$B$5))))</f>
        <v>0</v>
      </c>
      <c r="F22" s="19" t="n">
        <f aca="false">IF($C22="","",IF($B$4&amp;$B$5="",SUMIFS('المبيعات اليومية'!$H$9:$H$308,'المبيعات اليومية'!$C$9:$C$308,$C22),SUMIFS('المبيعات اليومية'!$H$9:$H$308,'المبيعات اليومية'!$C$9:$C$308,$C22,'المبيعات اليومية'!$A$9:$A$308,"&gt;="&amp;IF($B$4="",0,$B$4),'المبيعات اليومية'!$A$9:$A$308,"&lt;="&amp;IF($B$5="",2958465,$B$5))))</f>
        <v>0</v>
      </c>
      <c r="G22" s="19" t="n">
        <f aca="false">IF($C22="","",IF($B$4&amp;$B$5="",SUMIFS('المبيعات اليومية'!$I$9:$I$308,'المبيعات اليومية'!$C$9:$C$308,$C22),SUMIFS('المبيعات اليومية'!$I$9:$I$308,'المبيعات اليومية'!$C$9:$C$308,$C22,'المبيعات اليومية'!$A$9:$A$308,"&gt;="&amp;IF($B$4="",0,$B$4),'المبيعات اليومية'!$A$9:$A$308,"&lt;="&amp;IF($B$5="",2958465,$B$5))))</f>
        <v>0</v>
      </c>
      <c r="H22" s="20" t="n">
        <f aca="false">IF($C22="","",IF($B$4&amp;$B$5="",SUMIFS('المبيعات اليومية'!$J$9:$J$308,'المبيعات اليومية'!$C$9:$C$308,$C22),SUMIFS('المبيعات اليومية'!$J$9:$J$308,'المبيعات اليومية'!$C$9:$C$308,$C22,'المبيعات اليومية'!$A$9:$A$308,"&gt;="&amp;IF($B$4="",0,$B$4),'المبيعات اليومية'!$A$9:$A$308,"&lt;="&amp;IF($B$5="",2958465,$B$5))))</f>
        <v>0</v>
      </c>
      <c r="I22" s="29" t="n">
        <f aca="false">IF(OR($C22="",$H$208=0),"",H22/$H$208)</f>
        <v>0</v>
      </c>
      <c r="J22" s="19" t="str">
        <f aca="false">IF(OR(C22="",N(E22)=0),"",F22/E22)</f>
        <v/>
      </c>
    </row>
    <row r="23" customFormat="false" ht="15" hidden="false" customHeight="false" outlineLevel="0" collapsed="false">
      <c r="A23" s="21" t="n">
        <f aca="false">IF(C23="","",16)</f>
        <v>16</v>
      </c>
      <c r="B23" s="21" t="n">
        <f aca="false">IF('دليل الأصناف'!$B$19="","",'دليل الأصناف'!$A$19)</f>
        <v>20224</v>
      </c>
      <c r="C23" s="4" t="str">
        <f aca="false">IF('دليل الأصناف'!$B$19="","",'دليل الأصناف'!$B$19)</f>
        <v>فراوله</v>
      </c>
      <c r="D23" s="27" t="n">
        <f aca="false">IF($C23="","",IF($B$4&amp;$B$5="",COUNTIFS('المبيعات اليومية'!$C$9:$C$308,$C23),COUNTIFS('المبيعات اليومية'!$C$9:$C$308,$C23,'المبيعات اليومية'!$A$9:$A$308,"&gt;="&amp;IF($B$4="",0,$B$4),'المبيعات اليومية'!$A$9:$A$308,"&lt;="&amp;IF($B$5="",2958465,$B$5))))</f>
        <v>1</v>
      </c>
      <c r="E23" s="28" t="n">
        <f aca="false">IF($C23="","",IF($B$4&amp;$B$5="",SUMIFS('المبيعات اليومية'!$E$9:$E$308,'المبيعات اليومية'!$C$9:$C$308,$C23),SUMIFS('المبيعات اليومية'!$E$9:$E$308,'المبيعات اليومية'!$C$9:$C$308,$C23,'المبيعات اليومية'!$A$9:$A$308,"&gt;="&amp;IF($B$4="",0,$B$4),'المبيعات اليومية'!$A$9:$A$308,"&lt;="&amp;IF($B$5="",2958465,$B$5))))</f>
        <v>120</v>
      </c>
      <c r="F23" s="19" t="n">
        <f aca="false">IF($C23="","",IF($B$4&amp;$B$5="",SUMIFS('المبيعات اليومية'!$H$9:$H$308,'المبيعات اليومية'!$C$9:$C$308,$C23),SUMIFS('المبيعات اليومية'!$H$9:$H$308,'المبيعات اليومية'!$C$9:$C$308,$C23,'المبيعات اليومية'!$A$9:$A$308,"&gt;="&amp;IF($B$4="",0,$B$4),'المبيعات اليومية'!$A$9:$A$308,"&lt;="&amp;IF($B$5="",2958465,$B$5))))</f>
        <v>1080</v>
      </c>
      <c r="G23" s="19" t="n">
        <f aca="false">IF($C23="","",IF($B$4&amp;$B$5="",SUMIFS('المبيعات اليومية'!$I$9:$I$308,'المبيعات اليومية'!$C$9:$C$308,$C23),SUMIFS('المبيعات اليومية'!$I$9:$I$308,'المبيعات اليومية'!$C$9:$C$308,$C23,'المبيعات اليومية'!$A$9:$A$308,"&gt;="&amp;IF($B$4="",0,$B$4),'المبيعات اليومية'!$A$9:$A$308,"&lt;="&amp;IF($B$5="",2958465,$B$5))))</f>
        <v>162</v>
      </c>
      <c r="H23" s="20" t="n">
        <f aca="false">IF($C23="","",IF($B$4&amp;$B$5="",SUMIFS('المبيعات اليومية'!$J$9:$J$308,'المبيعات اليومية'!$C$9:$C$308,$C23),SUMIFS('المبيعات اليومية'!$J$9:$J$308,'المبيعات اليومية'!$C$9:$C$308,$C23,'المبيعات اليومية'!$A$9:$A$308,"&gt;="&amp;IF($B$4="",0,$B$4),'المبيعات اليومية'!$A$9:$A$308,"&lt;="&amp;IF($B$5="",2958465,$B$5))))</f>
        <v>1242</v>
      </c>
      <c r="I23" s="29" t="n">
        <f aca="false">IF(OR($C23="",$H$208=0),"",H23/$H$208)</f>
        <v>0.0904181511890497</v>
      </c>
      <c r="J23" s="19" t="n">
        <f aca="false">IF(OR(C23="",N(E23)=0),"",F23/E23)</f>
        <v>9</v>
      </c>
    </row>
    <row r="24" customFormat="false" ht="15" hidden="false" customHeight="false" outlineLevel="0" collapsed="false">
      <c r="A24" s="21" t="n">
        <f aca="false">IF(C24="","",17)</f>
        <v>17</v>
      </c>
      <c r="B24" s="21" t="n">
        <f aca="false">IF('دليل الأصناف'!$B$20="","",'دليل الأصناف'!$A$20)</f>
        <v>20225</v>
      </c>
      <c r="C24" s="4" t="str">
        <f aca="false">IF('دليل الأصناف'!$B$20="","",'دليل الأصناف'!$B$20)</f>
        <v>تفاح احمر</v>
      </c>
      <c r="D24" s="27" t="n">
        <f aca="false">IF($C24="","",IF($B$4&amp;$B$5="",COUNTIFS('المبيعات اليومية'!$C$9:$C$308,$C24),COUNTIFS('المبيعات اليومية'!$C$9:$C$308,$C24,'المبيعات اليومية'!$A$9:$A$308,"&gt;="&amp;IF($B$4="",0,$B$4),'المبيعات اليومية'!$A$9:$A$308,"&lt;="&amp;IF($B$5="",2958465,$B$5))))</f>
        <v>1</v>
      </c>
      <c r="E24" s="28" t="n">
        <f aca="false">IF($C24="","",IF($B$4&amp;$B$5="",SUMIFS('المبيعات اليومية'!$E$9:$E$308,'المبيعات اليومية'!$C$9:$C$308,$C24),SUMIFS('المبيعات اليومية'!$E$9:$E$308,'المبيعات اليومية'!$C$9:$C$308,$C24,'المبيعات اليومية'!$A$9:$A$308,"&gt;="&amp;IF($B$4="",0,$B$4),'المبيعات اليومية'!$A$9:$A$308,"&lt;="&amp;IF($B$5="",2958465,$B$5))))</f>
        <v>150</v>
      </c>
      <c r="F24" s="19" t="n">
        <f aca="false">IF($C24="","",IF($B$4&amp;$B$5="",SUMIFS('المبيعات اليومية'!$H$9:$H$308,'المبيعات اليومية'!$C$9:$C$308,$C24),SUMIFS('المبيعات اليومية'!$H$9:$H$308,'المبيعات اليومية'!$C$9:$C$308,$C24,'المبيعات اليومية'!$A$9:$A$308,"&gt;="&amp;IF($B$4="",0,$B$4),'المبيعات اليومية'!$A$9:$A$308,"&lt;="&amp;IF($B$5="",2958465,$B$5))))</f>
        <v>1125</v>
      </c>
      <c r="G24" s="19" t="n">
        <f aca="false">IF($C24="","",IF($B$4&amp;$B$5="",SUMIFS('المبيعات اليومية'!$I$9:$I$308,'المبيعات اليومية'!$C$9:$C$308,$C24),SUMIFS('المبيعات اليومية'!$I$9:$I$308,'المبيعات اليومية'!$C$9:$C$308,$C24,'المبيعات اليومية'!$A$9:$A$308,"&gt;="&amp;IF($B$4="",0,$B$4),'المبيعات اليومية'!$A$9:$A$308,"&lt;="&amp;IF($B$5="",2958465,$B$5))))</f>
        <v>168.75</v>
      </c>
      <c r="H24" s="20" t="n">
        <f aca="false">IF($C24="","",IF($B$4&amp;$B$5="",SUMIFS('المبيعات اليومية'!$J$9:$J$308,'المبيعات اليومية'!$C$9:$C$308,$C24),SUMIFS('المبيعات اليومية'!$J$9:$J$308,'المبيعات اليومية'!$C$9:$C$308,$C24,'المبيعات اليومية'!$A$9:$A$308,"&gt;="&amp;IF($B$4="",0,$B$4),'المبيعات اليومية'!$A$9:$A$308,"&lt;="&amp;IF($B$5="",2958465,$B$5))))</f>
        <v>1293.75</v>
      </c>
      <c r="I24" s="29" t="n">
        <f aca="false">IF(OR($C24="",$H$208=0),"",H24/$H$208)</f>
        <v>0.0941855741552601</v>
      </c>
      <c r="J24" s="19" t="n">
        <f aca="false">IF(OR(C24="",N(E24)=0),"",F24/E24)</f>
        <v>7.5</v>
      </c>
    </row>
    <row r="25" customFormat="false" ht="15" hidden="false" customHeight="false" outlineLevel="0" collapsed="false">
      <c r="A25" s="21" t="n">
        <f aca="false">IF(C25="","",18)</f>
        <v>18</v>
      </c>
      <c r="B25" s="21" t="n">
        <f aca="false">IF('دليل الأصناف'!$B$21="","",'دليل الأصناف'!$A$21)</f>
        <v>20226</v>
      </c>
      <c r="C25" s="4" t="str">
        <f aca="false">IF('دليل الأصناف'!$B$21="","",'دليل الأصناف'!$B$21)</f>
        <v>تفاح ابيض</v>
      </c>
      <c r="D25" s="27" t="n">
        <f aca="false">IF($C25="","",IF($B$4&amp;$B$5="",COUNTIFS('المبيعات اليومية'!$C$9:$C$308,$C25),COUNTIFS('المبيعات اليومية'!$C$9:$C$308,$C25,'المبيعات اليومية'!$A$9:$A$308,"&gt;="&amp;IF($B$4="",0,$B$4),'المبيعات اليومية'!$A$9:$A$308,"&lt;="&amp;IF($B$5="",2958465,$B$5))))</f>
        <v>0</v>
      </c>
      <c r="E25" s="28" t="n">
        <f aca="false">IF($C25="","",IF($B$4&amp;$B$5="",SUMIFS('المبيعات اليومية'!$E$9:$E$308,'المبيعات اليومية'!$C$9:$C$308,$C25),SUMIFS('المبيعات اليومية'!$E$9:$E$308,'المبيعات اليومية'!$C$9:$C$308,$C25,'المبيعات اليومية'!$A$9:$A$308,"&gt;="&amp;IF($B$4="",0,$B$4),'المبيعات اليومية'!$A$9:$A$308,"&lt;="&amp;IF($B$5="",2958465,$B$5))))</f>
        <v>0</v>
      </c>
      <c r="F25" s="19" t="n">
        <f aca="false">IF($C25="","",IF($B$4&amp;$B$5="",SUMIFS('المبيعات اليومية'!$H$9:$H$308,'المبيعات اليومية'!$C$9:$C$308,$C25),SUMIFS('المبيعات اليومية'!$H$9:$H$308,'المبيعات اليومية'!$C$9:$C$308,$C25,'المبيعات اليومية'!$A$9:$A$308,"&gt;="&amp;IF($B$4="",0,$B$4),'المبيعات اليومية'!$A$9:$A$308,"&lt;="&amp;IF($B$5="",2958465,$B$5))))</f>
        <v>0</v>
      </c>
      <c r="G25" s="19" t="n">
        <f aca="false">IF($C25="","",IF($B$4&amp;$B$5="",SUMIFS('المبيعات اليومية'!$I$9:$I$308,'المبيعات اليومية'!$C$9:$C$308,$C25),SUMIFS('المبيعات اليومية'!$I$9:$I$308,'المبيعات اليومية'!$C$9:$C$308,$C25,'المبيعات اليومية'!$A$9:$A$308,"&gt;="&amp;IF($B$4="",0,$B$4),'المبيعات اليومية'!$A$9:$A$308,"&lt;="&amp;IF($B$5="",2958465,$B$5))))</f>
        <v>0</v>
      </c>
      <c r="H25" s="20" t="n">
        <f aca="false">IF($C25="","",IF($B$4&amp;$B$5="",SUMIFS('المبيعات اليومية'!$J$9:$J$308,'المبيعات اليومية'!$C$9:$C$308,$C25),SUMIFS('المبيعات اليومية'!$J$9:$J$308,'المبيعات اليومية'!$C$9:$C$308,$C25,'المبيعات اليومية'!$A$9:$A$308,"&gt;="&amp;IF($B$4="",0,$B$4),'المبيعات اليومية'!$A$9:$A$308,"&lt;="&amp;IF($B$5="",2958465,$B$5))))</f>
        <v>0</v>
      </c>
      <c r="I25" s="29" t="n">
        <f aca="false">IF(OR($C25="",$H$208=0),"",H25/$H$208)</f>
        <v>0</v>
      </c>
      <c r="J25" s="19" t="str">
        <f aca="false">IF(OR(C25="",N(E25)=0),"",F25/E25)</f>
        <v/>
      </c>
    </row>
    <row r="26" customFormat="false" ht="15" hidden="false" customHeight="false" outlineLevel="0" collapsed="false">
      <c r="A26" s="21" t="n">
        <f aca="false">IF(C26="","",19)</f>
        <v>19</v>
      </c>
      <c r="B26" s="21" t="n">
        <f aca="false">IF('دليل الأصناف'!$B$22="","",'دليل الأصناف'!$A$22)</f>
        <v>20227</v>
      </c>
      <c r="C26" s="4" t="str">
        <f aca="false">IF('دليل الأصناف'!$B$22="","",'دليل الأصناف'!$B$22)</f>
        <v>رمان</v>
      </c>
      <c r="D26" s="27" t="n">
        <f aca="false">IF($C26="","",IF($B$4&amp;$B$5="",COUNTIFS('المبيعات اليومية'!$C$9:$C$308,$C26),COUNTIFS('المبيعات اليومية'!$C$9:$C$308,$C26,'المبيعات اليومية'!$A$9:$A$308,"&gt;="&amp;IF($B$4="",0,$B$4),'المبيعات اليومية'!$A$9:$A$308,"&lt;="&amp;IF($B$5="",2958465,$B$5))))</f>
        <v>1</v>
      </c>
      <c r="E26" s="28" t="n">
        <f aca="false">IF($C26="","",IF($B$4&amp;$B$5="",SUMIFS('المبيعات اليومية'!$E$9:$E$308,'المبيعات اليومية'!$C$9:$C$308,$C26),SUMIFS('المبيعات اليومية'!$E$9:$E$308,'المبيعات اليومية'!$C$9:$C$308,$C26,'المبيعات اليومية'!$A$9:$A$308,"&gt;="&amp;IF($B$4="",0,$B$4),'المبيعات اليومية'!$A$9:$A$308,"&lt;="&amp;IF($B$5="",2958465,$B$5))))</f>
        <v>200</v>
      </c>
      <c r="F26" s="19" t="n">
        <f aca="false">IF($C26="","",IF($B$4&amp;$B$5="",SUMIFS('المبيعات اليومية'!$H$9:$H$308,'المبيعات اليومية'!$C$9:$C$308,$C26),SUMIFS('المبيعات اليومية'!$H$9:$H$308,'المبيعات اليومية'!$C$9:$C$308,$C26,'المبيعات اليومية'!$A$9:$A$308,"&gt;="&amp;IF($B$4="",0,$B$4),'المبيعات اليومية'!$A$9:$A$308,"&lt;="&amp;IF($B$5="",2958465,$B$5))))</f>
        <v>1600</v>
      </c>
      <c r="G26" s="19" t="n">
        <f aca="false">IF($C26="","",IF($B$4&amp;$B$5="",SUMIFS('المبيعات اليومية'!$I$9:$I$308,'المبيعات اليومية'!$C$9:$C$308,$C26),SUMIFS('المبيعات اليومية'!$I$9:$I$308,'المبيعات اليومية'!$C$9:$C$308,$C26,'المبيعات اليومية'!$A$9:$A$308,"&gt;="&amp;IF($B$4="",0,$B$4),'المبيعات اليومية'!$A$9:$A$308,"&lt;="&amp;IF($B$5="",2958465,$B$5))))</f>
        <v>240</v>
      </c>
      <c r="H26" s="20" t="n">
        <f aca="false">IF($C26="","",IF($B$4&amp;$B$5="",SUMIFS('المبيعات اليومية'!$J$9:$J$308,'المبيعات اليومية'!$C$9:$C$308,$C26),SUMIFS('المبيعات اليومية'!$J$9:$J$308,'المبيعات اليومية'!$C$9:$C$308,$C26,'المبيعات اليومية'!$A$9:$A$308,"&gt;="&amp;IF($B$4="",0,$B$4),'المبيعات اليومية'!$A$9:$A$308,"&lt;="&amp;IF($B$5="",2958465,$B$5))))</f>
        <v>1840</v>
      </c>
      <c r="I26" s="29" t="n">
        <f aca="false">IF(OR($C26="",$H$208=0),"",H26/$H$208)</f>
        <v>0.13395281657637</v>
      </c>
      <c r="J26" s="19" t="n">
        <f aca="false">IF(OR(C26="",N(E26)=0),"",F26/E26)</f>
        <v>8</v>
      </c>
    </row>
    <row r="27" customFormat="false" ht="15" hidden="false" customHeight="false" outlineLevel="0" collapsed="false">
      <c r="A27" s="21" t="n">
        <f aca="false">IF(C27="","",20)</f>
        <v>20</v>
      </c>
      <c r="B27" s="21" t="n">
        <f aca="false">IF('دليل الأصناف'!$B$23="","",'دليل الأصناف'!$A$23)</f>
        <v>20228</v>
      </c>
      <c r="C27" s="4" t="str">
        <f aca="false">IF('دليل الأصناف'!$B$23="","",'دليل الأصناف'!$B$23)</f>
        <v>افندي</v>
      </c>
      <c r="D27" s="27" t="n">
        <f aca="false">IF($C27="","",IF($B$4&amp;$B$5="",COUNTIFS('المبيعات اليومية'!$C$9:$C$308,$C27),COUNTIFS('المبيعات اليومية'!$C$9:$C$308,$C27,'المبيعات اليومية'!$A$9:$A$308,"&gt;="&amp;IF($B$4="",0,$B$4),'المبيعات اليومية'!$A$9:$A$308,"&lt;="&amp;IF($B$5="",2958465,$B$5))))</f>
        <v>0</v>
      </c>
      <c r="E27" s="28" t="n">
        <f aca="false">IF($C27="","",IF($B$4&amp;$B$5="",SUMIFS('المبيعات اليومية'!$E$9:$E$308,'المبيعات اليومية'!$C$9:$C$308,$C27),SUMIFS('المبيعات اليومية'!$E$9:$E$308,'المبيعات اليومية'!$C$9:$C$308,$C27,'المبيعات اليومية'!$A$9:$A$308,"&gt;="&amp;IF($B$4="",0,$B$4),'المبيعات اليومية'!$A$9:$A$308,"&lt;="&amp;IF($B$5="",2958465,$B$5))))</f>
        <v>0</v>
      </c>
      <c r="F27" s="19" t="n">
        <f aca="false">IF($C27="","",IF($B$4&amp;$B$5="",SUMIFS('المبيعات اليومية'!$H$9:$H$308,'المبيعات اليومية'!$C$9:$C$308,$C27),SUMIFS('المبيعات اليومية'!$H$9:$H$308,'المبيعات اليومية'!$C$9:$C$308,$C27,'المبيعات اليومية'!$A$9:$A$308,"&gt;="&amp;IF($B$4="",0,$B$4),'المبيعات اليومية'!$A$9:$A$308,"&lt;="&amp;IF($B$5="",2958465,$B$5))))</f>
        <v>0</v>
      </c>
      <c r="G27" s="19" t="n">
        <f aca="false">IF($C27="","",IF($B$4&amp;$B$5="",SUMIFS('المبيعات اليومية'!$I$9:$I$308,'المبيعات اليومية'!$C$9:$C$308,$C27),SUMIFS('المبيعات اليومية'!$I$9:$I$308,'المبيعات اليومية'!$C$9:$C$308,$C27,'المبيعات اليومية'!$A$9:$A$308,"&gt;="&amp;IF($B$4="",0,$B$4),'المبيعات اليومية'!$A$9:$A$308,"&lt;="&amp;IF($B$5="",2958465,$B$5))))</f>
        <v>0</v>
      </c>
      <c r="H27" s="20" t="n">
        <f aca="false">IF($C27="","",IF($B$4&amp;$B$5="",SUMIFS('المبيعات اليومية'!$J$9:$J$308,'المبيعات اليومية'!$C$9:$C$308,$C27),SUMIFS('المبيعات اليومية'!$J$9:$J$308,'المبيعات اليومية'!$C$9:$C$308,$C27,'المبيعات اليومية'!$A$9:$A$308,"&gt;="&amp;IF($B$4="",0,$B$4),'المبيعات اليومية'!$A$9:$A$308,"&lt;="&amp;IF($B$5="",2958465,$B$5))))</f>
        <v>0</v>
      </c>
      <c r="I27" s="29" t="n">
        <f aca="false">IF(OR($C27="",$H$208=0),"",H27/$H$208)</f>
        <v>0</v>
      </c>
      <c r="J27" s="19" t="str">
        <f aca="false">IF(OR(C27="",N(E27)=0),"",F27/E27)</f>
        <v/>
      </c>
    </row>
    <row r="28" customFormat="false" ht="15" hidden="false" customHeight="false" outlineLevel="0" collapsed="false">
      <c r="A28" s="21" t="str">
        <f aca="false">IF(C28="","",21)</f>
        <v/>
      </c>
      <c r="B28" s="21" t="str">
        <f aca="false">IF('دليل الأصناف'!$B$24="","",'دليل الأصناف'!$A$24)</f>
        <v/>
      </c>
      <c r="C28" s="4" t="str">
        <f aca="false">IF('دليل الأصناف'!$B$24="","",'دليل الأصناف'!$B$24)</f>
        <v/>
      </c>
      <c r="D28" s="27" t="str">
        <f aca="false">IF($C28="","",IF($B$4&amp;$B$5="",COUNTIFS('المبيعات اليومية'!$C$9:$C$308,$C28),COUNTIFS('المبيعات اليومية'!$C$9:$C$308,$C28,'المبيعات اليومية'!$A$9:$A$308,"&gt;="&amp;IF($B$4="",0,$B$4),'المبيعات اليومية'!$A$9:$A$308,"&lt;="&amp;IF($B$5="",2958465,$B$5))))</f>
        <v/>
      </c>
      <c r="E28" s="28" t="str">
        <f aca="false">IF($C28="","",IF($B$4&amp;$B$5="",SUMIFS('المبيعات اليومية'!$E$9:$E$308,'المبيعات اليومية'!$C$9:$C$308,$C28),SUMIFS('المبيعات اليومية'!$E$9:$E$308,'المبيعات اليومية'!$C$9:$C$308,$C28,'المبيعات اليومية'!$A$9:$A$308,"&gt;="&amp;IF($B$4="",0,$B$4),'المبيعات اليومية'!$A$9:$A$308,"&lt;="&amp;IF($B$5="",2958465,$B$5))))</f>
        <v/>
      </c>
      <c r="F28" s="19" t="str">
        <f aca="false">IF($C28="","",IF($B$4&amp;$B$5="",SUMIFS('المبيعات اليومية'!$H$9:$H$308,'المبيعات اليومية'!$C$9:$C$308,$C28),SUMIFS('المبيعات اليومية'!$H$9:$H$308,'المبيعات اليومية'!$C$9:$C$308,$C28,'المبيعات اليومية'!$A$9:$A$308,"&gt;="&amp;IF($B$4="",0,$B$4),'المبيعات اليومية'!$A$9:$A$308,"&lt;="&amp;IF($B$5="",2958465,$B$5))))</f>
        <v/>
      </c>
      <c r="G28" s="19" t="str">
        <f aca="false">IF($C28="","",IF($B$4&amp;$B$5="",SUMIFS('المبيعات اليومية'!$I$9:$I$308,'المبيعات اليومية'!$C$9:$C$308,$C28),SUMIFS('المبيعات اليومية'!$I$9:$I$308,'المبيعات اليومية'!$C$9:$C$308,$C28,'المبيعات اليومية'!$A$9:$A$308,"&gt;="&amp;IF($B$4="",0,$B$4),'المبيعات اليومية'!$A$9:$A$308,"&lt;="&amp;IF($B$5="",2958465,$B$5))))</f>
        <v/>
      </c>
      <c r="H28" s="20" t="str">
        <f aca="false">IF($C28="","",IF($B$4&amp;$B$5="",SUMIFS('المبيعات اليومية'!$J$9:$J$308,'المبيعات اليومية'!$C$9:$C$308,$C28),SUMIFS('المبيعات اليومية'!$J$9:$J$308,'المبيعات اليومية'!$C$9:$C$308,$C28,'المبيعات اليومية'!$A$9:$A$308,"&gt;="&amp;IF($B$4="",0,$B$4),'المبيعات اليومية'!$A$9:$A$308,"&lt;="&amp;IF($B$5="",2958465,$B$5))))</f>
        <v/>
      </c>
      <c r="I28" s="29" t="str">
        <f aca="false">IF(OR($C28="",$H$208=0),"",H28/$H$208)</f>
        <v/>
      </c>
      <c r="J28" s="19" t="str">
        <f aca="false">IF(OR(C28="",N(E28)=0),"",F28/E28)</f>
        <v/>
      </c>
    </row>
    <row r="29" customFormat="false" ht="15" hidden="false" customHeight="false" outlineLevel="0" collapsed="false">
      <c r="A29" s="21" t="str">
        <f aca="false">IF(C29="","",22)</f>
        <v/>
      </c>
      <c r="B29" s="21" t="str">
        <f aca="false">IF('دليل الأصناف'!$B$25="","",'دليل الأصناف'!$A$25)</f>
        <v/>
      </c>
      <c r="C29" s="4" t="str">
        <f aca="false">IF('دليل الأصناف'!$B$25="","",'دليل الأصناف'!$B$25)</f>
        <v/>
      </c>
      <c r="D29" s="27" t="str">
        <f aca="false">IF($C29="","",IF($B$4&amp;$B$5="",COUNTIFS('المبيعات اليومية'!$C$9:$C$308,$C29),COUNTIFS('المبيعات اليومية'!$C$9:$C$308,$C29,'المبيعات اليومية'!$A$9:$A$308,"&gt;="&amp;IF($B$4="",0,$B$4),'المبيعات اليومية'!$A$9:$A$308,"&lt;="&amp;IF($B$5="",2958465,$B$5))))</f>
        <v/>
      </c>
      <c r="E29" s="28" t="str">
        <f aca="false">IF($C29="","",IF($B$4&amp;$B$5="",SUMIFS('المبيعات اليومية'!$E$9:$E$308,'المبيعات اليومية'!$C$9:$C$308,$C29),SUMIFS('المبيعات اليومية'!$E$9:$E$308,'المبيعات اليومية'!$C$9:$C$308,$C29,'المبيعات اليومية'!$A$9:$A$308,"&gt;="&amp;IF($B$4="",0,$B$4),'المبيعات اليومية'!$A$9:$A$308,"&lt;="&amp;IF($B$5="",2958465,$B$5))))</f>
        <v/>
      </c>
      <c r="F29" s="19" t="str">
        <f aca="false">IF($C29="","",IF($B$4&amp;$B$5="",SUMIFS('المبيعات اليومية'!$H$9:$H$308,'المبيعات اليومية'!$C$9:$C$308,$C29),SUMIFS('المبيعات اليومية'!$H$9:$H$308,'المبيعات اليومية'!$C$9:$C$308,$C29,'المبيعات اليومية'!$A$9:$A$308,"&gt;="&amp;IF($B$4="",0,$B$4),'المبيعات اليومية'!$A$9:$A$308,"&lt;="&amp;IF($B$5="",2958465,$B$5))))</f>
        <v/>
      </c>
      <c r="G29" s="19" t="str">
        <f aca="false">IF($C29="","",IF($B$4&amp;$B$5="",SUMIFS('المبيعات اليومية'!$I$9:$I$308,'المبيعات اليومية'!$C$9:$C$308,$C29),SUMIFS('المبيعات اليومية'!$I$9:$I$308,'المبيعات اليومية'!$C$9:$C$308,$C29,'المبيعات اليومية'!$A$9:$A$308,"&gt;="&amp;IF($B$4="",0,$B$4),'المبيعات اليومية'!$A$9:$A$308,"&lt;="&amp;IF($B$5="",2958465,$B$5))))</f>
        <v/>
      </c>
      <c r="H29" s="20" t="str">
        <f aca="false">IF($C29="","",IF($B$4&amp;$B$5="",SUMIFS('المبيعات اليومية'!$J$9:$J$308,'المبيعات اليومية'!$C$9:$C$308,$C29),SUMIFS('المبيعات اليومية'!$J$9:$J$308,'المبيعات اليومية'!$C$9:$C$308,$C29,'المبيعات اليومية'!$A$9:$A$308,"&gt;="&amp;IF($B$4="",0,$B$4),'المبيعات اليومية'!$A$9:$A$308,"&lt;="&amp;IF($B$5="",2958465,$B$5))))</f>
        <v/>
      </c>
      <c r="I29" s="29" t="str">
        <f aca="false">IF(OR($C29="",$H$208=0),"",H29/$H$208)</f>
        <v/>
      </c>
      <c r="J29" s="19" t="str">
        <f aca="false">IF(OR(C29="",N(E29)=0),"",F29/E29)</f>
        <v/>
      </c>
    </row>
    <row r="30" customFormat="false" ht="15" hidden="false" customHeight="false" outlineLevel="0" collapsed="false">
      <c r="A30" s="21" t="str">
        <f aca="false">IF(C30="","",23)</f>
        <v/>
      </c>
      <c r="B30" s="21" t="str">
        <f aca="false">IF('دليل الأصناف'!$B$26="","",'دليل الأصناف'!$A$26)</f>
        <v/>
      </c>
      <c r="C30" s="4" t="str">
        <f aca="false">IF('دليل الأصناف'!$B$26="","",'دليل الأصناف'!$B$26)</f>
        <v/>
      </c>
      <c r="D30" s="27" t="str">
        <f aca="false">IF($C30="","",IF($B$4&amp;$B$5="",COUNTIFS('المبيعات اليومية'!$C$9:$C$308,$C30),COUNTIFS('المبيعات اليومية'!$C$9:$C$308,$C30,'المبيعات اليومية'!$A$9:$A$308,"&gt;="&amp;IF($B$4="",0,$B$4),'المبيعات اليومية'!$A$9:$A$308,"&lt;="&amp;IF($B$5="",2958465,$B$5))))</f>
        <v/>
      </c>
      <c r="E30" s="28" t="str">
        <f aca="false">IF($C30="","",IF($B$4&amp;$B$5="",SUMIFS('المبيعات اليومية'!$E$9:$E$308,'المبيعات اليومية'!$C$9:$C$308,$C30),SUMIFS('المبيعات اليومية'!$E$9:$E$308,'المبيعات اليومية'!$C$9:$C$308,$C30,'المبيعات اليومية'!$A$9:$A$308,"&gt;="&amp;IF($B$4="",0,$B$4),'المبيعات اليومية'!$A$9:$A$308,"&lt;="&amp;IF($B$5="",2958465,$B$5))))</f>
        <v/>
      </c>
      <c r="F30" s="19" t="str">
        <f aca="false">IF($C30="","",IF($B$4&amp;$B$5="",SUMIFS('المبيعات اليومية'!$H$9:$H$308,'المبيعات اليومية'!$C$9:$C$308,$C30),SUMIFS('المبيعات اليومية'!$H$9:$H$308,'المبيعات اليومية'!$C$9:$C$308,$C30,'المبيعات اليومية'!$A$9:$A$308,"&gt;="&amp;IF($B$4="",0,$B$4),'المبيعات اليومية'!$A$9:$A$308,"&lt;="&amp;IF($B$5="",2958465,$B$5))))</f>
        <v/>
      </c>
      <c r="G30" s="19" t="str">
        <f aca="false">IF($C30="","",IF($B$4&amp;$B$5="",SUMIFS('المبيعات اليومية'!$I$9:$I$308,'المبيعات اليومية'!$C$9:$C$308,$C30),SUMIFS('المبيعات اليومية'!$I$9:$I$308,'المبيعات اليومية'!$C$9:$C$308,$C30,'المبيعات اليومية'!$A$9:$A$308,"&gt;="&amp;IF($B$4="",0,$B$4),'المبيعات اليومية'!$A$9:$A$308,"&lt;="&amp;IF($B$5="",2958465,$B$5))))</f>
        <v/>
      </c>
      <c r="H30" s="20" t="str">
        <f aca="false">IF($C30="","",IF($B$4&amp;$B$5="",SUMIFS('المبيعات اليومية'!$J$9:$J$308,'المبيعات اليومية'!$C$9:$C$308,$C30),SUMIFS('المبيعات اليومية'!$J$9:$J$308,'المبيعات اليومية'!$C$9:$C$308,$C30,'المبيعات اليومية'!$A$9:$A$308,"&gt;="&amp;IF($B$4="",0,$B$4),'المبيعات اليومية'!$A$9:$A$308,"&lt;="&amp;IF($B$5="",2958465,$B$5))))</f>
        <v/>
      </c>
      <c r="I30" s="29" t="str">
        <f aca="false">IF(OR($C30="",$H$208=0),"",H30/$H$208)</f>
        <v/>
      </c>
      <c r="J30" s="19" t="str">
        <f aca="false">IF(OR(C30="",N(E30)=0),"",F30/E30)</f>
        <v/>
      </c>
    </row>
    <row r="31" customFormat="false" ht="15" hidden="false" customHeight="false" outlineLevel="0" collapsed="false">
      <c r="A31" s="21" t="str">
        <f aca="false">IF(C31="","",24)</f>
        <v/>
      </c>
      <c r="B31" s="21" t="str">
        <f aca="false">IF('دليل الأصناف'!$B$27="","",'دليل الأصناف'!$A$27)</f>
        <v/>
      </c>
      <c r="C31" s="4" t="str">
        <f aca="false">IF('دليل الأصناف'!$B$27="","",'دليل الأصناف'!$B$27)</f>
        <v/>
      </c>
      <c r="D31" s="27" t="str">
        <f aca="false">IF($C31="","",IF($B$4&amp;$B$5="",COUNTIFS('المبيعات اليومية'!$C$9:$C$308,$C31),COUNTIFS('المبيعات اليومية'!$C$9:$C$308,$C31,'المبيعات اليومية'!$A$9:$A$308,"&gt;="&amp;IF($B$4="",0,$B$4),'المبيعات اليومية'!$A$9:$A$308,"&lt;="&amp;IF($B$5="",2958465,$B$5))))</f>
        <v/>
      </c>
      <c r="E31" s="28" t="str">
        <f aca="false">IF($C31="","",IF($B$4&amp;$B$5="",SUMIFS('المبيعات اليومية'!$E$9:$E$308,'المبيعات اليومية'!$C$9:$C$308,$C31),SUMIFS('المبيعات اليومية'!$E$9:$E$308,'المبيعات اليومية'!$C$9:$C$308,$C31,'المبيعات اليومية'!$A$9:$A$308,"&gt;="&amp;IF($B$4="",0,$B$4),'المبيعات اليومية'!$A$9:$A$308,"&lt;="&amp;IF($B$5="",2958465,$B$5))))</f>
        <v/>
      </c>
      <c r="F31" s="19" t="str">
        <f aca="false">IF($C31="","",IF($B$4&amp;$B$5="",SUMIFS('المبيعات اليومية'!$H$9:$H$308,'المبيعات اليومية'!$C$9:$C$308,$C31),SUMIFS('المبيعات اليومية'!$H$9:$H$308,'المبيعات اليومية'!$C$9:$C$308,$C31,'المبيعات اليومية'!$A$9:$A$308,"&gt;="&amp;IF($B$4="",0,$B$4),'المبيعات اليومية'!$A$9:$A$308,"&lt;="&amp;IF($B$5="",2958465,$B$5))))</f>
        <v/>
      </c>
      <c r="G31" s="19" t="str">
        <f aca="false">IF($C31="","",IF($B$4&amp;$B$5="",SUMIFS('المبيعات اليومية'!$I$9:$I$308,'المبيعات اليومية'!$C$9:$C$308,$C31),SUMIFS('المبيعات اليومية'!$I$9:$I$308,'المبيعات اليومية'!$C$9:$C$308,$C31,'المبيعات اليومية'!$A$9:$A$308,"&gt;="&amp;IF($B$4="",0,$B$4),'المبيعات اليومية'!$A$9:$A$308,"&lt;="&amp;IF($B$5="",2958465,$B$5))))</f>
        <v/>
      </c>
      <c r="H31" s="20" t="str">
        <f aca="false">IF($C31="","",IF($B$4&amp;$B$5="",SUMIFS('المبيعات اليومية'!$J$9:$J$308,'المبيعات اليومية'!$C$9:$C$308,$C31),SUMIFS('المبيعات اليومية'!$J$9:$J$308,'المبيعات اليومية'!$C$9:$C$308,$C31,'المبيعات اليومية'!$A$9:$A$308,"&gt;="&amp;IF($B$4="",0,$B$4),'المبيعات اليومية'!$A$9:$A$308,"&lt;="&amp;IF($B$5="",2958465,$B$5))))</f>
        <v/>
      </c>
      <c r="I31" s="29" t="str">
        <f aca="false">IF(OR($C31="",$H$208=0),"",H31/$H$208)</f>
        <v/>
      </c>
      <c r="J31" s="19" t="str">
        <f aca="false">IF(OR(C31="",N(E31)=0),"",F31/E31)</f>
        <v/>
      </c>
    </row>
    <row r="32" customFormat="false" ht="15" hidden="false" customHeight="false" outlineLevel="0" collapsed="false">
      <c r="A32" s="21" t="str">
        <f aca="false">IF(C32="","",25)</f>
        <v/>
      </c>
      <c r="B32" s="21" t="str">
        <f aca="false">IF('دليل الأصناف'!$B$28="","",'دليل الأصناف'!$A$28)</f>
        <v/>
      </c>
      <c r="C32" s="4" t="str">
        <f aca="false">IF('دليل الأصناف'!$B$28="","",'دليل الأصناف'!$B$28)</f>
        <v/>
      </c>
      <c r="D32" s="27" t="str">
        <f aca="false">IF($C32="","",IF($B$4&amp;$B$5="",COUNTIFS('المبيعات اليومية'!$C$9:$C$308,$C32),COUNTIFS('المبيعات اليومية'!$C$9:$C$308,$C32,'المبيعات اليومية'!$A$9:$A$308,"&gt;="&amp;IF($B$4="",0,$B$4),'المبيعات اليومية'!$A$9:$A$308,"&lt;="&amp;IF($B$5="",2958465,$B$5))))</f>
        <v/>
      </c>
      <c r="E32" s="28" t="str">
        <f aca="false">IF($C32="","",IF($B$4&amp;$B$5="",SUMIFS('المبيعات اليومية'!$E$9:$E$308,'المبيعات اليومية'!$C$9:$C$308,$C32),SUMIFS('المبيعات اليومية'!$E$9:$E$308,'المبيعات اليومية'!$C$9:$C$308,$C32,'المبيعات اليومية'!$A$9:$A$308,"&gt;="&amp;IF($B$4="",0,$B$4),'المبيعات اليومية'!$A$9:$A$308,"&lt;="&amp;IF($B$5="",2958465,$B$5))))</f>
        <v/>
      </c>
      <c r="F32" s="19" t="str">
        <f aca="false">IF($C32="","",IF($B$4&amp;$B$5="",SUMIFS('المبيعات اليومية'!$H$9:$H$308,'المبيعات اليومية'!$C$9:$C$308,$C32),SUMIFS('المبيعات اليومية'!$H$9:$H$308,'المبيعات اليومية'!$C$9:$C$308,$C32,'المبيعات اليومية'!$A$9:$A$308,"&gt;="&amp;IF($B$4="",0,$B$4),'المبيعات اليومية'!$A$9:$A$308,"&lt;="&amp;IF($B$5="",2958465,$B$5))))</f>
        <v/>
      </c>
      <c r="G32" s="19" t="str">
        <f aca="false">IF($C32="","",IF($B$4&amp;$B$5="",SUMIFS('المبيعات اليومية'!$I$9:$I$308,'المبيعات اليومية'!$C$9:$C$308,$C32),SUMIFS('المبيعات اليومية'!$I$9:$I$308,'المبيعات اليومية'!$C$9:$C$308,$C32,'المبيعات اليومية'!$A$9:$A$308,"&gt;="&amp;IF($B$4="",0,$B$4),'المبيعات اليومية'!$A$9:$A$308,"&lt;="&amp;IF($B$5="",2958465,$B$5))))</f>
        <v/>
      </c>
      <c r="H32" s="20" t="str">
        <f aca="false">IF($C32="","",IF($B$4&amp;$B$5="",SUMIFS('المبيعات اليومية'!$J$9:$J$308,'المبيعات اليومية'!$C$9:$C$308,$C32),SUMIFS('المبيعات اليومية'!$J$9:$J$308,'المبيعات اليومية'!$C$9:$C$308,$C32,'المبيعات اليومية'!$A$9:$A$308,"&gt;="&amp;IF($B$4="",0,$B$4),'المبيعات اليومية'!$A$9:$A$308,"&lt;="&amp;IF($B$5="",2958465,$B$5))))</f>
        <v/>
      </c>
      <c r="I32" s="29" t="str">
        <f aca="false">IF(OR($C32="",$H$208=0),"",H32/$H$208)</f>
        <v/>
      </c>
      <c r="J32" s="19" t="str">
        <f aca="false">IF(OR(C32="",N(E32)=0),"",F32/E32)</f>
        <v/>
      </c>
    </row>
    <row r="33" customFormat="false" ht="15" hidden="false" customHeight="false" outlineLevel="0" collapsed="false">
      <c r="A33" s="21" t="str">
        <f aca="false">IF(C33="","",26)</f>
        <v/>
      </c>
      <c r="B33" s="21" t="str">
        <f aca="false">IF('دليل الأصناف'!$B$29="","",'دليل الأصناف'!$A$29)</f>
        <v/>
      </c>
      <c r="C33" s="4" t="str">
        <f aca="false">IF('دليل الأصناف'!$B$29="","",'دليل الأصناف'!$B$29)</f>
        <v/>
      </c>
      <c r="D33" s="27" t="str">
        <f aca="false">IF($C33="","",IF($B$4&amp;$B$5="",COUNTIFS('المبيعات اليومية'!$C$9:$C$308,$C33),COUNTIFS('المبيعات اليومية'!$C$9:$C$308,$C33,'المبيعات اليومية'!$A$9:$A$308,"&gt;="&amp;IF($B$4="",0,$B$4),'المبيعات اليومية'!$A$9:$A$308,"&lt;="&amp;IF($B$5="",2958465,$B$5))))</f>
        <v/>
      </c>
      <c r="E33" s="28" t="str">
        <f aca="false">IF($C33="","",IF($B$4&amp;$B$5="",SUMIFS('المبيعات اليومية'!$E$9:$E$308,'المبيعات اليومية'!$C$9:$C$308,$C33),SUMIFS('المبيعات اليومية'!$E$9:$E$308,'المبيعات اليومية'!$C$9:$C$308,$C33,'المبيعات اليومية'!$A$9:$A$308,"&gt;="&amp;IF($B$4="",0,$B$4),'المبيعات اليومية'!$A$9:$A$308,"&lt;="&amp;IF($B$5="",2958465,$B$5))))</f>
        <v/>
      </c>
      <c r="F33" s="19" t="str">
        <f aca="false">IF($C33="","",IF($B$4&amp;$B$5="",SUMIFS('المبيعات اليومية'!$H$9:$H$308,'المبيعات اليومية'!$C$9:$C$308,$C33),SUMIFS('المبيعات اليومية'!$H$9:$H$308,'المبيعات اليومية'!$C$9:$C$308,$C33,'المبيعات اليومية'!$A$9:$A$308,"&gt;="&amp;IF($B$4="",0,$B$4),'المبيعات اليومية'!$A$9:$A$308,"&lt;="&amp;IF($B$5="",2958465,$B$5))))</f>
        <v/>
      </c>
      <c r="G33" s="19" t="str">
        <f aca="false">IF($C33="","",IF($B$4&amp;$B$5="",SUMIFS('المبيعات اليومية'!$I$9:$I$308,'المبيعات اليومية'!$C$9:$C$308,$C33),SUMIFS('المبيعات اليومية'!$I$9:$I$308,'المبيعات اليومية'!$C$9:$C$308,$C33,'المبيعات اليومية'!$A$9:$A$308,"&gt;="&amp;IF($B$4="",0,$B$4),'المبيعات اليومية'!$A$9:$A$308,"&lt;="&amp;IF($B$5="",2958465,$B$5))))</f>
        <v/>
      </c>
      <c r="H33" s="20" t="str">
        <f aca="false">IF($C33="","",IF($B$4&amp;$B$5="",SUMIFS('المبيعات اليومية'!$J$9:$J$308,'المبيعات اليومية'!$C$9:$C$308,$C33),SUMIFS('المبيعات اليومية'!$J$9:$J$308,'المبيعات اليومية'!$C$9:$C$308,$C33,'المبيعات اليومية'!$A$9:$A$308,"&gt;="&amp;IF($B$4="",0,$B$4),'المبيعات اليومية'!$A$9:$A$308,"&lt;="&amp;IF($B$5="",2958465,$B$5))))</f>
        <v/>
      </c>
      <c r="I33" s="29" t="str">
        <f aca="false">IF(OR($C33="",$H$208=0),"",H33/$H$208)</f>
        <v/>
      </c>
      <c r="J33" s="19" t="str">
        <f aca="false">IF(OR(C33="",N(E33)=0),"",F33/E33)</f>
        <v/>
      </c>
    </row>
    <row r="34" customFormat="false" ht="15" hidden="false" customHeight="false" outlineLevel="0" collapsed="false">
      <c r="A34" s="21" t="str">
        <f aca="false">IF(C34="","",27)</f>
        <v/>
      </c>
      <c r="B34" s="21" t="str">
        <f aca="false">IF('دليل الأصناف'!$B$30="","",'دليل الأصناف'!$A$30)</f>
        <v/>
      </c>
      <c r="C34" s="4" t="str">
        <f aca="false">IF('دليل الأصناف'!$B$30="","",'دليل الأصناف'!$B$30)</f>
        <v/>
      </c>
      <c r="D34" s="27" t="str">
        <f aca="false">IF($C34="","",IF($B$4&amp;$B$5="",COUNTIFS('المبيعات اليومية'!$C$9:$C$308,$C34),COUNTIFS('المبيعات اليومية'!$C$9:$C$308,$C34,'المبيعات اليومية'!$A$9:$A$308,"&gt;="&amp;IF($B$4="",0,$B$4),'المبيعات اليومية'!$A$9:$A$308,"&lt;="&amp;IF($B$5="",2958465,$B$5))))</f>
        <v/>
      </c>
      <c r="E34" s="28" t="str">
        <f aca="false">IF($C34="","",IF($B$4&amp;$B$5="",SUMIFS('المبيعات اليومية'!$E$9:$E$308,'المبيعات اليومية'!$C$9:$C$308,$C34),SUMIFS('المبيعات اليومية'!$E$9:$E$308,'المبيعات اليومية'!$C$9:$C$308,$C34,'المبيعات اليومية'!$A$9:$A$308,"&gt;="&amp;IF($B$4="",0,$B$4),'المبيعات اليومية'!$A$9:$A$308,"&lt;="&amp;IF($B$5="",2958465,$B$5))))</f>
        <v/>
      </c>
      <c r="F34" s="19" t="str">
        <f aca="false">IF($C34="","",IF($B$4&amp;$B$5="",SUMIFS('المبيعات اليومية'!$H$9:$H$308,'المبيعات اليومية'!$C$9:$C$308,$C34),SUMIFS('المبيعات اليومية'!$H$9:$H$308,'المبيعات اليومية'!$C$9:$C$308,$C34,'المبيعات اليومية'!$A$9:$A$308,"&gt;="&amp;IF($B$4="",0,$B$4),'المبيعات اليومية'!$A$9:$A$308,"&lt;="&amp;IF($B$5="",2958465,$B$5))))</f>
        <v/>
      </c>
      <c r="G34" s="19" t="str">
        <f aca="false">IF($C34="","",IF($B$4&amp;$B$5="",SUMIFS('المبيعات اليومية'!$I$9:$I$308,'المبيعات اليومية'!$C$9:$C$308,$C34),SUMIFS('المبيعات اليومية'!$I$9:$I$308,'المبيعات اليومية'!$C$9:$C$308,$C34,'المبيعات اليومية'!$A$9:$A$308,"&gt;="&amp;IF($B$4="",0,$B$4),'المبيعات اليومية'!$A$9:$A$308,"&lt;="&amp;IF($B$5="",2958465,$B$5))))</f>
        <v/>
      </c>
      <c r="H34" s="20" t="str">
        <f aca="false">IF($C34="","",IF($B$4&amp;$B$5="",SUMIFS('المبيعات اليومية'!$J$9:$J$308,'المبيعات اليومية'!$C$9:$C$308,$C34),SUMIFS('المبيعات اليومية'!$J$9:$J$308,'المبيعات اليومية'!$C$9:$C$308,$C34,'المبيعات اليومية'!$A$9:$A$308,"&gt;="&amp;IF($B$4="",0,$B$4),'المبيعات اليومية'!$A$9:$A$308,"&lt;="&amp;IF($B$5="",2958465,$B$5))))</f>
        <v/>
      </c>
      <c r="I34" s="29" t="str">
        <f aca="false">IF(OR($C34="",$H$208=0),"",H34/$H$208)</f>
        <v/>
      </c>
      <c r="J34" s="19" t="str">
        <f aca="false">IF(OR(C34="",N(E34)=0),"",F34/E34)</f>
        <v/>
      </c>
    </row>
    <row r="35" customFormat="false" ht="15" hidden="false" customHeight="false" outlineLevel="0" collapsed="false">
      <c r="A35" s="21" t="str">
        <f aca="false">IF(C35="","",28)</f>
        <v/>
      </c>
      <c r="B35" s="21" t="str">
        <f aca="false">IF('دليل الأصناف'!$B$31="","",'دليل الأصناف'!$A$31)</f>
        <v/>
      </c>
      <c r="C35" s="4" t="str">
        <f aca="false">IF('دليل الأصناف'!$B$31="","",'دليل الأصناف'!$B$31)</f>
        <v/>
      </c>
      <c r="D35" s="27" t="str">
        <f aca="false">IF($C35="","",IF($B$4&amp;$B$5="",COUNTIFS('المبيعات اليومية'!$C$9:$C$308,$C35),COUNTIFS('المبيعات اليومية'!$C$9:$C$308,$C35,'المبيعات اليومية'!$A$9:$A$308,"&gt;="&amp;IF($B$4="",0,$B$4),'المبيعات اليومية'!$A$9:$A$308,"&lt;="&amp;IF($B$5="",2958465,$B$5))))</f>
        <v/>
      </c>
      <c r="E35" s="28" t="str">
        <f aca="false">IF($C35="","",IF($B$4&amp;$B$5="",SUMIFS('المبيعات اليومية'!$E$9:$E$308,'المبيعات اليومية'!$C$9:$C$308,$C35),SUMIFS('المبيعات اليومية'!$E$9:$E$308,'المبيعات اليومية'!$C$9:$C$308,$C35,'المبيعات اليومية'!$A$9:$A$308,"&gt;="&amp;IF($B$4="",0,$B$4),'المبيعات اليومية'!$A$9:$A$308,"&lt;="&amp;IF($B$5="",2958465,$B$5))))</f>
        <v/>
      </c>
      <c r="F35" s="19" t="str">
        <f aca="false">IF($C35="","",IF($B$4&amp;$B$5="",SUMIFS('المبيعات اليومية'!$H$9:$H$308,'المبيعات اليومية'!$C$9:$C$308,$C35),SUMIFS('المبيعات اليومية'!$H$9:$H$308,'المبيعات اليومية'!$C$9:$C$308,$C35,'المبيعات اليومية'!$A$9:$A$308,"&gt;="&amp;IF($B$4="",0,$B$4),'المبيعات اليومية'!$A$9:$A$308,"&lt;="&amp;IF($B$5="",2958465,$B$5))))</f>
        <v/>
      </c>
      <c r="G35" s="19" t="str">
        <f aca="false">IF($C35="","",IF($B$4&amp;$B$5="",SUMIFS('المبيعات اليومية'!$I$9:$I$308,'المبيعات اليومية'!$C$9:$C$308,$C35),SUMIFS('المبيعات اليومية'!$I$9:$I$308,'المبيعات اليومية'!$C$9:$C$308,$C35,'المبيعات اليومية'!$A$9:$A$308,"&gt;="&amp;IF($B$4="",0,$B$4),'المبيعات اليومية'!$A$9:$A$308,"&lt;="&amp;IF($B$5="",2958465,$B$5))))</f>
        <v/>
      </c>
      <c r="H35" s="20" t="str">
        <f aca="false">IF($C35="","",IF($B$4&amp;$B$5="",SUMIFS('المبيعات اليومية'!$J$9:$J$308,'المبيعات اليومية'!$C$9:$C$308,$C35),SUMIFS('المبيعات اليومية'!$J$9:$J$308,'المبيعات اليومية'!$C$9:$C$308,$C35,'المبيعات اليومية'!$A$9:$A$308,"&gt;="&amp;IF($B$4="",0,$B$4),'المبيعات اليومية'!$A$9:$A$308,"&lt;="&amp;IF($B$5="",2958465,$B$5))))</f>
        <v/>
      </c>
      <c r="I35" s="29" t="str">
        <f aca="false">IF(OR($C35="",$H$208=0),"",H35/$H$208)</f>
        <v/>
      </c>
      <c r="J35" s="19" t="str">
        <f aca="false">IF(OR(C35="",N(E35)=0),"",F35/E35)</f>
        <v/>
      </c>
    </row>
    <row r="36" customFormat="false" ht="15" hidden="false" customHeight="false" outlineLevel="0" collapsed="false">
      <c r="A36" s="21" t="str">
        <f aca="false">IF(C36="","",29)</f>
        <v/>
      </c>
      <c r="B36" s="21" t="str">
        <f aca="false">IF('دليل الأصناف'!$B$32="","",'دليل الأصناف'!$A$32)</f>
        <v/>
      </c>
      <c r="C36" s="4" t="str">
        <f aca="false">IF('دليل الأصناف'!$B$32="","",'دليل الأصناف'!$B$32)</f>
        <v/>
      </c>
      <c r="D36" s="27" t="str">
        <f aca="false">IF($C36="","",IF($B$4&amp;$B$5="",COUNTIFS('المبيعات اليومية'!$C$9:$C$308,$C36),COUNTIFS('المبيعات اليومية'!$C$9:$C$308,$C36,'المبيعات اليومية'!$A$9:$A$308,"&gt;="&amp;IF($B$4="",0,$B$4),'المبيعات اليومية'!$A$9:$A$308,"&lt;="&amp;IF($B$5="",2958465,$B$5))))</f>
        <v/>
      </c>
      <c r="E36" s="28" t="str">
        <f aca="false">IF($C36="","",IF($B$4&amp;$B$5="",SUMIFS('المبيعات اليومية'!$E$9:$E$308,'المبيعات اليومية'!$C$9:$C$308,$C36),SUMIFS('المبيعات اليومية'!$E$9:$E$308,'المبيعات اليومية'!$C$9:$C$308,$C36,'المبيعات اليومية'!$A$9:$A$308,"&gt;="&amp;IF($B$4="",0,$B$4),'المبيعات اليومية'!$A$9:$A$308,"&lt;="&amp;IF($B$5="",2958465,$B$5))))</f>
        <v/>
      </c>
      <c r="F36" s="19" t="str">
        <f aca="false">IF($C36="","",IF($B$4&amp;$B$5="",SUMIFS('المبيعات اليومية'!$H$9:$H$308,'المبيعات اليومية'!$C$9:$C$308,$C36),SUMIFS('المبيعات اليومية'!$H$9:$H$308,'المبيعات اليومية'!$C$9:$C$308,$C36,'المبيعات اليومية'!$A$9:$A$308,"&gt;="&amp;IF($B$4="",0,$B$4),'المبيعات اليومية'!$A$9:$A$308,"&lt;="&amp;IF($B$5="",2958465,$B$5))))</f>
        <v/>
      </c>
      <c r="G36" s="19" t="str">
        <f aca="false">IF($C36="","",IF($B$4&amp;$B$5="",SUMIFS('المبيعات اليومية'!$I$9:$I$308,'المبيعات اليومية'!$C$9:$C$308,$C36),SUMIFS('المبيعات اليومية'!$I$9:$I$308,'المبيعات اليومية'!$C$9:$C$308,$C36,'المبيعات اليومية'!$A$9:$A$308,"&gt;="&amp;IF($B$4="",0,$B$4),'المبيعات اليومية'!$A$9:$A$308,"&lt;="&amp;IF($B$5="",2958465,$B$5))))</f>
        <v/>
      </c>
      <c r="H36" s="20" t="str">
        <f aca="false">IF($C36="","",IF($B$4&amp;$B$5="",SUMIFS('المبيعات اليومية'!$J$9:$J$308,'المبيعات اليومية'!$C$9:$C$308,$C36),SUMIFS('المبيعات اليومية'!$J$9:$J$308,'المبيعات اليومية'!$C$9:$C$308,$C36,'المبيعات اليومية'!$A$9:$A$308,"&gt;="&amp;IF($B$4="",0,$B$4),'المبيعات اليومية'!$A$9:$A$308,"&lt;="&amp;IF($B$5="",2958465,$B$5))))</f>
        <v/>
      </c>
      <c r="I36" s="29" t="str">
        <f aca="false">IF(OR($C36="",$H$208=0),"",H36/$H$208)</f>
        <v/>
      </c>
      <c r="J36" s="19" t="str">
        <f aca="false">IF(OR(C36="",N(E36)=0),"",F36/E36)</f>
        <v/>
      </c>
    </row>
    <row r="37" customFormat="false" ht="15" hidden="false" customHeight="false" outlineLevel="0" collapsed="false">
      <c r="A37" s="21" t="str">
        <f aca="false">IF(C37="","",30)</f>
        <v/>
      </c>
      <c r="B37" s="21" t="str">
        <f aca="false">IF('دليل الأصناف'!$B$33="","",'دليل الأصناف'!$A$33)</f>
        <v/>
      </c>
      <c r="C37" s="4" t="str">
        <f aca="false">IF('دليل الأصناف'!$B$33="","",'دليل الأصناف'!$B$33)</f>
        <v/>
      </c>
      <c r="D37" s="27" t="str">
        <f aca="false">IF($C37="","",IF($B$4&amp;$B$5="",COUNTIFS('المبيعات اليومية'!$C$9:$C$308,$C37),COUNTIFS('المبيعات اليومية'!$C$9:$C$308,$C37,'المبيعات اليومية'!$A$9:$A$308,"&gt;="&amp;IF($B$4="",0,$B$4),'المبيعات اليومية'!$A$9:$A$308,"&lt;="&amp;IF($B$5="",2958465,$B$5))))</f>
        <v/>
      </c>
      <c r="E37" s="28" t="str">
        <f aca="false">IF($C37="","",IF($B$4&amp;$B$5="",SUMIFS('المبيعات اليومية'!$E$9:$E$308,'المبيعات اليومية'!$C$9:$C$308,$C37),SUMIFS('المبيعات اليومية'!$E$9:$E$308,'المبيعات اليومية'!$C$9:$C$308,$C37,'المبيعات اليومية'!$A$9:$A$308,"&gt;="&amp;IF($B$4="",0,$B$4),'المبيعات اليومية'!$A$9:$A$308,"&lt;="&amp;IF($B$5="",2958465,$B$5))))</f>
        <v/>
      </c>
      <c r="F37" s="19" t="str">
        <f aca="false">IF($C37="","",IF($B$4&amp;$B$5="",SUMIFS('المبيعات اليومية'!$H$9:$H$308,'المبيعات اليومية'!$C$9:$C$308,$C37),SUMIFS('المبيعات اليومية'!$H$9:$H$308,'المبيعات اليومية'!$C$9:$C$308,$C37,'المبيعات اليومية'!$A$9:$A$308,"&gt;="&amp;IF($B$4="",0,$B$4),'المبيعات اليومية'!$A$9:$A$308,"&lt;="&amp;IF($B$5="",2958465,$B$5))))</f>
        <v/>
      </c>
      <c r="G37" s="19" t="str">
        <f aca="false">IF($C37="","",IF($B$4&amp;$B$5="",SUMIFS('المبيعات اليومية'!$I$9:$I$308,'المبيعات اليومية'!$C$9:$C$308,$C37),SUMIFS('المبيعات اليومية'!$I$9:$I$308,'المبيعات اليومية'!$C$9:$C$308,$C37,'المبيعات اليومية'!$A$9:$A$308,"&gt;="&amp;IF($B$4="",0,$B$4),'المبيعات اليومية'!$A$9:$A$308,"&lt;="&amp;IF($B$5="",2958465,$B$5))))</f>
        <v/>
      </c>
      <c r="H37" s="20" t="str">
        <f aca="false">IF($C37="","",IF($B$4&amp;$B$5="",SUMIFS('المبيعات اليومية'!$J$9:$J$308,'المبيعات اليومية'!$C$9:$C$308,$C37),SUMIFS('المبيعات اليومية'!$J$9:$J$308,'المبيعات اليومية'!$C$9:$C$308,$C37,'المبيعات اليومية'!$A$9:$A$308,"&gt;="&amp;IF($B$4="",0,$B$4),'المبيعات اليومية'!$A$9:$A$308,"&lt;="&amp;IF($B$5="",2958465,$B$5))))</f>
        <v/>
      </c>
      <c r="I37" s="29" t="str">
        <f aca="false">IF(OR($C37="",$H$208=0),"",H37/$H$208)</f>
        <v/>
      </c>
      <c r="J37" s="19" t="str">
        <f aca="false">IF(OR(C37="",N(E37)=0),"",F37/E37)</f>
        <v/>
      </c>
    </row>
    <row r="38" customFormat="false" ht="15" hidden="false" customHeight="false" outlineLevel="0" collapsed="false">
      <c r="A38" s="21" t="str">
        <f aca="false">IF(C38="","",31)</f>
        <v/>
      </c>
      <c r="B38" s="21" t="str">
        <f aca="false">IF('دليل الأصناف'!$B$34="","",'دليل الأصناف'!$A$34)</f>
        <v/>
      </c>
      <c r="C38" s="4" t="str">
        <f aca="false">IF('دليل الأصناف'!$B$34="","",'دليل الأصناف'!$B$34)</f>
        <v/>
      </c>
      <c r="D38" s="27" t="str">
        <f aca="false">IF($C38="","",IF($B$4&amp;$B$5="",COUNTIFS('المبيعات اليومية'!$C$9:$C$308,$C38),COUNTIFS('المبيعات اليومية'!$C$9:$C$308,$C38,'المبيعات اليومية'!$A$9:$A$308,"&gt;="&amp;IF($B$4="",0,$B$4),'المبيعات اليومية'!$A$9:$A$308,"&lt;="&amp;IF($B$5="",2958465,$B$5))))</f>
        <v/>
      </c>
      <c r="E38" s="28" t="str">
        <f aca="false">IF($C38="","",IF($B$4&amp;$B$5="",SUMIFS('المبيعات اليومية'!$E$9:$E$308,'المبيعات اليومية'!$C$9:$C$308,$C38),SUMIFS('المبيعات اليومية'!$E$9:$E$308,'المبيعات اليومية'!$C$9:$C$308,$C38,'المبيعات اليومية'!$A$9:$A$308,"&gt;="&amp;IF($B$4="",0,$B$4),'المبيعات اليومية'!$A$9:$A$308,"&lt;="&amp;IF($B$5="",2958465,$B$5))))</f>
        <v/>
      </c>
      <c r="F38" s="19" t="str">
        <f aca="false">IF($C38="","",IF($B$4&amp;$B$5="",SUMIFS('المبيعات اليومية'!$H$9:$H$308,'المبيعات اليومية'!$C$9:$C$308,$C38),SUMIFS('المبيعات اليومية'!$H$9:$H$308,'المبيعات اليومية'!$C$9:$C$308,$C38,'المبيعات اليومية'!$A$9:$A$308,"&gt;="&amp;IF($B$4="",0,$B$4),'المبيعات اليومية'!$A$9:$A$308,"&lt;="&amp;IF($B$5="",2958465,$B$5))))</f>
        <v/>
      </c>
      <c r="G38" s="19" t="str">
        <f aca="false">IF($C38="","",IF($B$4&amp;$B$5="",SUMIFS('المبيعات اليومية'!$I$9:$I$308,'المبيعات اليومية'!$C$9:$C$308,$C38),SUMIFS('المبيعات اليومية'!$I$9:$I$308,'المبيعات اليومية'!$C$9:$C$308,$C38,'المبيعات اليومية'!$A$9:$A$308,"&gt;="&amp;IF($B$4="",0,$B$4),'المبيعات اليومية'!$A$9:$A$308,"&lt;="&amp;IF($B$5="",2958465,$B$5))))</f>
        <v/>
      </c>
      <c r="H38" s="20" t="str">
        <f aca="false">IF($C38="","",IF($B$4&amp;$B$5="",SUMIFS('المبيعات اليومية'!$J$9:$J$308,'المبيعات اليومية'!$C$9:$C$308,$C38),SUMIFS('المبيعات اليومية'!$J$9:$J$308,'المبيعات اليومية'!$C$9:$C$308,$C38,'المبيعات اليومية'!$A$9:$A$308,"&gt;="&amp;IF($B$4="",0,$B$4),'المبيعات اليومية'!$A$9:$A$308,"&lt;="&amp;IF($B$5="",2958465,$B$5))))</f>
        <v/>
      </c>
      <c r="I38" s="29" t="str">
        <f aca="false">IF(OR($C38="",$H$208=0),"",H38/$H$208)</f>
        <v/>
      </c>
      <c r="J38" s="19" t="str">
        <f aca="false">IF(OR(C38="",N(E38)=0),"",F38/E38)</f>
        <v/>
      </c>
    </row>
    <row r="39" customFormat="false" ht="15" hidden="false" customHeight="false" outlineLevel="0" collapsed="false">
      <c r="A39" s="21" t="str">
        <f aca="false">IF(C39="","",32)</f>
        <v/>
      </c>
      <c r="B39" s="21" t="str">
        <f aca="false">IF('دليل الأصناف'!$B$35="","",'دليل الأصناف'!$A$35)</f>
        <v/>
      </c>
      <c r="C39" s="4" t="str">
        <f aca="false">IF('دليل الأصناف'!$B$35="","",'دليل الأصناف'!$B$35)</f>
        <v/>
      </c>
      <c r="D39" s="27" t="str">
        <f aca="false">IF($C39="","",IF($B$4&amp;$B$5="",COUNTIFS('المبيعات اليومية'!$C$9:$C$308,$C39),COUNTIFS('المبيعات اليومية'!$C$9:$C$308,$C39,'المبيعات اليومية'!$A$9:$A$308,"&gt;="&amp;IF($B$4="",0,$B$4),'المبيعات اليومية'!$A$9:$A$308,"&lt;="&amp;IF($B$5="",2958465,$B$5))))</f>
        <v/>
      </c>
      <c r="E39" s="28" t="str">
        <f aca="false">IF($C39="","",IF($B$4&amp;$B$5="",SUMIFS('المبيعات اليومية'!$E$9:$E$308,'المبيعات اليومية'!$C$9:$C$308,$C39),SUMIFS('المبيعات اليومية'!$E$9:$E$308,'المبيعات اليومية'!$C$9:$C$308,$C39,'المبيعات اليومية'!$A$9:$A$308,"&gt;="&amp;IF($B$4="",0,$B$4),'المبيعات اليومية'!$A$9:$A$308,"&lt;="&amp;IF($B$5="",2958465,$B$5))))</f>
        <v/>
      </c>
      <c r="F39" s="19" t="str">
        <f aca="false">IF($C39="","",IF($B$4&amp;$B$5="",SUMIFS('المبيعات اليومية'!$H$9:$H$308,'المبيعات اليومية'!$C$9:$C$308,$C39),SUMIFS('المبيعات اليومية'!$H$9:$H$308,'المبيعات اليومية'!$C$9:$C$308,$C39,'المبيعات اليومية'!$A$9:$A$308,"&gt;="&amp;IF($B$4="",0,$B$4),'المبيعات اليومية'!$A$9:$A$308,"&lt;="&amp;IF($B$5="",2958465,$B$5))))</f>
        <v/>
      </c>
      <c r="G39" s="19" t="str">
        <f aca="false">IF($C39="","",IF($B$4&amp;$B$5="",SUMIFS('المبيعات اليومية'!$I$9:$I$308,'المبيعات اليومية'!$C$9:$C$308,$C39),SUMIFS('المبيعات اليومية'!$I$9:$I$308,'المبيعات اليومية'!$C$9:$C$308,$C39,'المبيعات اليومية'!$A$9:$A$308,"&gt;="&amp;IF($B$4="",0,$B$4),'المبيعات اليومية'!$A$9:$A$308,"&lt;="&amp;IF($B$5="",2958465,$B$5))))</f>
        <v/>
      </c>
      <c r="H39" s="20" t="str">
        <f aca="false">IF($C39="","",IF($B$4&amp;$B$5="",SUMIFS('المبيعات اليومية'!$J$9:$J$308,'المبيعات اليومية'!$C$9:$C$308,$C39),SUMIFS('المبيعات اليومية'!$J$9:$J$308,'المبيعات اليومية'!$C$9:$C$308,$C39,'المبيعات اليومية'!$A$9:$A$308,"&gt;="&amp;IF($B$4="",0,$B$4),'المبيعات اليومية'!$A$9:$A$308,"&lt;="&amp;IF($B$5="",2958465,$B$5))))</f>
        <v/>
      </c>
      <c r="I39" s="29" t="str">
        <f aca="false">IF(OR($C39="",$H$208=0),"",H39/$H$208)</f>
        <v/>
      </c>
      <c r="J39" s="19" t="str">
        <f aca="false">IF(OR(C39="",N(E39)=0),"",F39/E39)</f>
        <v/>
      </c>
    </row>
    <row r="40" customFormat="false" ht="15" hidden="false" customHeight="false" outlineLevel="0" collapsed="false">
      <c r="A40" s="21" t="str">
        <f aca="false">IF(C40="","",33)</f>
        <v/>
      </c>
      <c r="B40" s="21" t="str">
        <f aca="false">IF('دليل الأصناف'!$B$36="","",'دليل الأصناف'!$A$36)</f>
        <v/>
      </c>
      <c r="C40" s="4" t="str">
        <f aca="false">IF('دليل الأصناف'!$B$36="","",'دليل الأصناف'!$B$36)</f>
        <v/>
      </c>
      <c r="D40" s="27" t="str">
        <f aca="false">IF($C40="","",IF($B$4&amp;$B$5="",COUNTIFS('المبيعات اليومية'!$C$9:$C$308,$C40),COUNTIFS('المبيعات اليومية'!$C$9:$C$308,$C40,'المبيعات اليومية'!$A$9:$A$308,"&gt;="&amp;IF($B$4="",0,$B$4),'المبيعات اليومية'!$A$9:$A$308,"&lt;="&amp;IF($B$5="",2958465,$B$5))))</f>
        <v/>
      </c>
      <c r="E40" s="28" t="str">
        <f aca="false">IF($C40="","",IF($B$4&amp;$B$5="",SUMIFS('المبيعات اليومية'!$E$9:$E$308,'المبيعات اليومية'!$C$9:$C$308,$C40),SUMIFS('المبيعات اليومية'!$E$9:$E$308,'المبيعات اليومية'!$C$9:$C$308,$C40,'المبيعات اليومية'!$A$9:$A$308,"&gt;="&amp;IF($B$4="",0,$B$4),'المبيعات اليومية'!$A$9:$A$308,"&lt;="&amp;IF($B$5="",2958465,$B$5))))</f>
        <v/>
      </c>
      <c r="F40" s="19" t="str">
        <f aca="false">IF($C40="","",IF($B$4&amp;$B$5="",SUMIFS('المبيعات اليومية'!$H$9:$H$308,'المبيعات اليومية'!$C$9:$C$308,$C40),SUMIFS('المبيعات اليومية'!$H$9:$H$308,'المبيعات اليومية'!$C$9:$C$308,$C40,'المبيعات اليومية'!$A$9:$A$308,"&gt;="&amp;IF($B$4="",0,$B$4),'المبيعات اليومية'!$A$9:$A$308,"&lt;="&amp;IF($B$5="",2958465,$B$5))))</f>
        <v/>
      </c>
      <c r="G40" s="19" t="str">
        <f aca="false">IF($C40="","",IF($B$4&amp;$B$5="",SUMIFS('المبيعات اليومية'!$I$9:$I$308,'المبيعات اليومية'!$C$9:$C$308,$C40),SUMIFS('المبيعات اليومية'!$I$9:$I$308,'المبيعات اليومية'!$C$9:$C$308,$C40,'المبيعات اليومية'!$A$9:$A$308,"&gt;="&amp;IF($B$4="",0,$B$4),'المبيعات اليومية'!$A$9:$A$308,"&lt;="&amp;IF($B$5="",2958465,$B$5))))</f>
        <v/>
      </c>
      <c r="H40" s="20" t="str">
        <f aca="false">IF($C40="","",IF($B$4&amp;$B$5="",SUMIFS('المبيعات اليومية'!$J$9:$J$308,'المبيعات اليومية'!$C$9:$C$308,$C40),SUMIFS('المبيعات اليومية'!$J$9:$J$308,'المبيعات اليومية'!$C$9:$C$308,$C40,'المبيعات اليومية'!$A$9:$A$308,"&gt;="&amp;IF($B$4="",0,$B$4),'المبيعات اليومية'!$A$9:$A$308,"&lt;="&amp;IF($B$5="",2958465,$B$5))))</f>
        <v/>
      </c>
      <c r="I40" s="29" t="str">
        <f aca="false">IF(OR($C40="",$H$208=0),"",H40/$H$208)</f>
        <v/>
      </c>
      <c r="J40" s="19" t="str">
        <f aca="false">IF(OR(C40="",N(E40)=0),"",F40/E40)</f>
        <v/>
      </c>
    </row>
    <row r="41" customFormat="false" ht="15" hidden="false" customHeight="false" outlineLevel="0" collapsed="false">
      <c r="A41" s="21" t="str">
        <f aca="false">IF(C41="","",34)</f>
        <v/>
      </c>
      <c r="B41" s="21" t="str">
        <f aca="false">IF('دليل الأصناف'!$B$37="","",'دليل الأصناف'!$A$37)</f>
        <v/>
      </c>
      <c r="C41" s="4" t="str">
        <f aca="false">IF('دليل الأصناف'!$B$37="","",'دليل الأصناف'!$B$37)</f>
        <v/>
      </c>
      <c r="D41" s="27" t="str">
        <f aca="false">IF($C41="","",IF($B$4&amp;$B$5="",COUNTIFS('المبيعات اليومية'!$C$9:$C$308,$C41),COUNTIFS('المبيعات اليومية'!$C$9:$C$308,$C41,'المبيعات اليومية'!$A$9:$A$308,"&gt;="&amp;IF($B$4="",0,$B$4),'المبيعات اليومية'!$A$9:$A$308,"&lt;="&amp;IF($B$5="",2958465,$B$5))))</f>
        <v/>
      </c>
      <c r="E41" s="28" t="str">
        <f aca="false">IF($C41="","",IF($B$4&amp;$B$5="",SUMIFS('المبيعات اليومية'!$E$9:$E$308,'المبيعات اليومية'!$C$9:$C$308,$C41),SUMIFS('المبيعات اليومية'!$E$9:$E$308,'المبيعات اليومية'!$C$9:$C$308,$C41,'المبيعات اليومية'!$A$9:$A$308,"&gt;="&amp;IF($B$4="",0,$B$4),'المبيعات اليومية'!$A$9:$A$308,"&lt;="&amp;IF($B$5="",2958465,$B$5))))</f>
        <v/>
      </c>
      <c r="F41" s="19" t="str">
        <f aca="false">IF($C41="","",IF($B$4&amp;$B$5="",SUMIFS('المبيعات اليومية'!$H$9:$H$308,'المبيعات اليومية'!$C$9:$C$308,$C41),SUMIFS('المبيعات اليومية'!$H$9:$H$308,'المبيعات اليومية'!$C$9:$C$308,$C41,'المبيعات اليومية'!$A$9:$A$308,"&gt;="&amp;IF($B$4="",0,$B$4),'المبيعات اليومية'!$A$9:$A$308,"&lt;="&amp;IF($B$5="",2958465,$B$5))))</f>
        <v/>
      </c>
      <c r="G41" s="19" t="str">
        <f aca="false">IF($C41="","",IF($B$4&amp;$B$5="",SUMIFS('المبيعات اليومية'!$I$9:$I$308,'المبيعات اليومية'!$C$9:$C$308,$C41),SUMIFS('المبيعات اليومية'!$I$9:$I$308,'المبيعات اليومية'!$C$9:$C$308,$C41,'المبيعات اليومية'!$A$9:$A$308,"&gt;="&amp;IF($B$4="",0,$B$4),'المبيعات اليومية'!$A$9:$A$308,"&lt;="&amp;IF($B$5="",2958465,$B$5))))</f>
        <v/>
      </c>
      <c r="H41" s="20" t="str">
        <f aca="false">IF($C41="","",IF($B$4&amp;$B$5="",SUMIFS('المبيعات اليومية'!$J$9:$J$308,'المبيعات اليومية'!$C$9:$C$308,$C41),SUMIFS('المبيعات اليومية'!$J$9:$J$308,'المبيعات اليومية'!$C$9:$C$308,$C41,'المبيعات اليومية'!$A$9:$A$308,"&gt;="&amp;IF($B$4="",0,$B$4),'المبيعات اليومية'!$A$9:$A$308,"&lt;="&amp;IF($B$5="",2958465,$B$5))))</f>
        <v/>
      </c>
      <c r="I41" s="29" t="str">
        <f aca="false">IF(OR($C41="",$H$208=0),"",H41/$H$208)</f>
        <v/>
      </c>
      <c r="J41" s="19" t="str">
        <f aca="false">IF(OR(C41="",N(E41)=0),"",F41/E41)</f>
        <v/>
      </c>
    </row>
    <row r="42" customFormat="false" ht="15" hidden="false" customHeight="false" outlineLevel="0" collapsed="false">
      <c r="A42" s="21" t="str">
        <f aca="false">IF(C42="","",35)</f>
        <v/>
      </c>
      <c r="B42" s="21" t="str">
        <f aca="false">IF('دليل الأصناف'!$B$38="","",'دليل الأصناف'!$A$38)</f>
        <v/>
      </c>
      <c r="C42" s="4" t="str">
        <f aca="false">IF('دليل الأصناف'!$B$38="","",'دليل الأصناف'!$B$38)</f>
        <v/>
      </c>
      <c r="D42" s="27" t="str">
        <f aca="false">IF($C42="","",IF($B$4&amp;$B$5="",COUNTIFS('المبيعات اليومية'!$C$9:$C$308,$C42),COUNTIFS('المبيعات اليومية'!$C$9:$C$308,$C42,'المبيعات اليومية'!$A$9:$A$308,"&gt;="&amp;IF($B$4="",0,$B$4),'المبيعات اليومية'!$A$9:$A$308,"&lt;="&amp;IF($B$5="",2958465,$B$5))))</f>
        <v/>
      </c>
      <c r="E42" s="28" t="str">
        <f aca="false">IF($C42="","",IF($B$4&amp;$B$5="",SUMIFS('المبيعات اليومية'!$E$9:$E$308,'المبيعات اليومية'!$C$9:$C$308,$C42),SUMIFS('المبيعات اليومية'!$E$9:$E$308,'المبيعات اليومية'!$C$9:$C$308,$C42,'المبيعات اليومية'!$A$9:$A$308,"&gt;="&amp;IF($B$4="",0,$B$4),'المبيعات اليومية'!$A$9:$A$308,"&lt;="&amp;IF($B$5="",2958465,$B$5))))</f>
        <v/>
      </c>
      <c r="F42" s="19" t="str">
        <f aca="false">IF($C42="","",IF($B$4&amp;$B$5="",SUMIFS('المبيعات اليومية'!$H$9:$H$308,'المبيعات اليومية'!$C$9:$C$308,$C42),SUMIFS('المبيعات اليومية'!$H$9:$H$308,'المبيعات اليومية'!$C$9:$C$308,$C42,'المبيعات اليومية'!$A$9:$A$308,"&gt;="&amp;IF($B$4="",0,$B$4),'المبيعات اليومية'!$A$9:$A$308,"&lt;="&amp;IF($B$5="",2958465,$B$5))))</f>
        <v/>
      </c>
      <c r="G42" s="19" t="str">
        <f aca="false">IF($C42="","",IF($B$4&amp;$B$5="",SUMIFS('المبيعات اليومية'!$I$9:$I$308,'المبيعات اليومية'!$C$9:$C$308,$C42),SUMIFS('المبيعات اليومية'!$I$9:$I$308,'المبيعات اليومية'!$C$9:$C$308,$C42,'المبيعات اليومية'!$A$9:$A$308,"&gt;="&amp;IF($B$4="",0,$B$4),'المبيعات اليومية'!$A$9:$A$308,"&lt;="&amp;IF($B$5="",2958465,$B$5))))</f>
        <v/>
      </c>
      <c r="H42" s="20" t="str">
        <f aca="false">IF($C42="","",IF($B$4&amp;$B$5="",SUMIFS('المبيعات اليومية'!$J$9:$J$308,'المبيعات اليومية'!$C$9:$C$308,$C42),SUMIFS('المبيعات اليومية'!$J$9:$J$308,'المبيعات اليومية'!$C$9:$C$308,$C42,'المبيعات اليومية'!$A$9:$A$308,"&gt;="&amp;IF($B$4="",0,$B$4),'المبيعات اليومية'!$A$9:$A$308,"&lt;="&amp;IF($B$5="",2958465,$B$5))))</f>
        <v/>
      </c>
      <c r="I42" s="29" t="str">
        <f aca="false">IF(OR($C42="",$H$208=0),"",H42/$H$208)</f>
        <v/>
      </c>
      <c r="J42" s="19" t="str">
        <f aca="false">IF(OR(C42="",N(E42)=0),"",F42/E42)</f>
        <v/>
      </c>
    </row>
    <row r="43" customFormat="false" ht="15" hidden="false" customHeight="false" outlineLevel="0" collapsed="false">
      <c r="A43" s="21" t="str">
        <f aca="false">IF(C43="","",36)</f>
        <v/>
      </c>
      <c r="B43" s="21" t="str">
        <f aca="false">IF('دليل الأصناف'!$B$39="","",'دليل الأصناف'!$A$39)</f>
        <v/>
      </c>
      <c r="C43" s="4" t="str">
        <f aca="false">IF('دليل الأصناف'!$B$39="","",'دليل الأصناف'!$B$39)</f>
        <v/>
      </c>
      <c r="D43" s="27" t="str">
        <f aca="false">IF($C43="","",IF($B$4&amp;$B$5="",COUNTIFS('المبيعات اليومية'!$C$9:$C$308,$C43),COUNTIFS('المبيعات اليومية'!$C$9:$C$308,$C43,'المبيعات اليومية'!$A$9:$A$308,"&gt;="&amp;IF($B$4="",0,$B$4),'المبيعات اليومية'!$A$9:$A$308,"&lt;="&amp;IF($B$5="",2958465,$B$5))))</f>
        <v/>
      </c>
      <c r="E43" s="28" t="str">
        <f aca="false">IF($C43="","",IF($B$4&amp;$B$5="",SUMIFS('المبيعات اليومية'!$E$9:$E$308,'المبيعات اليومية'!$C$9:$C$308,$C43),SUMIFS('المبيعات اليومية'!$E$9:$E$308,'المبيعات اليومية'!$C$9:$C$308,$C43,'المبيعات اليومية'!$A$9:$A$308,"&gt;="&amp;IF($B$4="",0,$B$4),'المبيعات اليومية'!$A$9:$A$308,"&lt;="&amp;IF($B$5="",2958465,$B$5))))</f>
        <v/>
      </c>
      <c r="F43" s="19" t="str">
        <f aca="false">IF($C43="","",IF($B$4&amp;$B$5="",SUMIFS('المبيعات اليومية'!$H$9:$H$308,'المبيعات اليومية'!$C$9:$C$308,$C43),SUMIFS('المبيعات اليومية'!$H$9:$H$308,'المبيعات اليومية'!$C$9:$C$308,$C43,'المبيعات اليومية'!$A$9:$A$308,"&gt;="&amp;IF($B$4="",0,$B$4),'المبيعات اليومية'!$A$9:$A$308,"&lt;="&amp;IF($B$5="",2958465,$B$5))))</f>
        <v/>
      </c>
      <c r="G43" s="19" t="str">
        <f aca="false">IF($C43="","",IF($B$4&amp;$B$5="",SUMIFS('المبيعات اليومية'!$I$9:$I$308,'المبيعات اليومية'!$C$9:$C$308,$C43),SUMIFS('المبيعات اليومية'!$I$9:$I$308,'المبيعات اليومية'!$C$9:$C$308,$C43,'المبيعات اليومية'!$A$9:$A$308,"&gt;="&amp;IF($B$4="",0,$B$4),'المبيعات اليومية'!$A$9:$A$308,"&lt;="&amp;IF($B$5="",2958465,$B$5))))</f>
        <v/>
      </c>
      <c r="H43" s="20" t="str">
        <f aca="false">IF($C43="","",IF($B$4&amp;$B$5="",SUMIFS('المبيعات اليومية'!$J$9:$J$308,'المبيعات اليومية'!$C$9:$C$308,$C43),SUMIFS('المبيعات اليومية'!$J$9:$J$308,'المبيعات اليومية'!$C$9:$C$308,$C43,'المبيعات اليومية'!$A$9:$A$308,"&gt;="&amp;IF($B$4="",0,$B$4),'المبيعات اليومية'!$A$9:$A$308,"&lt;="&amp;IF($B$5="",2958465,$B$5))))</f>
        <v/>
      </c>
      <c r="I43" s="29" t="str">
        <f aca="false">IF(OR($C43="",$H$208=0),"",H43/$H$208)</f>
        <v/>
      </c>
      <c r="J43" s="19" t="str">
        <f aca="false">IF(OR(C43="",N(E43)=0),"",F43/E43)</f>
        <v/>
      </c>
    </row>
    <row r="44" customFormat="false" ht="15" hidden="false" customHeight="false" outlineLevel="0" collapsed="false">
      <c r="A44" s="21" t="str">
        <f aca="false">IF(C44="","",37)</f>
        <v/>
      </c>
      <c r="B44" s="21" t="str">
        <f aca="false">IF('دليل الأصناف'!$B$40="","",'دليل الأصناف'!$A$40)</f>
        <v/>
      </c>
      <c r="C44" s="4" t="str">
        <f aca="false">IF('دليل الأصناف'!$B$40="","",'دليل الأصناف'!$B$40)</f>
        <v/>
      </c>
      <c r="D44" s="27" t="str">
        <f aca="false">IF($C44="","",IF($B$4&amp;$B$5="",COUNTIFS('المبيعات اليومية'!$C$9:$C$308,$C44),COUNTIFS('المبيعات اليومية'!$C$9:$C$308,$C44,'المبيعات اليومية'!$A$9:$A$308,"&gt;="&amp;IF($B$4="",0,$B$4),'المبيعات اليومية'!$A$9:$A$308,"&lt;="&amp;IF($B$5="",2958465,$B$5))))</f>
        <v/>
      </c>
      <c r="E44" s="28" t="str">
        <f aca="false">IF($C44="","",IF($B$4&amp;$B$5="",SUMIFS('المبيعات اليومية'!$E$9:$E$308,'المبيعات اليومية'!$C$9:$C$308,$C44),SUMIFS('المبيعات اليومية'!$E$9:$E$308,'المبيعات اليومية'!$C$9:$C$308,$C44,'المبيعات اليومية'!$A$9:$A$308,"&gt;="&amp;IF($B$4="",0,$B$4),'المبيعات اليومية'!$A$9:$A$308,"&lt;="&amp;IF($B$5="",2958465,$B$5))))</f>
        <v/>
      </c>
      <c r="F44" s="19" t="str">
        <f aca="false">IF($C44="","",IF($B$4&amp;$B$5="",SUMIFS('المبيعات اليومية'!$H$9:$H$308,'المبيعات اليومية'!$C$9:$C$308,$C44),SUMIFS('المبيعات اليومية'!$H$9:$H$308,'المبيعات اليومية'!$C$9:$C$308,$C44,'المبيعات اليومية'!$A$9:$A$308,"&gt;="&amp;IF($B$4="",0,$B$4),'المبيعات اليومية'!$A$9:$A$308,"&lt;="&amp;IF($B$5="",2958465,$B$5))))</f>
        <v/>
      </c>
      <c r="G44" s="19" t="str">
        <f aca="false">IF($C44="","",IF($B$4&amp;$B$5="",SUMIFS('المبيعات اليومية'!$I$9:$I$308,'المبيعات اليومية'!$C$9:$C$308,$C44),SUMIFS('المبيعات اليومية'!$I$9:$I$308,'المبيعات اليومية'!$C$9:$C$308,$C44,'المبيعات اليومية'!$A$9:$A$308,"&gt;="&amp;IF($B$4="",0,$B$4),'المبيعات اليومية'!$A$9:$A$308,"&lt;="&amp;IF($B$5="",2958465,$B$5))))</f>
        <v/>
      </c>
      <c r="H44" s="20" t="str">
        <f aca="false">IF($C44="","",IF($B$4&amp;$B$5="",SUMIFS('المبيعات اليومية'!$J$9:$J$308,'المبيعات اليومية'!$C$9:$C$308,$C44),SUMIFS('المبيعات اليومية'!$J$9:$J$308,'المبيعات اليومية'!$C$9:$C$308,$C44,'المبيعات اليومية'!$A$9:$A$308,"&gt;="&amp;IF($B$4="",0,$B$4),'المبيعات اليومية'!$A$9:$A$308,"&lt;="&amp;IF($B$5="",2958465,$B$5))))</f>
        <v/>
      </c>
      <c r="I44" s="29" t="str">
        <f aca="false">IF(OR($C44="",$H$208=0),"",H44/$H$208)</f>
        <v/>
      </c>
      <c r="J44" s="19" t="str">
        <f aca="false">IF(OR(C44="",N(E44)=0),"",F44/E44)</f>
        <v/>
      </c>
    </row>
    <row r="45" customFormat="false" ht="15" hidden="false" customHeight="false" outlineLevel="0" collapsed="false">
      <c r="A45" s="21" t="str">
        <f aca="false">IF(C45="","",38)</f>
        <v/>
      </c>
      <c r="B45" s="21" t="str">
        <f aca="false">IF('دليل الأصناف'!$B$41="","",'دليل الأصناف'!$A$41)</f>
        <v/>
      </c>
      <c r="C45" s="4" t="str">
        <f aca="false">IF('دليل الأصناف'!$B$41="","",'دليل الأصناف'!$B$41)</f>
        <v/>
      </c>
      <c r="D45" s="27" t="str">
        <f aca="false">IF($C45="","",IF($B$4&amp;$B$5="",COUNTIFS('المبيعات اليومية'!$C$9:$C$308,$C45),COUNTIFS('المبيعات اليومية'!$C$9:$C$308,$C45,'المبيعات اليومية'!$A$9:$A$308,"&gt;="&amp;IF($B$4="",0,$B$4),'المبيعات اليومية'!$A$9:$A$308,"&lt;="&amp;IF($B$5="",2958465,$B$5))))</f>
        <v/>
      </c>
      <c r="E45" s="28" t="str">
        <f aca="false">IF($C45="","",IF($B$4&amp;$B$5="",SUMIFS('المبيعات اليومية'!$E$9:$E$308,'المبيعات اليومية'!$C$9:$C$308,$C45),SUMIFS('المبيعات اليومية'!$E$9:$E$308,'المبيعات اليومية'!$C$9:$C$308,$C45,'المبيعات اليومية'!$A$9:$A$308,"&gt;="&amp;IF($B$4="",0,$B$4),'المبيعات اليومية'!$A$9:$A$308,"&lt;="&amp;IF($B$5="",2958465,$B$5))))</f>
        <v/>
      </c>
      <c r="F45" s="19" t="str">
        <f aca="false">IF($C45="","",IF($B$4&amp;$B$5="",SUMIFS('المبيعات اليومية'!$H$9:$H$308,'المبيعات اليومية'!$C$9:$C$308,$C45),SUMIFS('المبيعات اليومية'!$H$9:$H$308,'المبيعات اليومية'!$C$9:$C$308,$C45,'المبيعات اليومية'!$A$9:$A$308,"&gt;="&amp;IF($B$4="",0,$B$4),'المبيعات اليومية'!$A$9:$A$308,"&lt;="&amp;IF($B$5="",2958465,$B$5))))</f>
        <v/>
      </c>
      <c r="G45" s="19" t="str">
        <f aca="false">IF($C45="","",IF($B$4&amp;$B$5="",SUMIFS('المبيعات اليومية'!$I$9:$I$308,'المبيعات اليومية'!$C$9:$C$308,$C45),SUMIFS('المبيعات اليومية'!$I$9:$I$308,'المبيعات اليومية'!$C$9:$C$308,$C45,'المبيعات اليومية'!$A$9:$A$308,"&gt;="&amp;IF($B$4="",0,$B$4),'المبيعات اليومية'!$A$9:$A$308,"&lt;="&amp;IF($B$5="",2958465,$B$5))))</f>
        <v/>
      </c>
      <c r="H45" s="20" t="str">
        <f aca="false">IF($C45="","",IF($B$4&amp;$B$5="",SUMIFS('المبيعات اليومية'!$J$9:$J$308,'المبيعات اليومية'!$C$9:$C$308,$C45),SUMIFS('المبيعات اليومية'!$J$9:$J$308,'المبيعات اليومية'!$C$9:$C$308,$C45,'المبيعات اليومية'!$A$9:$A$308,"&gt;="&amp;IF($B$4="",0,$B$4),'المبيعات اليومية'!$A$9:$A$308,"&lt;="&amp;IF($B$5="",2958465,$B$5))))</f>
        <v/>
      </c>
      <c r="I45" s="29" t="str">
        <f aca="false">IF(OR($C45="",$H$208=0),"",H45/$H$208)</f>
        <v/>
      </c>
      <c r="J45" s="19" t="str">
        <f aca="false">IF(OR(C45="",N(E45)=0),"",F45/E45)</f>
        <v/>
      </c>
    </row>
    <row r="46" customFormat="false" ht="15" hidden="false" customHeight="false" outlineLevel="0" collapsed="false">
      <c r="A46" s="21" t="str">
        <f aca="false">IF(C46="","",39)</f>
        <v/>
      </c>
      <c r="B46" s="21" t="str">
        <f aca="false">IF('دليل الأصناف'!$B$42="","",'دليل الأصناف'!$A$42)</f>
        <v/>
      </c>
      <c r="C46" s="4" t="str">
        <f aca="false">IF('دليل الأصناف'!$B$42="","",'دليل الأصناف'!$B$42)</f>
        <v/>
      </c>
      <c r="D46" s="27" t="str">
        <f aca="false">IF($C46="","",IF($B$4&amp;$B$5="",COUNTIFS('المبيعات اليومية'!$C$9:$C$308,$C46),COUNTIFS('المبيعات اليومية'!$C$9:$C$308,$C46,'المبيعات اليومية'!$A$9:$A$308,"&gt;="&amp;IF($B$4="",0,$B$4),'المبيعات اليومية'!$A$9:$A$308,"&lt;="&amp;IF($B$5="",2958465,$B$5))))</f>
        <v/>
      </c>
      <c r="E46" s="28" t="str">
        <f aca="false">IF($C46="","",IF($B$4&amp;$B$5="",SUMIFS('المبيعات اليومية'!$E$9:$E$308,'المبيعات اليومية'!$C$9:$C$308,$C46),SUMIFS('المبيعات اليومية'!$E$9:$E$308,'المبيعات اليومية'!$C$9:$C$308,$C46,'المبيعات اليومية'!$A$9:$A$308,"&gt;="&amp;IF($B$4="",0,$B$4),'المبيعات اليومية'!$A$9:$A$308,"&lt;="&amp;IF($B$5="",2958465,$B$5))))</f>
        <v/>
      </c>
      <c r="F46" s="19" t="str">
        <f aca="false">IF($C46="","",IF($B$4&amp;$B$5="",SUMIFS('المبيعات اليومية'!$H$9:$H$308,'المبيعات اليومية'!$C$9:$C$308,$C46),SUMIFS('المبيعات اليومية'!$H$9:$H$308,'المبيعات اليومية'!$C$9:$C$308,$C46,'المبيعات اليومية'!$A$9:$A$308,"&gt;="&amp;IF($B$4="",0,$B$4),'المبيعات اليومية'!$A$9:$A$308,"&lt;="&amp;IF($B$5="",2958465,$B$5))))</f>
        <v/>
      </c>
      <c r="G46" s="19" t="str">
        <f aca="false">IF($C46="","",IF($B$4&amp;$B$5="",SUMIFS('المبيعات اليومية'!$I$9:$I$308,'المبيعات اليومية'!$C$9:$C$308,$C46),SUMIFS('المبيعات اليومية'!$I$9:$I$308,'المبيعات اليومية'!$C$9:$C$308,$C46,'المبيعات اليومية'!$A$9:$A$308,"&gt;="&amp;IF($B$4="",0,$B$4),'المبيعات اليومية'!$A$9:$A$308,"&lt;="&amp;IF($B$5="",2958465,$B$5))))</f>
        <v/>
      </c>
      <c r="H46" s="20" t="str">
        <f aca="false">IF($C46="","",IF($B$4&amp;$B$5="",SUMIFS('المبيعات اليومية'!$J$9:$J$308,'المبيعات اليومية'!$C$9:$C$308,$C46),SUMIFS('المبيعات اليومية'!$J$9:$J$308,'المبيعات اليومية'!$C$9:$C$308,$C46,'المبيعات اليومية'!$A$9:$A$308,"&gt;="&amp;IF($B$4="",0,$B$4),'المبيعات اليومية'!$A$9:$A$308,"&lt;="&amp;IF($B$5="",2958465,$B$5))))</f>
        <v/>
      </c>
      <c r="I46" s="29" t="str">
        <f aca="false">IF(OR($C46="",$H$208=0),"",H46/$H$208)</f>
        <v/>
      </c>
      <c r="J46" s="19" t="str">
        <f aca="false">IF(OR(C46="",N(E46)=0),"",F46/E46)</f>
        <v/>
      </c>
    </row>
    <row r="47" customFormat="false" ht="15" hidden="false" customHeight="false" outlineLevel="0" collapsed="false">
      <c r="A47" s="21" t="str">
        <f aca="false">IF(C47="","",40)</f>
        <v/>
      </c>
      <c r="B47" s="21" t="str">
        <f aca="false">IF('دليل الأصناف'!$B$43="","",'دليل الأصناف'!$A$43)</f>
        <v/>
      </c>
      <c r="C47" s="4" t="str">
        <f aca="false">IF('دليل الأصناف'!$B$43="","",'دليل الأصناف'!$B$43)</f>
        <v/>
      </c>
      <c r="D47" s="27" t="str">
        <f aca="false">IF($C47="","",IF($B$4&amp;$B$5="",COUNTIFS('المبيعات اليومية'!$C$9:$C$308,$C47),COUNTIFS('المبيعات اليومية'!$C$9:$C$308,$C47,'المبيعات اليومية'!$A$9:$A$308,"&gt;="&amp;IF($B$4="",0,$B$4),'المبيعات اليومية'!$A$9:$A$308,"&lt;="&amp;IF($B$5="",2958465,$B$5))))</f>
        <v/>
      </c>
      <c r="E47" s="28" t="str">
        <f aca="false">IF($C47="","",IF($B$4&amp;$B$5="",SUMIFS('المبيعات اليومية'!$E$9:$E$308,'المبيعات اليومية'!$C$9:$C$308,$C47),SUMIFS('المبيعات اليومية'!$E$9:$E$308,'المبيعات اليومية'!$C$9:$C$308,$C47,'المبيعات اليومية'!$A$9:$A$308,"&gt;="&amp;IF($B$4="",0,$B$4),'المبيعات اليومية'!$A$9:$A$308,"&lt;="&amp;IF($B$5="",2958465,$B$5))))</f>
        <v/>
      </c>
      <c r="F47" s="19" t="str">
        <f aca="false">IF($C47="","",IF($B$4&amp;$B$5="",SUMIFS('المبيعات اليومية'!$H$9:$H$308,'المبيعات اليومية'!$C$9:$C$308,$C47),SUMIFS('المبيعات اليومية'!$H$9:$H$308,'المبيعات اليومية'!$C$9:$C$308,$C47,'المبيعات اليومية'!$A$9:$A$308,"&gt;="&amp;IF($B$4="",0,$B$4),'المبيعات اليومية'!$A$9:$A$308,"&lt;="&amp;IF($B$5="",2958465,$B$5))))</f>
        <v/>
      </c>
      <c r="G47" s="19" t="str">
        <f aca="false">IF($C47="","",IF($B$4&amp;$B$5="",SUMIFS('المبيعات اليومية'!$I$9:$I$308,'المبيعات اليومية'!$C$9:$C$308,$C47),SUMIFS('المبيعات اليومية'!$I$9:$I$308,'المبيعات اليومية'!$C$9:$C$308,$C47,'المبيعات اليومية'!$A$9:$A$308,"&gt;="&amp;IF($B$4="",0,$B$4),'المبيعات اليومية'!$A$9:$A$308,"&lt;="&amp;IF($B$5="",2958465,$B$5))))</f>
        <v/>
      </c>
      <c r="H47" s="20" t="str">
        <f aca="false">IF($C47="","",IF($B$4&amp;$B$5="",SUMIFS('المبيعات اليومية'!$J$9:$J$308,'المبيعات اليومية'!$C$9:$C$308,$C47),SUMIFS('المبيعات اليومية'!$J$9:$J$308,'المبيعات اليومية'!$C$9:$C$308,$C47,'المبيعات اليومية'!$A$9:$A$308,"&gt;="&amp;IF($B$4="",0,$B$4),'المبيعات اليومية'!$A$9:$A$308,"&lt;="&amp;IF($B$5="",2958465,$B$5))))</f>
        <v/>
      </c>
      <c r="I47" s="29" t="str">
        <f aca="false">IF(OR($C47="",$H$208=0),"",H47/$H$208)</f>
        <v/>
      </c>
      <c r="J47" s="19" t="str">
        <f aca="false">IF(OR(C47="",N(E47)=0),"",F47/E47)</f>
        <v/>
      </c>
    </row>
    <row r="48" customFormat="false" ht="15" hidden="false" customHeight="false" outlineLevel="0" collapsed="false">
      <c r="A48" s="21" t="str">
        <f aca="false">IF(C48="","",41)</f>
        <v/>
      </c>
      <c r="B48" s="21" t="str">
        <f aca="false">IF('دليل الأصناف'!$B$44="","",'دليل الأصناف'!$A$44)</f>
        <v/>
      </c>
      <c r="C48" s="4" t="str">
        <f aca="false">IF('دليل الأصناف'!$B$44="","",'دليل الأصناف'!$B$44)</f>
        <v/>
      </c>
      <c r="D48" s="27" t="str">
        <f aca="false">IF($C48="","",IF($B$4&amp;$B$5="",COUNTIFS('المبيعات اليومية'!$C$9:$C$308,$C48),COUNTIFS('المبيعات اليومية'!$C$9:$C$308,$C48,'المبيعات اليومية'!$A$9:$A$308,"&gt;="&amp;IF($B$4="",0,$B$4),'المبيعات اليومية'!$A$9:$A$308,"&lt;="&amp;IF($B$5="",2958465,$B$5))))</f>
        <v/>
      </c>
      <c r="E48" s="28" t="str">
        <f aca="false">IF($C48="","",IF($B$4&amp;$B$5="",SUMIFS('المبيعات اليومية'!$E$9:$E$308,'المبيعات اليومية'!$C$9:$C$308,$C48),SUMIFS('المبيعات اليومية'!$E$9:$E$308,'المبيعات اليومية'!$C$9:$C$308,$C48,'المبيعات اليومية'!$A$9:$A$308,"&gt;="&amp;IF($B$4="",0,$B$4),'المبيعات اليومية'!$A$9:$A$308,"&lt;="&amp;IF($B$5="",2958465,$B$5))))</f>
        <v/>
      </c>
      <c r="F48" s="19" t="str">
        <f aca="false">IF($C48="","",IF($B$4&amp;$B$5="",SUMIFS('المبيعات اليومية'!$H$9:$H$308,'المبيعات اليومية'!$C$9:$C$308,$C48),SUMIFS('المبيعات اليومية'!$H$9:$H$308,'المبيعات اليومية'!$C$9:$C$308,$C48,'المبيعات اليومية'!$A$9:$A$308,"&gt;="&amp;IF($B$4="",0,$B$4),'المبيعات اليومية'!$A$9:$A$308,"&lt;="&amp;IF($B$5="",2958465,$B$5))))</f>
        <v/>
      </c>
      <c r="G48" s="19" t="str">
        <f aca="false">IF($C48="","",IF($B$4&amp;$B$5="",SUMIFS('المبيعات اليومية'!$I$9:$I$308,'المبيعات اليومية'!$C$9:$C$308,$C48),SUMIFS('المبيعات اليومية'!$I$9:$I$308,'المبيعات اليومية'!$C$9:$C$308,$C48,'المبيعات اليومية'!$A$9:$A$308,"&gt;="&amp;IF($B$4="",0,$B$4),'المبيعات اليومية'!$A$9:$A$308,"&lt;="&amp;IF($B$5="",2958465,$B$5))))</f>
        <v/>
      </c>
      <c r="H48" s="20" t="str">
        <f aca="false">IF($C48="","",IF($B$4&amp;$B$5="",SUMIFS('المبيعات اليومية'!$J$9:$J$308,'المبيعات اليومية'!$C$9:$C$308,$C48),SUMIFS('المبيعات اليومية'!$J$9:$J$308,'المبيعات اليومية'!$C$9:$C$308,$C48,'المبيعات اليومية'!$A$9:$A$308,"&gt;="&amp;IF($B$4="",0,$B$4),'المبيعات اليومية'!$A$9:$A$308,"&lt;="&amp;IF($B$5="",2958465,$B$5))))</f>
        <v/>
      </c>
      <c r="I48" s="29" t="str">
        <f aca="false">IF(OR($C48="",$H$208=0),"",H48/$H$208)</f>
        <v/>
      </c>
      <c r="J48" s="19" t="str">
        <f aca="false">IF(OR(C48="",N(E48)=0),"",F48/E48)</f>
        <v/>
      </c>
    </row>
    <row r="49" customFormat="false" ht="15" hidden="false" customHeight="false" outlineLevel="0" collapsed="false">
      <c r="A49" s="21" t="str">
        <f aca="false">IF(C49="","",42)</f>
        <v/>
      </c>
      <c r="B49" s="21" t="str">
        <f aca="false">IF('دليل الأصناف'!$B$45="","",'دليل الأصناف'!$A$45)</f>
        <v/>
      </c>
      <c r="C49" s="4" t="str">
        <f aca="false">IF('دليل الأصناف'!$B$45="","",'دليل الأصناف'!$B$45)</f>
        <v/>
      </c>
      <c r="D49" s="27" t="str">
        <f aca="false">IF($C49="","",IF($B$4&amp;$B$5="",COUNTIFS('المبيعات اليومية'!$C$9:$C$308,$C49),COUNTIFS('المبيعات اليومية'!$C$9:$C$308,$C49,'المبيعات اليومية'!$A$9:$A$308,"&gt;="&amp;IF($B$4="",0,$B$4),'المبيعات اليومية'!$A$9:$A$308,"&lt;="&amp;IF($B$5="",2958465,$B$5))))</f>
        <v/>
      </c>
      <c r="E49" s="28" t="str">
        <f aca="false">IF($C49="","",IF($B$4&amp;$B$5="",SUMIFS('المبيعات اليومية'!$E$9:$E$308,'المبيعات اليومية'!$C$9:$C$308,$C49),SUMIFS('المبيعات اليومية'!$E$9:$E$308,'المبيعات اليومية'!$C$9:$C$308,$C49,'المبيعات اليومية'!$A$9:$A$308,"&gt;="&amp;IF($B$4="",0,$B$4),'المبيعات اليومية'!$A$9:$A$308,"&lt;="&amp;IF($B$5="",2958465,$B$5))))</f>
        <v/>
      </c>
      <c r="F49" s="19" t="str">
        <f aca="false">IF($C49="","",IF($B$4&amp;$B$5="",SUMIFS('المبيعات اليومية'!$H$9:$H$308,'المبيعات اليومية'!$C$9:$C$308,$C49),SUMIFS('المبيعات اليومية'!$H$9:$H$308,'المبيعات اليومية'!$C$9:$C$308,$C49,'المبيعات اليومية'!$A$9:$A$308,"&gt;="&amp;IF($B$4="",0,$B$4),'المبيعات اليومية'!$A$9:$A$308,"&lt;="&amp;IF($B$5="",2958465,$B$5))))</f>
        <v/>
      </c>
      <c r="G49" s="19" t="str">
        <f aca="false">IF($C49="","",IF($B$4&amp;$B$5="",SUMIFS('المبيعات اليومية'!$I$9:$I$308,'المبيعات اليومية'!$C$9:$C$308,$C49),SUMIFS('المبيعات اليومية'!$I$9:$I$308,'المبيعات اليومية'!$C$9:$C$308,$C49,'المبيعات اليومية'!$A$9:$A$308,"&gt;="&amp;IF($B$4="",0,$B$4),'المبيعات اليومية'!$A$9:$A$308,"&lt;="&amp;IF($B$5="",2958465,$B$5))))</f>
        <v/>
      </c>
      <c r="H49" s="20" t="str">
        <f aca="false">IF($C49="","",IF($B$4&amp;$B$5="",SUMIFS('المبيعات اليومية'!$J$9:$J$308,'المبيعات اليومية'!$C$9:$C$308,$C49),SUMIFS('المبيعات اليومية'!$J$9:$J$308,'المبيعات اليومية'!$C$9:$C$308,$C49,'المبيعات اليومية'!$A$9:$A$308,"&gt;="&amp;IF($B$4="",0,$B$4),'المبيعات اليومية'!$A$9:$A$308,"&lt;="&amp;IF($B$5="",2958465,$B$5))))</f>
        <v/>
      </c>
      <c r="I49" s="29" t="str">
        <f aca="false">IF(OR($C49="",$H$208=0),"",H49/$H$208)</f>
        <v/>
      </c>
      <c r="J49" s="19" t="str">
        <f aca="false">IF(OR(C49="",N(E49)=0),"",F49/E49)</f>
        <v/>
      </c>
    </row>
    <row r="50" customFormat="false" ht="15" hidden="false" customHeight="false" outlineLevel="0" collapsed="false">
      <c r="A50" s="21" t="str">
        <f aca="false">IF(C50="","",43)</f>
        <v/>
      </c>
      <c r="B50" s="21" t="str">
        <f aca="false">IF('دليل الأصناف'!$B$46="","",'دليل الأصناف'!$A$46)</f>
        <v/>
      </c>
      <c r="C50" s="4" t="str">
        <f aca="false">IF('دليل الأصناف'!$B$46="","",'دليل الأصناف'!$B$46)</f>
        <v/>
      </c>
      <c r="D50" s="27" t="str">
        <f aca="false">IF($C50="","",IF($B$4&amp;$B$5="",COUNTIFS('المبيعات اليومية'!$C$9:$C$308,$C50),COUNTIFS('المبيعات اليومية'!$C$9:$C$308,$C50,'المبيعات اليومية'!$A$9:$A$308,"&gt;="&amp;IF($B$4="",0,$B$4),'المبيعات اليومية'!$A$9:$A$308,"&lt;="&amp;IF($B$5="",2958465,$B$5))))</f>
        <v/>
      </c>
      <c r="E50" s="28" t="str">
        <f aca="false">IF($C50="","",IF($B$4&amp;$B$5="",SUMIFS('المبيعات اليومية'!$E$9:$E$308,'المبيعات اليومية'!$C$9:$C$308,$C50),SUMIFS('المبيعات اليومية'!$E$9:$E$308,'المبيعات اليومية'!$C$9:$C$308,$C50,'المبيعات اليومية'!$A$9:$A$308,"&gt;="&amp;IF($B$4="",0,$B$4),'المبيعات اليومية'!$A$9:$A$308,"&lt;="&amp;IF($B$5="",2958465,$B$5))))</f>
        <v/>
      </c>
      <c r="F50" s="19" t="str">
        <f aca="false">IF($C50="","",IF($B$4&amp;$B$5="",SUMIFS('المبيعات اليومية'!$H$9:$H$308,'المبيعات اليومية'!$C$9:$C$308,$C50),SUMIFS('المبيعات اليومية'!$H$9:$H$308,'المبيعات اليومية'!$C$9:$C$308,$C50,'المبيعات اليومية'!$A$9:$A$308,"&gt;="&amp;IF($B$4="",0,$B$4),'المبيعات اليومية'!$A$9:$A$308,"&lt;="&amp;IF($B$5="",2958465,$B$5))))</f>
        <v/>
      </c>
      <c r="G50" s="19" t="str">
        <f aca="false">IF($C50="","",IF($B$4&amp;$B$5="",SUMIFS('المبيعات اليومية'!$I$9:$I$308,'المبيعات اليومية'!$C$9:$C$308,$C50),SUMIFS('المبيعات اليومية'!$I$9:$I$308,'المبيعات اليومية'!$C$9:$C$308,$C50,'المبيعات اليومية'!$A$9:$A$308,"&gt;="&amp;IF($B$4="",0,$B$4),'المبيعات اليومية'!$A$9:$A$308,"&lt;="&amp;IF($B$5="",2958465,$B$5))))</f>
        <v/>
      </c>
      <c r="H50" s="20" t="str">
        <f aca="false">IF($C50="","",IF($B$4&amp;$B$5="",SUMIFS('المبيعات اليومية'!$J$9:$J$308,'المبيعات اليومية'!$C$9:$C$308,$C50),SUMIFS('المبيعات اليومية'!$J$9:$J$308,'المبيعات اليومية'!$C$9:$C$308,$C50,'المبيعات اليومية'!$A$9:$A$308,"&gt;="&amp;IF($B$4="",0,$B$4),'المبيعات اليومية'!$A$9:$A$308,"&lt;="&amp;IF($B$5="",2958465,$B$5))))</f>
        <v/>
      </c>
      <c r="I50" s="29" t="str">
        <f aca="false">IF(OR($C50="",$H$208=0),"",H50/$H$208)</f>
        <v/>
      </c>
      <c r="J50" s="19" t="str">
        <f aca="false">IF(OR(C50="",N(E50)=0),"",F50/E50)</f>
        <v/>
      </c>
    </row>
    <row r="51" customFormat="false" ht="15" hidden="false" customHeight="false" outlineLevel="0" collapsed="false">
      <c r="A51" s="21" t="str">
        <f aca="false">IF(C51="","",44)</f>
        <v/>
      </c>
      <c r="B51" s="21" t="str">
        <f aca="false">IF('دليل الأصناف'!$B$47="","",'دليل الأصناف'!$A$47)</f>
        <v/>
      </c>
      <c r="C51" s="4" t="str">
        <f aca="false">IF('دليل الأصناف'!$B$47="","",'دليل الأصناف'!$B$47)</f>
        <v/>
      </c>
      <c r="D51" s="27" t="str">
        <f aca="false">IF($C51="","",IF($B$4&amp;$B$5="",COUNTIFS('المبيعات اليومية'!$C$9:$C$308,$C51),COUNTIFS('المبيعات اليومية'!$C$9:$C$308,$C51,'المبيعات اليومية'!$A$9:$A$308,"&gt;="&amp;IF($B$4="",0,$B$4),'المبيعات اليومية'!$A$9:$A$308,"&lt;="&amp;IF($B$5="",2958465,$B$5))))</f>
        <v/>
      </c>
      <c r="E51" s="28" t="str">
        <f aca="false">IF($C51="","",IF($B$4&amp;$B$5="",SUMIFS('المبيعات اليومية'!$E$9:$E$308,'المبيعات اليومية'!$C$9:$C$308,$C51),SUMIFS('المبيعات اليومية'!$E$9:$E$308,'المبيعات اليومية'!$C$9:$C$308,$C51,'المبيعات اليومية'!$A$9:$A$308,"&gt;="&amp;IF($B$4="",0,$B$4),'المبيعات اليومية'!$A$9:$A$308,"&lt;="&amp;IF($B$5="",2958465,$B$5))))</f>
        <v/>
      </c>
      <c r="F51" s="19" t="str">
        <f aca="false">IF($C51="","",IF($B$4&amp;$B$5="",SUMIFS('المبيعات اليومية'!$H$9:$H$308,'المبيعات اليومية'!$C$9:$C$308,$C51),SUMIFS('المبيعات اليومية'!$H$9:$H$308,'المبيعات اليومية'!$C$9:$C$308,$C51,'المبيعات اليومية'!$A$9:$A$308,"&gt;="&amp;IF($B$4="",0,$B$4),'المبيعات اليومية'!$A$9:$A$308,"&lt;="&amp;IF($B$5="",2958465,$B$5))))</f>
        <v/>
      </c>
      <c r="G51" s="19" t="str">
        <f aca="false">IF($C51="","",IF($B$4&amp;$B$5="",SUMIFS('المبيعات اليومية'!$I$9:$I$308,'المبيعات اليومية'!$C$9:$C$308,$C51),SUMIFS('المبيعات اليومية'!$I$9:$I$308,'المبيعات اليومية'!$C$9:$C$308,$C51,'المبيعات اليومية'!$A$9:$A$308,"&gt;="&amp;IF($B$4="",0,$B$4),'المبيعات اليومية'!$A$9:$A$308,"&lt;="&amp;IF($B$5="",2958465,$B$5))))</f>
        <v/>
      </c>
      <c r="H51" s="20" t="str">
        <f aca="false">IF($C51="","",IF($B$4&amp;$B$5="",SUMIFS('المبيعات اليومية'!$J$9:$J$308,'المبيعات اليومية'!$C$9:$C$308,$C51),SUMIFS('المبيعات اليومية'!$J$9:$J$308,'المبيعات اليومية'!$C$9:$C$308,$C51,'المبيعات اليومية'!$A$9:$A$308,"&gt;="&amp;IF($B$4="",0,$B$4),'المبيعات اليومية'!$A$9:$A$308,"&lt;="&amp;IF($B$5="",2958465,$B$5))))</f>
        <v/>
      </c>
      <c r="I51" s="29" t="str">
        <f aca="false">IF(OR($C51="",$H$208=0),"",H51/$H$208)</f>
        <v/>
      </c>
      <c r="J51" s="19" t="str">
        <f aca="false">IF(OR(C51="",N(E51)=0),"",F51/E51)</f>
        <v/>
      </c>
    </row>
    <row r="52" customFormat="false" ht="15" hidden="false" customHeight="false" outlineLevel="0" collapsed="false">
      <c r="A52" s="21" t="str">
        <f aca="false">IF(C52="","",45)</f>
        <v/>
      </c>
      <c r="B52" s="21" t="str">
        <f aca="false">IF('دليل الأصناف'!$B$48="","",'دليل الأصناف'!$A$48)</f>
        <v/>
      </c>
      <c r="C52" s="4" t="str">
        <f aca="false">IF('دليل الأصناف'!$B$48="","",'دليل الأصناف'!$B$48)</f>
        <v/>
      </c>
      <c r="D52" s="27" t="str">
        <f aca="false">IF($C52="","",IF($B$4&amp;$B$5="",COUNTIFS('المبيعات اليومية'!$C$9:$C$308,$C52),COUNTIFS('المبيعات اليومية'!$C$9:$C$308,$C52,'المبيعات اليومية'!$A$9:$A$308,"&gt;="&amp;IF($B$4="",0,$B$4),'المبيعات اليومية'!$A$9:$A$308,"&lt;="&amp;IF($B$5="",2958465,$B$5))))</f>
        <v/>
      </c>
      <c r="E52" s="28" t="str">
        <f aca="false">IF($C52="","",IF($B$4&amp;$B$5="",SUMIFS('المبيعات اليومية'!$E$9:$E$308,'المبيعات اليومية'!$C$9:$C$308,$C52),SUMIFS('المبيعات اليومية'!$E$9:$E$308,'المبيعات اليومية'!$C$9:$C$308,$C52,'المبيعات اليومية'!$A$9:$A$308,"&gt;="&amp;IF($B$4="",0,$B$4),'المبيعات اليومية'!$A$9:$A$308,"&lt;="&amp;IF($B$5="",2958465,$B$5))))</f>
        <v/>
      </c>
      <c r="F52" s="19" t="str">
        <f aca="false">IF($C52="","",IF($B$4&amp;$B$5="",SUMIFS('المبيعات اليومية'!$H$9:$H$308,'المبيعات اليومية'!$C$9:$C$308,$C52),SUMIFS('المبيعات اليومية'!$H$9:$H$308,'المبيعات اليومية'!$C$9:$C$308,$C52,'المبيعات اليومية'!$A$9:$A$308,"&gt;="&amp;IF($B$4="",0,$B$4),'المبيعات اليومية'!$A$9:$A$308,"&lt;="&amp;IF($B$5="",2958465,$B$5))))</f>
        <v/>
      </c>
      <c r="G52" s="19" t="str">
        <f aca="false">IF($C52="","",IF($B$4&amp;$B$5="",SUMIFS('المبيعات اليومية'!$I$9:$I$308,'المبيعات اليومية'!$C$9:$C$308,$C52),SUMIFS('المبيعات اليومية'!$I$9:$I$308,'المبيعات اليومية'!$C$9:$C$308,$C52,'المبيعات اليومية'!$A$9:$A$308,"&gt;="&amp;IF($B$4="",0,$B$4),'المبيعات اليومية'!$A$9:$A$308,"&lt;="&amp;IF($B$5="",2958465,$B$5))))</f>
        <v/>
      </c>
      <c r="H52" s="20" t="str">
        <f aca="false">IF($C52="","",IF($B$4&amp;$B$5="",SUMIFS('المبيعات اليومية'!$J$9:$J$308,'المبيعات اليومية'!$C$9:$C$308,$C52),SUMIFS('المبيعات اليومية'!$J$9:$J$308,'المبيعات اليومية'!$C$9:$C$308,$C52,'المبيعات اليومية'!$A$9:$A$308,"&gt;="&amp;IF($B$4="",0,$B$4),'المبيعات اليومية'!$A$9:$A$308,"&lt;="&amp;IF($B$5="",2958465,$B$5))))</f>
        <v/>
      </c>
      <c r="I52" s="29" t="str">
        <f aca="false">IF(OR($C52="",$H$208=0),"",H52/$H$208)</f>
        <v/>
      </c>
      <c r="J52" s="19" t="str">
        <f aca="false">IF(OR(C52="",N(E52)=0),"",F52/E52)</f>
        <v/>
      </c>
    </row>
    <row r="53" customFormat="false" ht="15" hidden="false" customHeight="false" outlineLevel="0" collapsed="false">
      <c r="A53" s="21" t="str">
        <f aca="false">IF(C53="","",46)</f>
        <v/>
      </c>
      <c r="B53" s="21" t="str">
        <f aca="false">IF('دليل الأصناف'!$B$49="","",'دليل الأصناف'!$A$49)</f>
        <v/>
      </c>
      <c r="C53" s="4" t="str">
        <f aca="false">IF('دليل الأصناف'!$B$49="","",'دليل الأصناف'!$B$49)</f>
        <v/>
      </c>
      <c r="D53" s="27" t="str">
        <f aca="false">IF($C53="","",IF($B$4&amp;$B$5="",COUNTIFS('المبيعات اليومية'!$C$9:$C$308,$C53),COUNTIFS('المبيعات اليومية'!$C$9:$C$308,$C53,'المبيعات اليومية'!$A$9:$A$308,"&gt;="&amp;IF($B$4="",0,$B$4),'المبيعات اليومية'!$A$9:$A$308,"&lt;="&amp;IF($B$5="",2958465,$B$5))))</f>
        <v/>
      </c>
      <c r="E53" s="28" t="str">
        <f aca="false">IF($C53="","",IF($B$4&amp;$B$5="",SUMIFS('المبيعات اليومية'!$E$9:$E$308,'المبيعات اليومية'!$C$9:$C$308,$C53),SUMIFS('المبيعات اليومية'!$E$9:$E$308,'المبيعات اليومية'!$C$9:$C$308,$C53,'المبيعات اليومية'!$A$9:$A$308,"&gt;="&amp;IF($B$4="",0,$B$4),'المبيعات اليومية'!$A$9:$A$308,"&lt;="&amp;IF($B$5="",2958465,$B$5))))</f>
        <v/>
      </c>
      <c r="F53" s="19" t="str">
        <f aca="false">IF($C53="","",IF($B$4&amp;$B$5="",SUMIFS('المبيعات اليومية'!$H$9:$H$308,'المبيعات اليومية'!$C$9:$C$308,$C53),SUMIFS('المبيعات اليومية'!$H$9:$H$308,'المبيعات اليومية'!$C$9:$C$308,$C53,'المبيعات اليومية'!$A$9:$A$308,"&gt;="&amp;IF($B$4="",0,$B$4),'المبيعات اليومية'!$A$9:$A$308,"&lt;="&amp;IF($B$5="",2958465,$B$5))))</f>
        <v/>
      </c>
      <c r="G53" s="19" t="str">
        <f aca="false">IF($C53="","",IF($B$4&amp;$B$5="",SUMIFS('المبيعات اليومية'!$I$9:$I$308,'المبيعات اليومية'!$C$9:$C$308,$C53),SUMIFS('المبيعات اليومية'!$I$9:$I$308,'المبيعات اليومية'!$C$9:$C$308,$C53,'المبيعات اليومية'!$A$9:$A$308,"&gt;="&amp;IF($B$4="",0,$B$4),'المبيعات اليومية'!$A$9:$A$308,"&lt;="&amp;IF($B$5="",2958465,$B$5))))</f>
        <v/>
      </c>
      <c r="H53" s="20" t="str">
        <f aca="false">IF($C53="","",IF($B$4&amp;$B$5="",SUMIFS('المبيعات اليومية'!$J$9:$J$308,'المبيعات اليومية'!$C$9:$C$308,$C53),SUMIFS('المبيعات اليومية'!$J$9:$J$308,'المبيعات اليومية'!$C$9:$C$308,$C53,'المبيعات اليومية'!$A$9:$A$308,"&gt;="&amp;IF($B$4="",0,$B$4),'المبيعات اليومية'!$A$9:$A$308,"&lt;="&amp;IF($B$5="",2958465,$B$5))))</f>
        <v/>
      </c>
      <c r="I53" s="29" t="str">
        <f aca="false">IF(OR($C53="",$H$208=0),"",H53/$H$208)</f>
        <v/>
      </c>
      <c r="J53" s="19" t="str">
        <f aca="false">IF(OR(C53="",N(E53)=0),"",F53/E53)</f>
        <v/>
      </c>
    </row>
    <row r="54" customFormat="false" ht="15" hidden="false" customHeight="false" outlineLevel="0" collapsed="false">
      <c r="A54" s="21" t="str">
        <f aca="false">IF(C54="","",47)</f>
        <v/>
      </c>
      <c r="B54" s="21" t="str">
        <f aca="false">IF('دليل الأصناف'!$B$50="","",'دليل الأصناف'!$A$50)</f>
        <v/>
      </c>
      <c r="C54" s="4" t="str">
        <f aca="false">IF('دليل الأصناف'!$B$50="","",'دليل الأصناف'!$B$50)</f>
        <v/>
      </c>
      <c r="D54" s="27" t="str">
        <f aca="false">IF($C54="","",IF($B$4&amp;$B$5="",COUNTIFS('المبيعات اليومية'!$C$9:$C$308,$C54),COUNTIFS('المبيعات اليومية'!$C$9:$C$308,$C54,'المبيعات اليومية'!$A$9:$A$308,"&gt;="&amp;IF($B$4="",0,$B$4),'المبيعات اليومية'!$A$9:$A$308,"&lt;="&amp;IF($B$5="",2958465,$B$5))))</f>
        <v/>
      </c>
      <c r="E54" s="28" t="str">
        <f aca="false">IF($C54="","",IF($B$4&amp;$B$5="",SUMIFS('المبيعات اليومية'!$E$9:$E$308,'المبيعات اليومية'!$C$9:$C$308,$C54),SUMIFS('المبيعات اليومية'!$E$9:$E$308,'المبيعات اليومية'!$C$9:$C$308,$C54,'المبيعات اليومية'!$A$9:$A$308,"&gt;="&amp;IF($B$4="",0,$B$4),'المبيعات اليومية'!$A$9:$A$308,"&lt;="&amp;IF($B$5="",2958465,$B$5))))</f>
        <v/>
      </c>
      <c r="F54" s="19" t="str">
        <f aca="false">IF($C54="","",IF($B$4&amp;$B$5="",SUMIFS('المبيعات اليومية'!$H$9:$H$308,'المبيعات اليومية'!$C$9:$C$308,$C54),SUMIFS('المبيعات اليومية'!$H$9:$H$308,'المبيعات اليومية'!$C$9:$C$308,$C54,'المبيعات اليومية'!$A$9:$A$308,"&gt;="&amp;IF($B$4="",0,$B$4),'المبيعات اليومية'!$A$9:$A$308,"&lt;="&amp;IF($B$5="",2958465,$B$5))))</f>
        <v/>
      </c>
      <c r="G54" s="19" t="str">
        <f aca="false">IF($C54="","",IF($B$4&amp;$B$5="",SUMIFS('المبيعات اليومية'!$I$9:$I$308,'المبيعات اليومية'!$C$9:$C$308,$C54),SUMIFS('المبيعات اليومية'!$I$9:$I$308,'المبيعات اليومية'!$C$9:$C$308,$C54,'المبيعات اليومية'!$A$9:$A$308,"&gt;="&amp;IF($B$4="",0,$B$4),'المبيعات اليومية'!$A$9:$A$308,"&lt;="&amp;IF($B$5="",2958465,$B$5))))</f>
        <v/>
      </c>
      <c r="H54" s="20" t="str">
        <f aca="false">IF($C54="","",IF($B$4&amp;$B$5="",SUMIFS('المبيعات اليومية'!$J$9:$J$308,'المبيعات اليومية'!$C$9:$C$308,$C54),SUMIFS('المبيعات اليومية'!$J$9:$J$308,'المبيعات اليومية'!$C$9:$C$308,$C54,'المبيعات اليومية'!$A$9:$A$308,"&gt;="&amp;IF($B$4="",0,$B$4),'المبيعات اليومية'!$A$9:$A$308,"&lt;="&amp;IF($B$5="",2958465,$B$5))))</f>
        <v/>
      </c>
      <c r="I54" s="29" t="str">
        <f aca="false">IF(OR($C54="",$H$208=0),"",H54/$H$208)</f>
        <v/>
      </c>
      <c r="J54" s="19" t="str">
        <f aca="false">IF(OR(C54="",N(E54)=0),"",F54/E54)</f>
        <v/>
      </c>
    </row>
    <row r="55" customFormat="false" ht="15" hidden="false" customHeight="false" outlineLevel="0" collapsed="false">
      <c r="A55" s="21" t="str">
        <f aca="false">IF(C55="","",48)</f>
        <v/>
      </c>
      <c r="B55" s="21" t="str">
        <f aca="false">IF('دليل الأصناف'!$B$51="","",'دليل الأصناف'!$A$51)</f>
        <v/>
      </c>
      <c r="C55" s="4" t="str">
        <f aca="false">IF('دليل الأصناف'!$B$51="","",'دليل الأصناف'!$B$51)</f>
        <v/>
      </c>
      <c r="D55" s="27" t="str">
        <f aca="false">IF($C55="","",IF($B$4&amp;$B$5="",COUNTIFS('المبيعات اليومية'!$C$9:$C$308,$C55),COUNTIFS('المبيعات اليومية'!$C$9:$C$308,$C55,'المبيعات اليومية'!$A$9:$A$308,"&gt;="&amp;IF($B$4="",0,$B$4),'المبيعات اليومية'!$A$9:$A$308,"&lt;="&amp;IF($B$5="",2958465,$B$5))))</f>
        <v/>
      </c>
      <c r="E55" s="28" t="str">
        <f aca="false">IF($C55="","",IF($B$4&amp;$B$5="",SUMIFS('المبيعات اليومية'!$E$9:$E$308,'المبيعات اليومية'!$C$9:$C$308,$C55),SUMIFS('المبيعات اليومية'!$E$9:$E$308,'المبيعات اليومية'!$C$9:$C$308,$C55,'المبيعات اليومية'!$A$9:$A$308,"&gt;="&amp;IF($B$4="",0,$B$4),'المبيعات اليومية'!$A$9:$A$308,"&lt;="&amp;IF($B$5="",2958465,$B$5))))</f>
        <v/>
      </c>
      <c r="F55" s="19" t="str">
        <f aca="false">IF($C55="","",IF($B$4&amp;$B$5="",SUMIFS('المبيعات اليومية'!$H$9:$H$308,'المبيعات اليومية'!$C$9:$C$308,$C55),SUMIFS('المبيعات اليومية'!$H$9:$H$308,'المبيعات اليومية'!$C$9:$C$308,$C55,'المبيعات اليومية'!$A$9:$A$308,"&gt;="&amp;IF($B$4="",0,$B$4),'المبيعات اليومية'!$A$9:$A$308,"&lt;="&amp;IF($B$5="",2958465,$B$5))))</f>
        <v/>
      </c>
      <c r="G55" s="19" t="str">
        <f aca="false">IF($C55="","",IF($B$4&amp;$B$5="",SUMIFS('المبيعات اليومية'!$I$9:$I$308,'المبيعات اليومية'!$C$9:$C$308,$C55),SUMIFS('المبيعات اليومية'!$I$9:$I$308,'المبيعات اليومية'!$C$9:$C$308,$C55,'المبيعات اليومية'!$A$9:$A$308,"&gt;="&amp;IF($B$4="",0,$B$4),'المبيعات اليومية'!$A$9:$A$308,"&lt;="&amp;IF($B$5="",2958465,$B$5))))</f>
        <v/>
      </c>
      <c r="H55" s="20" t="str">
        <f aca="false">IF($C55="","",IF($B$4&amp;$B$5="",SUMIFS('المبيعات اليومية'!$J$9:$J$308,'المبيعات اليومية'!$C$9:$C$308,$C55),SUMIFS('المبيعات اليومية'!$J$9:$J$308,'المبيعات اليومية'!$C$9:$C$308,$C55,'المبيعات اليومية'!$A$9:$A$308,"&gt;="&amp;IF($B$4="",0,$B$4),'المبيعات اليومية'!$A$9:$A$308,"&lt;="&amp;IF($B$5="",2958465,$B$5))))</f>
        <v/>
      </c>
      <c r="I55" s="29" t="str">
        <f aca="false">IF(OR($C55="",$H$208=0),"",H55/$H$208)</f>
        <v/>
      </c>
      <c r="J55" s="19" t="str">
        <f aca="false">IF(OR(C55="",N(E55)=0),"",F55/E55)</f>
        <v/>
      </c>
    </row>
    <row r="56" customFormat="false" ht="15" hidden="false" customHeight="false" outlineLevel="0" collapsed="false">
      <c r="A56" s="21" t="str">
        <f aca="false">IF(C56="","",49)</f>
        <v/>
      </c>
      <c r="B56" s="21" t="str">
        <f aca="false">IF('دليل الأصناف'!$B$52="","",'دليل الأصناف'!$A$52)</f>
        <v/>
      </c>
      <c r="C56" s="4" t="str">
        <f aca="false">IF('دليل الأصناف'!$B$52="","",'دليل الأصناف'!$B$52)</f>
        <v/>
      </c>
      <c r="D56" s="27" t="str">
        <f aca="false">IF($C56="","",IF($B$4&amp;$B$5="",COUNTIFS('المبيعات اليومية'!$C$9:$C$308,$C56),COUNTIFS('المبيعات اليومية'!$C$9:$C$308,$C56,'المبيعات اليومية'!$A$9:$A$308,"&gt;="&amp;IF($B$4="",0,$B$4),'المبيعات اليومية'!$A$9:$A$308,"&lt;="&amp;IF($B$5="",2958465,$B$5))))</f>
        <v/>
      </c>
      <c r="E56" s="28" t="str">
        <f aca="false">IF($C56="","",IF($B$4&amp;$B$5="",SUMIFS('المبيعات اليومية'!$E$9:$E$308,'المبيعات اليومية'!$C$9:$C$308,$C56),SUMIFS('المبيعات اليومية'!$E$9:$E$308,'المبيعات اليومية'!$C$9:$C$308,$C56,'المبيعات اليومية'!$A$9:$A$308,"&gt;="&amp;IF($B$4="",0,$B$4),'المبيعات اليومية'!$A$9:$A$308,"&lt;="&amp;IF($B$5="",2958465,$B$5))))</f>
        <v/>
      </c>
      <c r="F56" s="19" t="str">
        <f aca="false">IF($C56="","",IF($B$4&amp;$B$5="",SUMIFS('المبيعات اليومية'!$H$9:$H$308,'المبيعات اليومية'!$C$9:$C$308,$C56),SUMIFS('المبيعات اليومية'!$H$9:$H$308,'المبيعات اليومية'!$C$9:$C$308,$C56,'المبيعات اليومية'!$A$9:$A$308,"&gt;="&amp;IF($B$4="",0,$B$4),'المبيعات اليومية'!$A$9:$A$308,"&lt;="&amp;IF($B$5="",2958465,$B$5))))</f>
        <v/>
      </c>
      <c r="G56" s="19" t="str">
        <f aca="false">IF($C56="","",IF($B$4&amp;$B$5="",SUMIFS('المبيعات اليومية'!$I$9:$I$308,'المبيعات اليومية'!$C$9:$C$308,$C56),SUMIFS('المبيعات اليومية'!$I$9:$I$308,'المبيعات اليومية'!$C$9:$C$308,$C56,'المبيعات اليومية'!$A$9:$A$308,"&gt;="&amp;IF($B$4="",0,$B$4),'المبيعات اليومية'!$A$9:$A$308,"&lt;="&amp;IF($B$5="",2958465,$B$5))))</f>
        <v/>
      </c>
      <c r="H56" s="20" t="str">
        <f aca="false">IF($C56="","",IF($B$4&amp;$B$5="",SUMIFS('المبيعات اليومية'!$J$9:$J$308,'المبيعات اليومية'!$C$9:$C$308,$C56),SUMIFS('المبيعات اليومية'!$J$9:$J$308,'المبيعات اليومية'!$C$9:$C$308,$C56,'المبيعات اليومية'!$A$9:$A$308,"&gt;="&amp;IF($B$4="",0,$B$4),'المبيعات اليومية'!$A$9:$A$308,"&lt;="&amp;IF($B$5="",2958465,$B$5))))</f>
        <v/>
      </c>
      <c r="I56" s="29" t="str">
        <f aca="false">IF(OR($C56="",$H$208=0),"",H56/$H$208)</f>
        <v/>
      </c>
      <c r="J56" s="19" t="str">
        <f aca="false">IF(OR(C56="",N(E56)=0),"",F56/E56)</f>
        <v/>
      </c>
    </row>
    <row r="57" customFormat="false" ht="15" hidden="false" customHeight="false" outlineLevel="0" collapsed="false">
      <c r="A57" s="21" t="str">
        <f aca="false">IF(C57="","",50)</f>
        <v/>
      </c>
      <c r="B57" s="21" t="str">
        <f aca="false">IF('دليل الأصناف'!$B$53="","",'دليل الأصناف'!$A$53)</f>
        <v/>
      </c>
      <c r="C57" s="4" t="str">
        <f aca="false">IF('دليل الأصناف'!$B$53="","",'دليل الأصناف'!$B$53)</f>
        <v/>
      </c>
      <c r="D57" s="27" t="str">
        <f aca="false">IF($C57="","",IF($B$4&amp;$B$5="",COUNTIFS('المبيعات اليومية'!$C$9:$C$308,$C57),COUNTIFS('المبيعات اليومية'!$C$9:$C$308,$C57,'المبيعات اليومية'!$A$9:$A$308,"&gt;="&amp;IF($B$4="",0,$B$4),'المبيعات اليومية'!$A$9:$A$308,"&lt;="&amp;IF($B$5="",2958465,$B$5))))</f>
        <v/>
      </c>
      <c r="E57" s="28" t="str">
        <f aca="false">IF($C57="","",IF($B$4&amp;$B$5="",SUMIFS('المبيعات اليومية'!$E$9:$E$308,'المبيعات اليومية'!$C$9:$C$308,$C57),SUMIFS('المبيعات اليومية'!$E$9:$E$308,'المبيعات اليومية'!$C$9:$C$308,$C57,'المبيعات اليومية'!$A$9:$A$308,"&gt;="&amp;IF($B$4="",0,$B$4),'المبيعات اليومية'!$A$9:$A$308,"&lt;="&amp;IF($B$5="",2958465,$B$5))))</f>
        <v/>
      </c>
      <c r="F57" s="19" t="str">
        <f aca="false">IF($C57="","",IF($B$4&amp;$B$5="",SUMIFS('المبيعات اليومية'!$H$9:$H$308,'المبيعات اليومية'!$C$9:$C$308,$C57),SUMIFS('المبيعات اليومية'!$H$9:$H$308,'المبيعات اليومية'!$C$9:$C$308,$C57,'المبيعات اليومية'!$A$9:$A$308,"&gt;="&amp;IF($B$4="",0,$B$4),'المبيعات اليومية'!$A$9:$A$308,"&lt;="&amp;IF($B$5="",2958465,$B$5))))</f>
        <v/>
      </c>
      <c r="G57" s="19" t="str">
        <f aca="false">IF($C57="","",IF($B$4&amp;$B$5="",SUMIFS('المبيعات اليومية'!$I$9:$I$308,'المبيعات اليومية'!$C$9:$C$308,$C57),SUMIFS('المبيعات اليومية'!$I$9:$I$308,'المبيعات اليومية'!$C$9:$C$308,$C57,'المبيعات اليومية'!$A$9:$A$308,"&gt;="&amp;IF($B$4="",0,$B$4),'المبيعات اليومية'!$A$9:$A$308,"&lt;="&amp;IF($B$5="",2958465,$B$5))))</f>
        <v/>
      </c>
      <c r="H57" s="20" t="str">
        <f aca="false">IF($C57="","",IF($B$4&amp;$B$5="",SUMIFS('المبيعات اليومية'!$J$9:$J$308,'المبيعات اليومية'!$C$9:$C$308,$C57),SUMIFS('المبيعات اليومية'!$J$9:$J$308,'المبيعات اليومية'!$C$9:$C$308,$C57,'المبيعات اليومية'!$A$9:$A$308,"&gt;="&amp;IF($B$4="",0,$B$4),'المبيعات اليومية'!$A$9:$A$308,"&lt;="&amp;IF($B$5="",2958465,$B$5))))</f>
        <v/>
      </c>
      <c r="I57" s="29" t="str">
        <f aca="false">IF(OR($C57="",$H$208=0),"",H57/$H$208)</f>
        <v/>
      </c>
      <c r="J57" s="19" t="str">
        <f aca="false">IF(OR(C57="",N(E57)=0),"",F57/E57)</f>
        <v/>
      </c>
    </row>
    <row r="58" customFormat="false" ht="15" hidden="false" customHeight="false" outlineLevel="0" collapsed="false">
      <c r="A58" s="21" t="str">
        <f aca="false">IF(C58="","",51)</f>
        <v/>
      </c>
      <c r="B58" s="21" t="str">
        <f aca="false">IF('دليل الأصناف'!$B$54="","",'دليل الأصناف'!$A$54)</f>
        <v/>
      </c>
      <c r="C58" s="4" t="str">
        <f aca="false">IF('دليل الأصناف'!$B$54="","",'دليل الأصناف'!$B$54)</f>
        <v/>
      </c>
      <c r="D58" s="27" t="str">
        <f aca="false">IF($C58="","",IF($B$4&amp;$B$5="",COUNTIFS('المبيعات اليومية'!$C$9:$C$308,$C58),COUNTIFS('المبيعات اليومية'!$C$9:$C$308,$C58,'المبيعات اليومية'!$A$9:$A$308,"&gt;="&amp;IF($B$4="",0,$B$4),'المبيعات اليومية'!$A$9:$A$308,"&lt;="&amp;IF($B$5="",2958465,$B$5))))</f>
        <v/>
      </c>
      <c r="E58" s="28" t="str">
        <f aca="false">IF($C58="","",IF($B$4&amp;$B$5="",SUMIFS('المبيعات اليومية'!$E$9:$E$308,'المبيعات اليومية'!$C$9:$C$308,$C58),SUMIFS('المبيعات اليومية'!$E$9:$E$308,'المبيعات اليومية'!$C$9:$C$308,$C58,'المبيعات اليومية'!$A$9:$A$308,"&gt;="&amp;IF($B$4="",0,$B$4),'المبيعات اليومية'!$A$9:$A$308,"&lt;="&amp;IF($B$5="",2958465,$B$5))))</f>
        <v/>
      </c>
      <c r="F58" s="19" t="str">
        <f aca="false">IF($C58="","",IF($B$4&amp;$B$5="",SUMIFS('المبيعات اليومية'!$H$9:$H$308,'المبيعات اليومية'!$C$9:$C$308,$C58),SUMIFS('المبيعات اليومية'!$H$9:$H$308,'المبيعات اليومية'!$C$9:$C$308,$C58,'المبيعات اليومية'!$A$9:$A$308,"&gt;="&amp;IF($B$4="",0,$B$4),'المبيعات اليومية'!$A$9:$A$308,"&lt;="&amp;IF($B$5="",2958465,$B$5))))</f>
        <v/>
      </c>
      <c r="G58" s="19" t="str">
        <f aca="false">IF($C58="","",IF($B$4&amp;$B$5="",SUMIFS('المبيعات اليومية'!$I$9:$I$308,'المبيعات اليومية'!$C$9:$C$308,$C58),SUMIFS('المبيعات اليومية'!$I$9:$I$308,'المبيعات اليومية'!$C$9:$C$308,$C58,'المبيعات اليومية'!$A$9:$A$308,"&gt;="&amp;IF($B$4="",0,$B$4),'المبيعات اليومية'!$A$9:$A$308,"&lt;="&amp;IF($B$5="",2958465,$B$5))))</f>
        <v/>
      </c>
      <c r="H58" s="20" t="str">
        <f aca="false">IF($C58="","",IF($B$4&amp;$B$5="",SUMIFS('المبيعات اليومية'!$J$9:$J$308,'المبيعات اليومية'!$C$9:$C$308,$C58),SUMIFS('المبيعات اليومية'!$J$9:$J$308,'المبيعات اليومية'!$C$9:$C$308,$C58,'المبيعات اليومية'!$A$9:$A$308,"&gt;="&amp;IF($B$4="",0,$B$4),'المبيعات اليومية'!$A$9:$A$308,"&lt;="&amp;IF($B$5="",2958465,$B$5))))</f>
        <v/>
      </c>
      <c r="I58" s="29" t="str">
        <f aca="false">IF(OR($C58="",$H$208=0),"",H58/$H$208)</f>
        <v/>
      </c>
      <c r="J58" s="19" t="str">
        <f aca="false">IF(OR(C58="",N(E58)=0),"",F58/E58)</f>
        <v/>
      </c>
    </row>
    <row r="59" customFormat="false" ht="15" hidden="false" customHeight="false" outlineLevel="0" collapsed="false">
      <c r="A59" s="21" t="str">
        <f aca="false">IF(C59="","",52)</f>
        <v/>
      </c>
      <c r="B59" s="21" t="str">
        <f aca="false">IF('دليل الأصناف'!$B$55="","",'دليل الأصناف'!$A$55)</f>
        <v/>
      </c>
      <c r="C59" s="4" t="str">
        <f aca="false">IF('دليل الأصناف'!$B$55="","",'دليل الأصناف'!$B$55)</f>
        <v/>
      </c>
      <c r="D59" s="27" t="str">
        <f aca="false">IF($C59="","",IF($B$4&amp;$B$5="",COUNTIFS('المبيعات اليومية'!$C$9:$C$308,$C59),COUNTIFS('المبيعات اليومية'!$C$9:$C$308,$C59,'المبيعات اليومية'!$A$9:$A$308,"&gt;="&amp;IF($B$4="",0,$B$4),'المبيعات اليومية'!$A$9:$A$308,"&lt;="&amp;IF($B$5="",2958465,$B$5))))</f>
        <v/>
      </c>
      <c r="E59" s="28" t="str">
        <f aca="false">IF($C59="","",IF($B$4&amp;$B$5="",SUMIFS('المبيعات اليومية'!$E$9:$E$308,'المبيعات اليومية'!$C$9:$C$308,$C59),SUMIFS('المبيعات اليومية'!$E$9:$E$308,'المبيعات اليومية'!$C$9:$C$308,$C59,'المبيعات اليومية'!$A$9:$A$308,"&gt;="&amp;IF($B$4="",0,$B$4),'المبيعات اليومية'!$A$9:$A$308,"&lt;="&amp;IF($B$5="",2958465,$B$5))))</f>
        <v/>
      </c>
      <c r="F59" s="19" t="str">
        <f aca="false">IF($C59="","",IF($B$4&amp;$B$5="",SUMIFS('المبيعات اليومية'!$H$9:$H$308,'المبيعات اليومية'!$C$9:$C$308,$C59),SUMIFS('المبيعات اليومية'!$H$9:$H$308,'المبيعات اليومية'!$C$9:$C$308,$C59,'المبيعات اليومية'!$A$9:$A$308,"&gt;="&amp;IF($B$4="",0,$B$4),'المبيعات اليومية'!$A$9:$A$308,"&lt;="&amp;IF($B$5="",2958465,$B$5))))</f>
        <v/>
      </c>
      <c r="G59" s="19" t="str">
        <f aca="false">IF($C59="","",IF($B$4&amp;$B$5="",SUMIFS('المبيعات اليومية'!$I$9:$I$308,'المبيعات اليومية'!$C$9:$C$308,$C59),SUMIFS('المبيعات اليومية'!$I$9:$I$308,'المبيعات اليومية'!$C$9:$C$308,$C59,'المبيعات اليومية'!$A$9:$A$308,"&gt;="&amp;IF($B$4="",0,$B$4),'المبيعات اليومية'!$A$9:$A$308,"&lt;="&amp;IF($B$5="",2958465,$B$5))))</f>
        <v/>
      </c>
      <c r="H59" s="20" t="str">
        <f aca="false">IF($C59="","",IF($B$4&amp;$B$5="",SUMIFS('المبيعات اليومية'!$J$9:$J$308,'المبيعات اليومية'!$C$9:$C$308,$C59),SUMIFS('المبيعات اليومية'!$J$9:$J$308,'المبيعات اليومية'!$C$9:$C$308,$C59,'المبيعات اليومية'!$A$9:$A$308,"&gt;="&amp;IF($B$4="",0,$B$4),'المبيعات اليومية'!$A$9:$A$308,"&lt;="&amp;IF($B$5="",2958465,$B$5))))</f>
        <v/>
      </c>
      <c r="I59" s="29" t="str">
        <f aca="false">IF(OR($C59="",$H$208=0),"",H59/$H$208)</f>
        <v/>
      </c>
      <c r="J59" s="19" t="str">
        <f aca="false">IF(OR(C59="",N(E59)=0),"",F59/E59)</f>
        <v/>
      </c>
    </row>
    <row r="60" customFormat="false" ht="15" hidden="false" customHeight="false" outlineLevel="0" collapsed="false">
      <c r="A60" s="21" t="str">
        <f aca="false">IF(C60="","",53)</f>
        <v/>
      </c>
      <c r="B60" s="21" t="str">
        <f aca="false">IF('دليل الأصناف'!$B$56="","",'دليل الأصناف'!$A$56)</f>
        <v/>
      </c>
      <c r="C60" s="4" t="str">
        <f aca="false">IF('دليل الأصناف'!$B$56="","",'دليل الأصناف'!$B$56)</f>
        <v/>
      </c>
      <c r="D60" s="27" t="str">
        <f aca="false">IF($C60="","",IF($B$4&amp;$B$5="",COUNTIFS('المبيعات اليومية'!$C$9:$C$308,$C60),COUNTIFS('المبيعات اليومية'!$C$9:$C$308,$C60,'المبيعات اليومية'!$A$9:$A$308,"&gt;="&amp;IF($B$4="",0,$B$4),'المبيعات اليومية'!$A$9:$A$308,"&lt;="&amp;IF($B$5="",2958465,$B$5))))</f>
        <v/>
      </c>
      <c r="E60" s="28" t="str">
        <f aca="false">IF($C60="","",IF($B$4&amp;$B$5="",SUMIFS('المبيعات اليومية'!$E$9:$E$308,'المبيعات اليومية'!$C$9:$C$308,$C60),SUMIFS('المبيعات اليومية'!$E$9:$E$308,'المبيعات اليومية'!$C$9:$C$308,$C60,'المبيعات اليومية'!$A$9:$A$308,"&gt;="&amp;IF($B$4="",0,$B$4),'المبيعات اليومية'!$A$9:$A$308,"&lt;="&amp;IF($B$5="",2958465,$B$5))))</f>
        <v/>
      </c>
      <c r="F60" s="19" t="str">
        <f aca="false">IF($C60="","",IF($B$4&amp;$B$5="",SUMIFS('المبيعات اليومية'!$H$9:$H$308,'المبيعات اليومية'!$C$9:$C$308,$C60),SUMIFS('المبيعات اليومية'!$H$9:$H$308,'المبيعات اليومية'!$C$9:$C$308,$C60,'المبيعات اليومية'!$A$9:$A$308,"&gt;="&amp;IF($B$4="",0,$B$4),'المبيعات اليومية'!$A$9:$A$308,"&lt;="&amp;IF($B$5="",2958465,$B$5))))</f>
        <v/>
      </c>
      <c r="G60" s="19" t="str">
        <f aca="false">IF($C60="","",IF($B$4&amp;$B$5="",SUMIFS('المبيعات اليومية'!$I$9:$I$308,'المبيعات اليومية'!$C$9:$C$308,$C60),SUMIFS('المبيعات اليومية'!$I$9:$I$308,'المبيعات اليومية'!$C$9:$C$308,$C60,'المبيعات اليومية'!$A$9:$A$308,"&gt;="&amp;IF($B$4="",0,$B$4),'المبيعات اليومية'!$A$9:$A$308,"&lt;="&amp;IF($B$5="",2958465,$B$5))))</f>
        <v/>
      </c>
      <c r="H60" s="20" t="str">
        <f aca="false">IF($C60="","",IF($B$4&amp;$B$5="",SUMIFS('المبيعات اليومية'!$J$9:$J$308,'المبيعات اليومية'!$C$9:$C$308,$C60),SUMIFS('المبيعات اليومية'!$J$9:$J$308,'المبيعات اليومية'!$C$9:$C$308,$C60,'المبيعات اليومية'!$A$9:$A$308,"&gt;="&amp;IF($B$4="",0,$B$4),'المبيعات اليومية'!$A$9:$A$308,"&lt;="&amp;IF($B$5="",2958465,$B$5))))</f>
        <v/>
      </c>
      <c r="I60" s="29" t="str">
        <f aca="false">IF(OR($C60="",$H$208=0),"",H60/$H$208)</f>
        <v/>
      </c>
      <c r="J60" s="19" t="str">
        <f aca="false">IF(OR(C60="",N(E60)=0),"",F60/E60)</f>
        <v/>
      </c>
    </row>
    <row r="61" customFormat="false" ht="15" hidden="false" customHeight="false" outlineLevel="0" collapsed="false">
      <c r="A61" s="21" t="str">
        <f aca="false">IF(C61="","",54)</f>
        <v/>
      </c>
      <c r="B61" s="21" t="str">
        <f aca="false">IF('دليل الأصناف'!$B$57="","",'دليل الأصناف'!$A$57)</f>
        <v/>
      </c>
      <c r="C61" s="4" t="str">
        <f aca="false">IF('دليل الأصناف'!$B$57="","",'دليل الأصناف'!$B$57)</f>
        <v/>
      </c>
      <c r="D61" s="27" t="str">
        <f aca="false">IF($C61="","",IF($B$4&amp;$B$5="",COUNTIFS('المبيعات اليومية'!$C$9:$C$308,$C61),COUNTIFS('المبيعات اليومية'!$C$9:$C$308,$C61,'المبيعات اليومية'!$A$9:$A$308,"&gt;="&amp;IF($B$4="",0,$B$4),'المبيعات اليومية'!$A$9:$A$308,"&lt;="&amp;IF($B$5="",2958465,$B$5))))</f>
        <v/>
      </c>
      <c r="E61" s="28" t="str">
        <f aca="false">IF($C61="","",IF($B$4&amp;$B$5="",SUMIFS('المبيعات اليومية'!$E$9:$E$308,'المبيعات اليومية'!$C$9:$C$308,$C61),SUMIFS('المبيعات اليومية'!$E$9:$E$308,'المبيعات اليومية'!$C$9:$C$308,$C61,'المبيعات اليومية'!$A$9:$A$308,"&gt;="&amp;IF($B$4="",0,$B$4),'المبيعات اليومية'!$A$9:$A$308,"&lt;="&amp;IF($B$5="",2958465,$B$5))))</f>
        <v/>
      </c>
      <c r="F61" s="19" t="str">
        <f aca="false">IF($C61="","",IF($B$4&amp;$B$5="",SUMIFS('المبيعات اليومية'!$H$9:$H$308,'المبيعات اليومية'!$C$9:$C$308,$C61),SUMIFS('المبيعات اليومية'!$H$9:$H$308,'المبيعات اليومية'!$C$9:$C$308,$C61,'المبيعات اليومية'!$A$9:$A$308,"&gt;="&amp;IF($B$4="",0,$B$4),'المبيعات اليومية'!$A$9:$A$308,"&lt;="&amp;IF($B$5="",2958465,$B$5))))</f>
        <v/>
      </c>
      <c r="G61" s="19" t="str">
        <f aca="false">IF($C61="","",IF($B$4&amp;$B$5="",SUMIFS('المبيعات اليومية'!$I$9:$I$308,'المبيعات اليومية'!$C$9:$C$308,$C61),SUMIFS('المبيعات اليومية'!$I$9:$I$308,'المبيعات اليومية'!$C$9:$C$308,$C61,'المبيعات اليومية'!$A$9:$A$308,"&gt;="&amp;IF($B$4="",0,$B$4),'المبيعات اليومية'!$A$9:$A$308,"&lt;="&amp;IF($B$5="",2958465,$B$5))))</f>
        <v/>
      </c>
      <c r="H61" s="20" t="str">
        <f aca="false">IF($C61="","",IF($B$4&amp;$B$5="",SUMIFS('المبيعات اليومية'!$J$9:$J$308,'المبيعات اليومية'!$C$9:$C$308,$C61),SUMIFS('المبيعات اليومية'!$J$9:$J$308,'المبيعات اليومية'!$C$9:$C$308,$C61,'المبيعات اليومية'!$A$9:$A$308,"&gt;="&amp;IF($B$4="",0,$B$4),'المبيعات اليومية'!$A$9:$A$308,"&lt;="&amp;IF($B$5="",2958465,$B$5))))</f>
        <v/>
      </c>
      <c r="I61" s="29" t="str">
        <f aca="false">IF(OR($C61="",$H$208=0),"",H61/$H$208)</f>
        <v/>
      </c>
      <c r="J61" s="19" t="str">
        <f aca="false">IF(OR(C61="",N(E61)=0),"",F61/E61)</f>
        <v/>
      </c>
    </row>
    <row r="62" customFormat="false" ht="15" hidden="false" customHeight="false" outlineLevel="0" collapsed="false">
      <c r="A62" s="21" t="str">
        <f aca="false">IF(C62="","",55)</f>
        <v/>
      </c>
      <c r="B62" s="21" t="str">
        <f aca="false">IF('دليل الأصناف'!$B$58="","",'دليل الأصناف'!$A$58)</f>
        <v/>
      </c>
      <c r="C62" s="4" t="str">
        <f aca="false">IF('دليل الأصناف'!$B$58="","",'دليل الأصناف'!$B$58)</f>
        <v/>
      </c>
      <c r="D62" s="27" t="str">
        <f aca="false">IF($C62="","",IF($B$4&amp;$B$5="",COUNTIFS('المبيعات اليومية'!$C$9:$C$308,$C62),COUNTIFS('المبيعات اليومية'!$C$9:$C$308,$C62,'المبيعات اليومية'!$A$9:$A$308,"&gt;="&amp;IF($B$4="",0,$B$4),'المبيعات اليومية'!$A$9:$A$308,"&lt;="&amp;IF($B$5="",2958465,$B$5))))</f>
        <v/>
      </c>
      <c r="E62" s="28" t="str">
        <f aca="false">IF($C62="","",IF($B$4&amp;$B$5="",SUMIFS('المبيعات اليومية'!$E$9:$E$308,'المبيعات اليومية'!$C$9:$C$308,$C62),SUMIFS('المبيعات اليومية'!$E$9:$E$308,'المبيعات اليومية'!$C$9:$C$308,$C62,'المبيعات اليومية'!$A$9:$A$308,"&gt;="&amp;IF($B$4="",0,$B$4),'المبيعات اليومية'!$A$9:$A$308,"&lt;="&amp;IF($B$5="",2958465,$B$5))))</f>
        <v/>
      </c>
      <c r="F62" s="19" t="str">
        <f aca="false">IF($C62="","",IF($B$4&amp;$B$5="",SUMIFS('المبيعات اليومية'!$H$9:$H$308,'المبيعات اليومية'!$C$9:$C$308,$C62),SUMIFS('المبيعات اليومية'!$H$9:$H$308,'المبيعات اليومية'!$C$9:$C$308,$C62,'المبيعات اليومية'!$A$9:$A$308,"&gt;="&amp;IF($B$4="",0,$B$4),'المبيعات اليومية'!$A$9:$A$308,"&lt;="&amp;IF($B$5="",2958465,$B$5))))</f>
        <v/>
      </c>
      <c r="G62" s="19" t="str">
        <f aca="false">IF($C62="","",IF($B$4&amp;$B$5="",SUMIFS('المبيعات اليومية'!$I$9:$I$308,'المبيعات اليومية'!$C$9:$C$308,$C62),SUMIFS('المبيعات اليومية'!$I$9:$I$308,'المبيعات اليومية'!$C$9:$C$308,$C62,'المبيعات اليومية'!$A$9:$A$308,"&gt;="&amp;IF($B$4="",0,$B$4),'المبيعات اليومية'!$A$9:$A$308,"&lt;="&amp;IF($B$5="",2958465,$B$5))))</f>
        <v/>
      </c>
      <c r="H62" s="20" t="str">
        <f aca="false">IF($C62="","",IF($B$4&amp;$B$5="",SUMIFS('المبيعات اليومية'!$J$9:$J$308,'المبيعات اليومية'!$C$9:$C$308,$C62),SUMIFS('المبيعات اليومية'!$J$9:$J$308,'المبيعات اليومية'!$C$9:$C$308,$C62,'المبيعات اليومية'!$A$9:$A$308,"&gt;="&amp;IF($B$4="",0,$B$4),'المبيعات اليومية'!$A$9:$A$308,"&lt;="&amp;IF($B$5="",2958465,$B$5))))</f>
        <v/>
      </c>
      <c r="I62" s="29" t="str">
        <f aca="false">IF(OR($C62="",$H$208=0),"",H62/$H$208)</f>
        <v/>
      </c>
      <c r="J62" s="19" t="str">
        <f aca="false">IF(OR(C62="",N(E62)=0),"",F62/E62)</f>
        <v/>
      </c>
    </row>
    <row r="63" customFormat="false" ht="15" hidden="false" customHeight="false" outlineLevel="0" collapsed="false">
      <c r="A63" s="21" t="str">
        <f aca="false">IF(C63="","",56)</f>
        <v/>
      </c>
      <c r="B63" s="21" t="str">
        <f aca="false">IF('دليل الأصناف'!$B$59="","",'دليل الأصناف'!$A$59)</f>
        <v/>
      </c>
      <c r="C63" s="4" t="str">
        <f aca="false">IF('دليل الأصناف'!$B$59="","",'دليل الأصناف'!$B$59)</f>
        <v/>
      </c>
      <c r="D63" s="27" t="str">
        <f aca="false">IF($C63="","",IF($B$4&amp;$B$5="",COUNTIFS('المبيعات اليومية'!$C$9:$C$308,$C63),COUNTIFS('المبيعات اليومية'!$C$9:$C$308,$C63,'المبيعات اليومية'!$A$9:$A$308,"&gt;="&amp;IF($B$4="",0,$B$4),'المبيعات اليومية'!$A$9:$A$308,"&lt;="&amp;IF($B$5="",2958465,$B$5))))</f>
        <v/>
      </c>
      <c r="E63" s="28" t="str">
        <f aca="false">IF($C63="","",IF($B$4&amp;$B$5="",SUMIFS('المبيعات اليومية'!$E$9:$E$308,'المبيعات اليومية'!$C$9:$C$308,$C63),SUMIFS('المبيعات اليومية'!$E$9:$E$308,'المبيعات اليومية'!$C$9:$C$308,$C63,'المبيعات اليومية'!$A$9:$A$308,"&gt;="&amp;IF($B$4="",0,$B$4),'المبيعات اليومية'!$A$9:$A$308,"&lt;="&amp;IF($B$5="",2958465,$B$5))))</f>
        <v/>
      </c>
      <c r="F63" s="19" t="str">
        <f aca="false">IF($C63="","",IF($B$4&amp;$B$5="",SUMIFS('المبيعات اليومية'!$H$9:$H$308,'المبيعات اليومية'!$C$9:$C$308,$C63),SUMIFS('المبيعات اليومية'!$H$9:$H$308,'المبيعات اليومية'!$C$9:$C$308,$C63,'المبيعات اليومية'!$A$9:$A$308,"&gt;="&amp;IF($B$4="",0,$B$4),'المبيعات اليومية'!$A$9:$A$308,"&lt;="&amp;IF($B$5="",2958465,$B$5))))</f>
        <v/>
      </c>
      <c r="G63" s="19" t="str">
        <f aca="false">IF($C63="","",IF($B$4&amp;$B$5="",SUMIFS('المبيعات اليومية'!$I$9:$I$308,'المبيعات اليومية'!$C$9:$C$308,$C63),SUMIFS('المبيعات اليومية'!$I$9:$I$308,'المبيعات اليومية'!$C$9:$C$308,$C63,'المبيعات اليومية'!$A$9:$A$308,"&gt;="&amp;IF($B$4="",0,$B$4),'المبيعات اليومية'!$A$9:$A$308,"&lt;="&amp;IF($B$5="",2958465,$B$5))))</f>
        <v/>
      </c>
      <c r="H63" s="20" t="str">
        <f aca="false">IF($C63="","",IF($B$4&amp;$B$5="",SUMIFS('المبيعات اليومية'!$J$9:$J$308,'المبيعات اليومية'!$C$9:$C$308,$C63),SUMIFS('المبيعات اليومية'!$J$9:$J$308,'المبيعات اليومية'!$C$9:$C$308,$C63,'المبيعات اليومية'!$A$9:$A$308,"&gt;="&amp;IF($B$4="",0,$B$4),'المبيعات اليومية'!$A$9:$A$308,"&lt;="&amp;IF($B$5="",2958465,$B$5))))</f>
        <v/>
      </c>
      <c r="I63" s="29" t="str">
        <f aca="false">IF(OR($C63="",$H$208=0),"",H63/$H$208)</f>
        <v/>
      </c>
      <c r="J63" s="19" t="str">
        <f aca="false">IF(OR(C63="",N(E63)=0),"",F63/E63)</f>
        <v/>
      </c>
    </row>
    <row r="64" customFormat="false" ht="15" hidden="false" customHeight="false" outlineLevel="0" collapsed="false">
      <c r="A64" s="21" t="str">
        <f aca="false">IF(C64="","",57)</f>
        <v/>
      </c>
      <c r="B64" s="21" t="str">
        <f aca="false">IF('دليل الأصناف'!$B$60="","",'دليل الأصناف'!$A$60)</f>
        <v/>
      </c>
      <c r="C64" s="4" t="str">
        <f aca="false">IF('دليل الأصناف'!$B$60="","",'دليل الأصناف'!$B$60)</f>
        <v/>
      </c>
      <c r="D64" s="27" t="str">
        <f aca="false">IF($C64="","",IF($B$4&amp;$B$5="",COUNTIFS('المبيعات اليومية'!$C$9:$C$308,$C64),COUNTIFS('المبيعات اليومية'!$C$9:$C$308,$C64,'المبيعات اليومية'!$A$9:$A$308,"&gt;="&amp;IF($B$4="",0,$B$4),'المبيعات اليومية'!$A$9:$A$308,"&lt;="&amp;IF($B$5="",2958465,$B$5))))</f>
        <v/>
      </c>
      <c r="E64" s="28" t="str">
        <f aca="false">IF($C64="","",IF($B$4&amp;$B$5="",SUMIFS('المبيعات اليومية'!$E$9:$E$308,'المبيعات اليومية'!$C$9:$C$308,$C64),SUMIFS('المبيعات اليومية'!$E$9:$E$308,'المبيعات اليومية'!$C$9:$C$308,$C64,'المبيعات اليومية'!$A$9:$A$308,"&gt;="&amp;IF($B$4="",0,$B$4),'المبيعات اليومية'!$A$9:$A$308,"&lt;="&amp;IF($B$5="",2958465,$B$5))))</f>
        <v/>
      </c>
      <c r="F64" s="19" t="str">
        <f aca="false">IF($C64="","",IF($B$4&amp;$B$5="",SUMIFS('المبيعات اليومية'!$H$9:$H$308,'المبيعات اليومية'!$C$9:$C$308,$C64),SUMIFS('المبيعات اليومية'!$H$9:$H$308,'المبيعات اليومية'!$C$9:$C$308,$C64,'المبيعات اليومية'!$A$9:$A$308,"&gt;="&amp;IF($B$4="",0,$B$4),'المبيعات اليومية'!$A$9:$A$308,"&lt;="&amp;IF($B$5="",2958465,$B$5))))</f>
        <v/>
      </c>
      <c r="G64" s="19" t="str">
        <f aca="false">IF($C64="","",IF($B$4&amp;$B$5="",SUMIFS('المبيعات اليومية'!$I$9:$I$308,'المبيعات اليومية'!$C$9:$C$308,$C64),SUMIFS('المبيعات اليومية'!$I$9:$I$308,'المبيعات اليومية'!$C$9:$C$308,$C64,'المبيعات اليومية'!$A$9:$A$308,"&gt;="&amp;IF($B$4="",0,$B$4),'المبيعات اليومية'!$A$9:$A$308,"&lt;="&amp;IF($B$5="",2958465,$B$5))))</f>
        <v/>
      </c>
      <c r="H64" s="20" t="str">
        <f aca="false">IF($C64="","",IF($B$4&amp;$B$5="",SUMIFS('المبيعات اليومية'!$J$9:$J$308,'المبيعات اليومية'!$C$9:$C$308,$C64),SUMIFS('المبيعات اليومية'!$J$9:$J$308,'المبيعات اليومية'!$C$9:$C$308,$C64,'المبيعات اليومية'!$A$9:$A$308,"&gt;="&amp;IF($B$4="",0,$B$4),'المبيعات اليومية'!$A$9:$A$308,"&lt;="&amp;IF($B$5="",2958465,$B$5))))</f>
        <v/>
      </c>
      <c r="I64" s="29" t="str">
        <f aca="false">IF(OR($C64="",$H$208=0),"",H64/$H$208)</f>
        <v/>
      </c>
      <c r="J64" s="19" t="str">
        <f aca="false">IF(OR(C64="",N(E64)=0),"",F64/E64)</f>
        <v/>
      </c>
    </row>
    <row r="65" customFormat="false" ht="15" hidden="false" customHeight="false" outlineLevel="0" collapsed="false">
      <c r="A65" s="21" t="str">
        <f aca="false">IF(C65="","",58)</f>
        <v/>
      </c>
      <c r="B65" s="21" t="str">
        <f aca="false">IF('دليل الأصناف'!$B$61="","",'دليل الأصناف'!$A$61)</f>
        <v/>
      </c>
      <c r="C65" s="4" t="str">
        <f aca="false">IF('دليل الأصناف'!$B$61="","",'دليل الأصناف'!$B$61)</f>
        <v/>
      </c>
      <c r="D65" s="27" t="str">
        <f aca="false">IF($C65="","",IF($B$4&amp;$B$5="",COUNTIFS('المبيعات اليومية'!$C$9:$C$308,$C65),COUNTIFS('المبيعات اليومية'!$C$9:$C$308,$C65,'المبيعات اليومية'!$A$9:$A$308,"&gt;="&amp;IF($B$4="",0,$B$4),'المبيعات اليومية'!$A$9:$A$308,"&lt;="&amp;IF($B$5="",2958465,$B$5))))</f>
        <v/>
      </c>
      <c r="E65" s="28" t="str">
        <f aca="false">IF($C65="","",IF($B$4&amp;$B$5="",SUMIFS('المبيعات اليومية'!$E$9:$E$308,'المبيعات اليومية'!$C$9:$C$308,$C65),SUMIFS('المبيعات اليومية'!$E$9:$E$308,'المبيعات اليومية'!$C$9:$C$308,$C65,'المبيعات اليومية'!$A$9:$A$308,"&gt;="&amp;IF($B$4="",0,$B$4),'المبيعات اليومية'!$A$9:$A$308,"&lt;="&amp;IF($B$5="",2958465,$B$5))))</f>
        <v/>
      </c>
      <c r="F65" s="19" t="str">
        <f aca="false">IF($C65="","",IF($B$4&amp;$B$5="",SUMIFS('المبيعات اليومية'!$H$9:$H$308,'المبيعات اليومية'!$C$9:$C$308,$C65),SUMIFS('المبيعات اليومية'!$H$9:$H$308,'المبيعات اليومية'!$C$9:$C$308,$C65,'المبيعات اليومية'!$A$9:$A$308,"&gt;="&amp;IF($B$4="",0,$B$4),'المبيعات اليومية'!$A$9:$A$308,"&lt;="&amp;IF($B$5="",2958465,$B$5))))</f>
        <v/>
      </c>
      <c r="G65" s="19" t="str">
        <f aca="false">IF($C65="","",IF($B$4&amp;$B$5="",SUMIFS('المبيعات اليومية'!$I$9:$I$308,'المبيعات اليومية'!$C$9:$C$308,$C65),SUMIFS('المبيعات اليومية'!$I$9:$I$308,'المبيعات اليومية'!$C$9:$C$308,$C65,'المبيعات اليومية'!$A$9:$A$308,"&gt;="&amp;IF($B$4="",0,$B$4),'المبيعات اليومية'!$A$9:$A$308,"&lt;="&amp;IF($B$5="",2958465,$B$5))))</f>
        <v/>
      </c>
      <c r="H65" s="20" t="str">
        <f aca="false">IF($C65="","",IF($B$4&amp;$B$5="",SUMIFS('المبيعات اليومية'!$J$9:$J$308,'المبيعات اليومية'!$C$9:$C$308,$C65),SUMIFS('المبيعات اليومية'!$J$9:$J$308,'المبيعات اليومية'!$C$9:$C$308,$C65,'المبيعات اليومية'!$A$9:$A$308,"&gt;="&amp;IF($B$4="",0,$B$4),'المبيعات اليومية'!$A$9:$A$308,"&lt;="&amp;IF($B$5="",2958465,$B$5))))</f>
        <v/>
      </c>
      <c r="I65" s="29" t="str">
        <f aca="false">IF(OR($C65="",$H$208=0),"",H65/$H$208)</f>
        <v/>
      </c>
      <c r="J65" s="19" t="str">
        <f aca="false">IF(OR(C65="",N(E65)=0),"",F65/E65)</f>
        <v/>
      </c>
    </row>
    <row r="66" customFormat="false" ht="15" hidden="false" customHeight="false" outlineLevel="0" collapsed="false">
      <c r="A66" s="21" t="str">
        <f aca="false">IF(C66="","",59)</f>
        <v/>
      </c>
      <c r="B66" s="21" t="str">
        <f aca="false">IF('دليل الأصناف'!$B$62="","",'دليل الأصناف'!$A$62)</f>
        <v/>
      </c>
      <c r="C66" s="4" t="str">
        <f aca="false">IF('دليل الأصناف'!$B$62="","",'دليل الأصناف'!$B$62)</f>
        <v/>
      </c>
      <c r="D66" s="27" t="str">
        <f aca="false">IF($C66="","",IF($B$4&amp;$B$5="",COUNTIFS('المبيعات اليومية'!$C$9:$C$308,$C66),COUNTIFS('المبيعات اليومية'!$C$9:$C$308,$C66,'المبيعات اليومية'!$A$9:$A$308,"&gt;="&amp;IF($B$4="",0,$B$4),'المبيعات اليومية'!$A$9:$A$308,"&lt;="&amp;IF($B$5="",2958465,$B$5))))</f>
        <v/>
      </c>
      <c r="E66" s="28" t="str">
        <f aca="false">IF($C66="","",IF($B$4&amp;$B$5="",SUMIFS('المبيعات اليومية'!$E$9:$E$308,'المبيعات اليومية'!$C$9:$C$308,$C66),SUMIFS('المبيعات اليومية'!$E$9:$E$308,'المبيعات اليومية'!$C$9:$C$308,$C66,'المبيعات اليومية'!$A$9:$A$308,"&gt;="&amp;IF($B$4="",0,$B$4),'المبيعات اليومية'!$A$9:$A$308,"&lt;="&amp;IF($B$5="",2958465,$B$5))))</f>
        <v/>
      </c>
      <c r="F66" s="19" t="str">
        <f aca="false">IF($C66="","",IF($B$4&amp;$B$5="",SUMIFS('المبيعات اليومية'!$H$9:$H$308,'المبيعات اليومية'!$C$9:$C$308,$C66),SUMIFS('المبيعات اليومية'!$H$9:$H$308,'المبيعات اليومية'!$C$9:$C$308,$C66,'المبيعات اليومية'!$A$9:$A$308,"&gt;="&amp;IF($B$4="",0,$B$4),'المبيعات اليومية'!$A$9:$A$308,"&lt;="&amp;IF($B$5="",2958465,$B$5))))</f>
        <v/>
      </c>
      <c r="G66" s="19" t="str">
        <f aca="false">IF($C66="","",IF($B$4&amp;$B$5="",SUMIFS('المبيعات اليومية'!$I$9:$I$308,'المبيعات اليومية'!$C$9:$C$308,$C66),SUMIFS('المبيعات اليومية'!$I$9:$I$308,'المبيعات اليومية'!$C$9:$C$308,$C66,'المبيعات اليومية'!$A$9:$A$308,"&gt;="&amp;IF($B$4="",0,$B$4),'المبيعات اليومية'!$A$9:$A$308,"&lt;="&amp;IF($B$5="",2958465,$B$5))))</f>
        <v/>
      </c>
      <c r="H66" s="20" t="str">
        <f aca="false">IF($C66="","",IF($B$4&amp;$B$5="",SUMIFS('المبيعات اليومية'!$J$9:$J$308,'المبيعات اليومية'!$C$9:$C$308,$C66),SUMIFS('المبيعات اليومية'!$J$9:$J$308,'المبيعات اليومية'!$C$9:$C$308,$C66,'المبيعات اليومية'!$A$9:$A$308,"&gt;="&amp;IF($B$4="",0,$B$4),'المبيعات اليومية'!$A$9:$A$308,"&lt;="&amp;IF($B$5="",2958465,$B$5))))</f>
        <v/>
      </c>
      <c r="I66" s="29" t="str">
        <f aca="false">IF(OR($C66="",$H$208=0),"",H66/$H$208)</f>
        <v/>
      </c>
      <c r="J66" s="19" t="str">
        <f aca="false">IF(OR(C66="",N(E66)=0),"",F66/E66)</f>
        <v/>
      </c>
    </row>
    <row r="67" customFormat="false" ht="15" hidden="false" customHeight="false" outlineLevel="0" collapsed="false">
      <c r="A67" s="21" t="str">
        <f aca="false">IF(C67="","",60)</f>
        <v/>
      </c>
      <c r="B67" s="21" t="str">
        <f aca="false">IF('دليل الأصناف'!$B$63="","",'دليل الأصناف'!$A$63)</f>
        <v/>
      </c>
      <c r="C67" s="4" t="str">
        <f aca="false">IF('دليل الأصناف'!$B$63="","",'دليل الأصناف'!$B$63)</f>
        <v/>
      </c>
      <c r="D67" s="27" t="str">
        <f aca="false">IF($C67="","",IF($B$4&amp;$B$5="",COUNTIFS('المبيعات اليومية'!$C$9:$C$308,$C67),COUNTIFS('المبيعات اليومية'!$C$9:$C$308,$C67,'المبيعات اليومية'!$A$9:$A$308,"&gt;="&amp;IF($B$4="",0,$B$4),'المبيعات اليومية'!$A$9:$A$308,"&lt;="&amp;IF($B$5="",2958465,$B$5))))</f>
        <v/>
      </c>
      <c r="E67" s="28" t="str">
        <f aca="false">IF($C67="","",IF($B$4&amp;$B$5="",SUMIFS('المبيعات اليومية'!$E$9:$E$308,'المبيعات اليومية'!$C$9:$C$308,$C67),SUMIFS('المبيعات اليومية'!$E$9:$E$308,'المبيعات اليومية'!$C$9:$C$308,$C67,'المبيعات اليومية'!$A$9:$A$308,"&gt;="&amp;IF($B$4="",0,$B$4),'المبيعات اليومية'!$A$9:$A$308,"&lt;="&amp;IF($B$5="",2958465,$B$5))))</f>
        <v/>
      </c>
      <c r="F67" s="19" t="str">
        <f aca="false">IF($C67="","",IF($B$4&amp;$B$5="",SUMIFS('المبيعات اليومية'!$H$9:$H$308,'المبيعات اليومية'!$C$9:$C$308,$C67),SUMIFS('المبيعات اليومية'!$H$9:$H$308,'المبيعات اليومية'!$C$9:$C$308,$C67,'المبيعات اليومية'!$A$9:$A$308,"&gt;="&amp;IF($B$4="",0,$B$4),'المبيعات اليومية'!$A$9:$A$308,"&lt;="&amp;IF($B$5="",2958465,$B$5))))</f>
        <v/>
      </c>
      <c r="G67" s="19" t="str">
        <f aca="false">IF($C67="","",IF($B$4&amp;$B$5="",SUMIFS('المبيعات اليومية'!$I$9:$I$308,'المبيعات اليومية'!$C$9:$C$308,$C67),SUMIFS('المبيعات اليومية'!$I$9:$I$308,'المبيعات اليومية'!$C$9:$C$308,$C67,'المبيعات اليومية'!$A$9:$A$308,"&gt;="&amp;IF($B$4="",0,$B$4),'المبيعات اليومية'!$A$9:$A$308,"&lt;="&amp;IF($B$5="",2958465,$B$5))))</f>
        <v/>
      </c>
      <c r="H67" s="20" t="str">
        <f aca="false">IF($C67="","",IF($B$4&amp;$B$5="",SUMIFS('المبيعات اليومية'!$J$9:$J$308,'المبيعات اليومية'!$C$9:$C$308,$C67),SUMIFS('المبيعات اليومية'!$J$9:$J$308,'المبيعات اليومية'!$C$9:$C$308,$C67,'المبيعات اليومية'!$A$9:$A$308,"&gt;="&amp;IF($B$4="",0,$B$4),'المبيعات اليومية'!$A$9:$A$308,"&lt;="&amp;IF($B$5="",2958465,$B$5))))</f>
        <v/>
      </c>
      <c r="I67" s="29" t="str">
        <f aca="false">IF(OR($C67="",$H$208=0),"",H67/$H$208)</f>
        <v/>
      </c>
      <c r="J67" s="19" t="str">
        <f aca="false">IF(OR(C67="",N(E67)=0),"",F67/E67)</f>
        <v/>
      </c>
    </row>
    <row r="68" customFormat="false" ht="15" hidden="false" customHeight="false" outlineLevel="0" collapsed="false">
      <c r="A68" s="21" t="str">
        <f aca="false">IF(C68="","",61)</f>
        <v/>
      </c>
      <c r="B68" s="21" t="str">
        <f aca="false">IF('دليل الأصناف'!$B$64="","",'دليل الأصناف'!$A$64)</f>
        <v/>
      </c>
      <c r="C68" s="4" t="str">
        <f aca="false">IF('دليل الأصناف'!$B$64="","",'دليل الأصناف'!$B$64)</f>
        <v/>
      </c>
      <c r="D68" s="27" t="str">
        <f aca="false">IF($C68="","",IF($B$4&amp;$B$5="",COUNTIFS('المبيعات اليومية'!$C$9:$C$308,$C68),COUNTIFS('المبيعات اليومية'!$C$9:$C$308,$C68,'المبيعات اليومية'!$A$9:$A$308,"&gt;="&amp;IF($B$4="",0,$B$4),'المبيعات اليومية'!$A$9:$A$308,"&lt;="&amp;IF($B$5="",2958465,$B$5))))</f>
        <v/>
      </c>
      <c r="E68" s="28" t="str">
        <f aca="false">IF($C68="","",IF($B$4&amp;$B$5="",SUMIFS('المبيعات اليومية'!$E$9:$E$308,'المبيعات اليومية'!$C$9:$C$308,$C68),SUMIFS('المبيعات اليومية'!$E$9:$E$308,'المبيعات اليومية'!$C$9:$C$308,$C68,'المبيعات اليومية'!$A$9:$A$308,"&gt;="&amp;IF($B$4="",0,$B$4),'المبيعات اليومية'!$A$9:$A$308,"&lt;="&amp;IF($B$5="",2958465,$B$5))))</f>
        <v/>
      </c>
      <c r="F68" s="19" t="str">
        <f aca="false">IF($C68="","",IF($B$4&amp;$B$5="",SUMIFS('المبيعات اليومية'!$H$9:$H$308,'المبيعات اليومية'!$C$9:$C$308,$C68),SUMIFS('المبيعات اليومية'!$H$9:$H$308,'المبيعات اليومية'!$C$9:$C$308,$C68,'المبيعات اليومية'!$A$9:$A$308,"&gt;="&amp;IF($B$4="",0,$B$4),'المبيعات اليومية'!$A$9:$A$308,"&lt;="&amp;IF($B$5="",2958465,$B$5))))</f>
        <v/>
      </c>
      <c r="G68" s="19" t="str">
        <f aca="false">IF($C68="","",IF($B$4&amp;$B$5="",SUMIFS('المبيعات اليومية'!$I$9:$I$308,'المبيعات اليومية'!$C$9:$C$308,$C68),SUMIFS('المبيعات اليومية'!$I$9:$I$308,'المبيعات اليومية'!$C$9:$C$308,$C68,'المبيعات اليومية'!$A$9:$A$308,"&gt;="&amp;IF($B$4="",0,$B$4),'المبيعات اليومية'!$A$9:$A$308,"&lt;="&amp;IF($B$5="",2958465,$B$5))))</f>
        <v/>
      </c>
      <c r="H68" s="20" t="str">
        <f aca="false">IF($C68="","",IF($B$4&amp;$B$5="",SUMIFS('المبيعات اليومية'!$J$9:$J$308,'المبيعات اليومية'!$C$9:$C$308,$C68),SUMIFS('المبيعات اليومية'!$J$9:$J$308,'المبيعات اليومية'!$C$9:$C$308,$C68,'المبيعات اليومية'!$A$9:$A$308,"&gt;="&amp;IF($B$4="",0,$B$4),'المبيعات اليومية'!$A$9:$A$308,"&lt;="&amp;IF($B$5="",2958465,$B$5))))</f>
        <v/>
      </c>
      <c r="I68" s="29" t="str">
        <f aca="false">IF(OR($C68="",$H$208=0),"",H68/$H$208)</f>
        <v/>
      </c>
      <c r="J68" s="19" t="str">
        <f aca="false">IF(OR(C68="",N(E68)=0),"",F68/E68)</f>
        <v/>
      </c>
    </row>
    <row r="69" customFormat="false" ht="15" hidden="false" customHeight="false" outlineLevel="0" collapsed="false">
      <c r="A69" s="21" t="str">
        <f aca="false">IF(C69="","",62)</f>
        <v/>
      </c>
      <c r="B69" s="21" t="str">
        <f aca="false">IF('دليل الأصناف'!$B$65="","",'دليل الأصناف'!$A$65)</f>
        <v/>
      </c>
      <c r="C69" s="4" t="str">
        <f aca="false">IF('دليل الأصناف'!$B$65="","",'دليل الأصناف'!$B$65)</f>
        <v/>
      </c>
      <c r="D69" s="27" t="str">
        <f aca="false">IF($C69="","",IF($B$4&amp;$B$5="",COUNTIFS('المبيعات اليومية'!$C$9:$C$308,$C69),COUNTIFS('المبيعات اليومية'!$C$9:$C$308,$C69,'المبيعات اليومية'!$A$9:$A$308,"&gt;="&amp;IF($B$4="",0,$B$4),'المبيعات اليومية'!$A$9:$A$308,"&lt;="&amp;IF($B$5="",2958465,$B$5))))</f>
        <v/>
      </c>
      <c r="E69" s="28" t="str">
        <f aca="false">IF($C69="","",IF($B$4&amp;$B$5="",SUMIFS('المبيعات اليومية'!$E$9:$E$308,'المبيعات اليومية'!$C$9:$C$308,$C69),SUMIFS('المبيعات اليومية'!$E$9:$E$308,'المبيعات اليومية'!$C$9:$C$308,$C69,'المبيعات اليومية'!$A$9:$A$308,"&gt;="&amp;IF($B$4="",0,$B$4),'المبيعات اليومية'!$A$9:$A$308,"&lt;="&amp;IF($B$5="",2958465,$B$5))))</f>
        <v/>
      </c>
      <c r="F69" s="19" t="str">
        <f aca="false">IF($C69="","",IF($B$4&amp;$B$5="",SUMIFS('المبيعات اليومية'!$H$9:$H$308,'المبيعات اليومية'!$C$9:$C$308,$C69),SUMIFS('المبيعات اليومية'!$H$9:$H$308,'المبيعات اليومية'!$C$9:$C$308,$C69,'المبيعات اليومية'!$A$9:$A$308,"&gt;="&amp;IF($B$4="",0,$B$4),'المبيعات اليومية'!$A$9:$A$308,"&lt;="&amp;IF($B$5="",2958465,$B$5))))</f>
        <v/>
      </c>
      <c r="G69" s="19" t="str">
        <f aca="false">IF($C69="","",IF($B$4&amp;$B$5="",SUMIFS('المبيعات اليومية'!$I$9:$I$308,'المبيعات اليومية'!$C$9:$C$308,$C69),SUMIFS('المبيعات اليومية'!$I$9:$I$308,'المبيعات اليومية'!$C$9:$C$308,$C69,'المبيعات اليومية'!$A$9:$A$308,"&gt;="&amp;IF($B$4="",0,$B$4),'المبيعات اليومية'!$A$9:$A$308,"&lt;="&amp;IF($B$5="",2958465,$B$5))))</f>
        <v/>
      </c>
      <c r="H69" s="20" t="str">
        <f aca="false">IF($C69="","",IF($B$4&amp;$B$5="",SUMIFS('المبيعات اليومية'!$J$9:$J$308,'المبيعات اليومية'!$C$9:$C$308,$C69),SUMIFS('المبيعات اليومية'!$J$9:$J$308,'المبيعات اليومية'!$C$9:$C$308,$C69,'المبيعات اليومية'!$A$9:$A$308,"&gt;="&amp;IF($B$4="",0,$B$4),'المبيعات اليومية'!$A$9:$A$308,"&lt;="&amp;IF($B$5="",2958465,$B$5))))</f>
        <v/>
      </c>
      <c r="I69" s="29" t="str">
        <f aca="false">IF(OR($C69="",$H$208=0),"",H69/$H$208)</f>
        <v/>
      </c>
      <c r="J69" s="19" t="str">
        <f aca="false">IF(OR(C69="",N(E69)=0),"",F69/E69)</f>
        <v/>
      </c>
    </row>
    <row r="70" customFormat="false" ht="15" hidden="false" customHeight="false" outlineLevel="0" collapsed="false">
      <c r="A70" s="21" t="str">
        <f aca="false">IF(C70="","",63)</f>
        <v/>
      </c>
      <c r="B70" s="21" t="str">
        <f aca="false">IF('دليل الأصناف'!$B$66="","",'دليل الأصناف'!$A$66)</f>
        <v/>
      </c>
      <c r="C70" s="4" t="str">
        <f aca="false">IF('دليل الأصناف'!$B$66="","",'دليل الأصناف'!$B$66)</f>
        <v/>
      </c>
      <c r="D70" s="27" t="str">
        <f aca="false">IF($C70="","",IF($B$4&amp;$B$5="",COUNTIFS('المبيعات اليومية'!$C$9:$C$308,$C70),COUNTIFS('المبيعات اليومية'!$C$9:$C$308,$C70,'المبيعات اليومية'!$A$9:$A$308,"&gt;="&amp;IF($B$4="",0,$B$4),'المبيعات اليومية'!$A$9:$A$308,"&lt;="&amp;IF($B$5="",2958465,$B$5))))</f>
        <v/>
      </c>
      <c r="E70" s="28" t="str">
        <f aca="false">IF($C70="","",IF($B$4&amp;$B$5="",SUMIFS('المبيعات اليومية'!$E$9:$E$308,'المبيعات اليومية'!$C$9:$C$308,$C70),SUMIFS('المبيعات اليومية'!$E$9:$E$308,'المبيعات اليومية'!$C$9:$C$308,$C70,'المبيعات اليومية'!$A$9:$A$308,"&gt;="&amp;IF($B$4="",0,$B$4),'المبيعات اليومية'!$A$9:$A$308,"&lt;="&amp;IF($B$5="",2958465,$B$5))))</f>
        <v/>
      </c>
      <c r="F70" s="19" t="str">
        <f aca="false">IF($C70="","",IF($B$4&amp;$B$5="",SUMIFS('المبيعات اليومية'!$H$9:$H$308,'المبيعات اليومية'!$C$9:$C$308,$C70),SUMIFS('المبيعات اليومية'!$H$9:$H$308,'المبيعات اليومية'!$C$9:$C$308,$C70,'المبيعات اليومية'!$A$9:$A$308,"&gt;="&amp;IF($B$4="",0,$B$4),'المبيعات اليومية'!$A$9:$A$308,"&lt;="&amp;IF($B$5="",2958465,$B$5))))</f>
        <v/>
      </c>
      <c r="G70" s="19" t="str">
        <f aca="false">IF($C70="","",IF($B$4&amp;$B$5="",SUMIFS('المبيعات اليومية'!$I$9:$I$308,'المبيعات اليومية'!$C$9:$C$308,$C70),SUMIFS('المبيعات اليومية'!$I$9:$I$308,'المبيعات اليومية'!$C$9:$C$308,$C70,'المبيعات اليومية'!$A$9:$A$308,"&gt;="&amp;IF($B$4="",0,$B$4),'المبيعات اليومية'!$A$9:$A$308,"&lt;="&amp;IF($B$5="",2958465,$B$5))))</f>
        <v/>
      </c>
      <c r="H70" s="20" t="str">
        <f aca="false">IF($C70="","",IF($B$4&amp;$B$5="",SUMIFS('المبيعات اليومية'!$J$9:$J$308,'المبيعات اليومية'!$C$9:$C$308,$C70),SUMIFS('المبيعات اليومية'!$J$9:$J$308,'المبيعات اليومية'!$C$9:$C$308,$C70,'المبيعات اليومية'!$A$9:$A$308,"&gt;="&amp;IF($B$4="",0,$B$4),'المبيعات اليومية'!$A$9:$A$308,"&lt;="&amp;IF($B$5="",2958465,$B$5))))</f>
        <v/>
      </c>
      <c r="I70" s="29" t="str">
        <f aca="false">IF(OR($C70="",$H$208=0),"",H70/$H$208)</f>
        <v/>
      </c>
      <c r="J70" s="19" t="str">
        <f aca="false">IF(OR(C70="",N(E70)=0),"",F70/E70)</f>
        <v/>
      </c>
    </row>
    <row r="71" customFormat="false" ht="15" hidden="false" customHeight="false" outlineLevel="0" collapsed="false">
      <c r="A71" s="21" t="str">
        <f aca="false">IF(C71="","",64)</f>
        <v/>
      </c>
      <c r="B71" s="21" t="str">
        <f aca="false">IF('دليل الأصناف'!$B$67="","",'دليل الأصناف'!$A$67)</f>
        <v/>
      </c>
      <c r="C71" s="4" t="str">
        <f aca="false">IF('دليل الأصناف'!$B$67="","",'دليل الأصناف'!$B$67)</f>
        <v/>
      </c>
      <c r="D71" s="27" t="str">
        <f aca="false">IF($C71="","",IF($B$4&amp;$B$5="",COUNTIFS('المبيعات اليومية'!$C$9:$C$308,$C71),COUNTIFS('المبيعات اليومية'!$C$9:$C$308,$C71,'المبيعات اليومية'!$A$9:$A$308,"&gt;="&amp;IF($B$4="",0,$B$4),'المبيعات اليومية'!$A$9:$A$308,"&lt;="&amp;IF($B$5="",2958465,$B$5))))</f>
        <v/>
      </c>
      <c r="E71" s="28" t="str">
        <f aca="false">IF($C71="","",IF($B$4&amp;$B$5="",SUMIFS('المبيعات اليومية'!$E$9:$E$308,'المبيعات اليومية'!$C$9:$C$308,$C71),SUMIFS('المبيعات اليومية'!$E$9:$E$308,'المبيعات اليومية'!$C$9:$C$308,$C71,'المبيعات اليومية'!$A$9:$A$308,"&gt;="&amp;IF($B$4="",0,$B$4),'المبيعات اليومية'!$A$9:$A$308,"&lt;="&amp;IF($B$5="",2958465,$B$5))))</f>
        <v/>
      </c>
      <c r="F71" s="19" t="str">
        <f aca="false">IF($C71="","",IF($B$4&amp;$B$5="",SUMIFS('المبيعات اليومية'!$H$9:$H$308,'المبيعات اليومية'!$C$9:$C$308,$C71),SUMIFS('المبيعات اليومية'!$H$9:$H$308,'المبيعات اليومية'!$C$9:$C$308,$C71,'المبيعات اليومية'!$A$9:$A$308,"&gt;="&amp;IF($B$4="",0,$B$4),'المبيعات اليومية'!$A$9:$A$308,"&lt;="&amp;IF($B$5="",2958465,$B$5))))</f>
        <v/>
      </c>
      <c r="G71" s="19" t="str">
        <f aca="false">IF($C71="","",IF($B$4&amp;$B$5="",SUMIFS('المبيعات اليومية'!$I$9:$I$308,'المبيعات اليومية'!$C$9:$C$308,$C71),SUMIFS('المبيعات اليومية'!$I$9:$I$308,'المبيعات اليومية'!$C$9:$C$308,$C71,'المبيعات اليومية'!$A$9:$A$308,"&gt;="&amp;IF($B$4="",0,$B$4),'المبيعات اليومية'!$A$9:$A$308,"&lt;="&amp;IF($B$5="",2958465,$B$5))))</f>
        <v/>
      </c>
      <c r="H71" s="20" t="str">
        <f aca="false">IF($C71="","",IF($B$4&amp;$B$5="",SUMIFS('المبيعات اليومية'!$J$9:$J$308,'المبيعات اليومية'!$C$9:$C$308,$C71),SUMIFS('المبيعات اليومية'!$J$9:$J$308,'المبيعات اليومية'!$C$9:$C$308,$C71,'المبيعات اليومية'!$A$9:$A$308,"&gt;="&amp;IF($B$4="",0,$B$4),'المبيعات اليومية'!$A$9:$A$308,"&lt;="&amp;IF($B$5="",2958465,$B$5))))</f>
        <v/>
      </c>
      <c r="I71" s="29" t="str">
        <f aca="false">IF(OR($C71="",$H$208=0),"",H71/$H$208)</f>
        <v/>
      </c>
      <c r="J71" s="19" t="str">
        <f aca="false">IF(OR(C71="",N(E71)=0),"",F71/E71)</f>
        <v/>
      </c>
    </row>
    <row r="72" customFormat="false" ht="15" hidden="false" customHeight="false" outlineLevel="0" collapsed="false">
      <c r="A72" s="21" t="str">
        <f aca="false">IF(C72="","",65)</f>
        <v/>
      </c>
      <c r="B72" s="21" t="str">
        <f aca="false">IF('دليل الأصناف'!$B$68="","",'دليل الأصناف'!$A$68)</f>
        <v/>
      </c>
      <c r="C72" s="4" t="str">
        <f aca="false">IF('دليل الأصناف'!$B$68="","",'دليل الأصناف'!$B$68)</f>
        <v/>
      </c>
      <c r="D72" s="27" t="str">
        <f aca="false">IF($C72="","",IF($B$4&amp;$B$5="",COUNTIFS('المبيعات اليومية'!$C$9:$C$308,$C72),COUNTIFS('المبيعات اليومية'!$C$9:$C$308,$C72,'المبيعات اليومية'!$A$9:$A$308,"&gt;="&amp;IF($B$4="",0,$B$4),'المبيعات اليومية'!$A$9:$A$308,"&lt;="&amp;IF($B$5="",2958465,$B$5))))</f>
        <v/>
      </c>
      <c r="E72" s="28" t="str">
        <f aca="false">IF($C72="","",IF($B$4&amp;$B$5="",SUMIFS('المبيعات اليومية'!$E$9:$E$308,'المبيعات اليومية'!$C$9:$C$308,$C72),SUMIFS('المبيعات اليومية'!$E$9:$E$308,'المبيعات اليومية'!$C$9:$C$308,$C72,'المبيعات اليومية'!$A$9:$A$308,"&gt;="&amp;IF($B$4="",0,$B$4),'المبيعات اليومية'!$A$9:$A$308,"&lt;="&amp;IF($B$5="",2958465,$B$5))))</f>
        <v/>
      </c>
      <c r="F72" s="19" t="str">
        <f aca="false">IF($C72="","",IF($B$4&amp;$B$5="",SUMIFS('المبيعات اليومية'!$H$9:$H$308,'المبيعات اليومية'!$C$9:$C$308,$C72),SUMIFS('المبيعات اليومية'!$H$9:$H$308,'المبيعات اليومية'!$C$9:$C$308,$C72,'المبيعات اليومية'!$A$9:$A$308,"&gt;="&amp;IF($B$4="",0,$B$4),'المبيعات اليومية'!$A$9:$A$308,"&lt;="&amp;IF($B$5="",2958465,$B$5))))</f>
        <v/>
      </c>
      <c r="G72" s="19" t="str">
        <f aca="false">IF($C72="","",IF($B$4&amp;$B$5="",SUMIFS('المبيعات اليومية'!$I$9:$I$308,'المبيعات اليومية'!$C$9:$C$308,$C72),SUMIFS('المبيعات اليومية'!$I$9:$I$308,'المبيعات اليومية'!$C$9:$C$308,$C72,'المبيعات اليومية'!$A$9:$A$308,"&gt;="&amp;IF($B$4="",0,$B$4),'المبيعات اليومية'!$A$9:$A$308,"&lt;="&amp;IF($B$5="",2958465,$B$5))))</f>
        <v/>
      </c>
      <c r="H72" s="20" t="str">
        <f aca="false">IF($C72="","",IF($B$4&amp;$B$5="",SUMIFS('المبيعات اليومية'!$J$9:$J$308,'المبيعات اليومية'!$C$9:$C$308,$C72),SUMIFS('المبيعات اليومية'!$J$9:$J$308,'المبيعات اليومية'!$C$9:$C$308,$C72,'المبيعات اليومية'!$A$9:$A$308,"&gt;="&amp;IF($B$4="",0,$B$4),'المبيعات اليومية'!$A$9:$A$308,"&lt;="&amp;IF($B$5="",2958465,$B$5))))</f>
        <v/>
      </c>
      <c r="I72" s="29" t="str">
        <f aca="false">IF(OR($C72="",$H$208=0),"",H72/$H$208)</f>
        <v/>
      </c>
      <c r="J72" s="19" t="str">
        <f aca="false">IF(OR(C72="",N(E72)=0),"",F72/E72)</f>
        <v/>
      </c>
    </row>
    <row r="73" customFormat="false" ht="15" hidden="false" customHeight="false" outlineLevel="0" collapsed="false">
      <c r="A73" s="21" t="str">
        <f aca="false">IF(C73="","",66)</f>
        <v/>
      </c>
      <c r="B73" s="21" t="str">
        <f aca="false">IF('دليل الأصناف'!$B$69="","",'دليل الأصناف'!$A$69)</f>
        <v/>
      </c>
      <c r="C73" s="4" t="str">
        <f aca="false">IF('دليل الأصناف'!$B$69="","",'دليل الأصناف'!$B$69)</f>
        <v/>
      </c>
      <c r="D73" s="27" t="str">
        <f aca="false">IF($C73="","",IF($B$4&amp;$B$5="",COUNTIFS('المبيعات اليومية'!$C$9:$C$308,$C73),COUNTIFS('المبيعات اليومية'!$C$9:$C$308,$C73,'المبيعات اليومية'!$A$9:$A$308,"&gt;="&amp;IF($B$4="",0,$B$4),'المبيعات اليومية'!$A$9:$A$308,"&lt;="&amp;IF($B$5="",2958465,$B$5))))</f>
        <v/>
      </c>
      <c r="E73" s="28" t="str">
        <f aca="false">IF($C73="","",IF($B$4&amp;$B$5="",SUMIFS('المبيعات اليومية'!$E$9:$E$308,'المبيعات اليومية'!$C$9:$C$308,$C73),SUMIFS('المبيعات اليومية'!$E$9:$E$308,'المبيعات اليومية'!$C$9:$C$308,$C73,'المبيعات اليومية'!$A$9:$A$308,"&gt;="&amp;IF($B$4="",0,$B$4),'المبيعات اليومية'!$A$9:$A$308,"&lt;="&amp;IF($B$5="",2958465,$B$5))))</f>
        <v/>
      </c>
      <c r="F73" s="19" t="str">
        <f aca="false">IF($C73="","",IF($B$4&amp;$B$5="",SUMIFS('المبيعات اليومية'!$H$9:$H$308,'المبيعات اليومية'!$C$9:$C$308,$C73),SUMIFS('المبيعات اليومية'!$H$9:$H$308,'المبيعات اليومية'!$C$9:$C$308,$C73,'المبيعات اليومية'!$A$9:$A$308,"&gt;="&amp;IF($B$4="",0,$B$4),'المبيعات اليومية'!$A$9:$A$308,"&lt;="&amp;IF($B$5="",2958465,$B$5))))</f>
        <v/>
      </c>
      <c r="G73" s="19" t="str">
        <f aca="false">IF($C73="","",IF($B$4&amp;$B$5="",SUMIFS('المبيعات اليومية'!$I$9:$I$308,'المبيعات اليومية'!$C$9:$C$308,$C73),SUMIFS('المبيعات اليومية'!$I$9:$I$308,'المبيعات اليومية'!$C$9:$C$308,$C73,'المبيعات اليومية'!$A$9:$A$308,"&gt;="&amp;IF($B$4="",0,$B$4),'المبيعات اليومية'!$A$9:$A$308,"&lt;="&amp;IF($B$5="",2958465,$B$5))))</f>
        <v/>
      </c>
      <c r="H73" s="20" t="str">
        <f aca="false">IF($C73="","",IF($B$4&amp;$B$5="",SUMIFS('المبيعات اليومية'!$J$9:$J$308,'المبيعات اليومية'!$C$9:$C$308,$C73),SUMIFS('المبيعات اليومية'!$J$9:$J$308,'المبيعات اليومية'!$C$9:$C$308,$C73,'المبيعات اليومية'!$A$9:$A$308,"&gt;="&amp;IF($B$4="",0,$B$4),'المبيعات اليومية'!$A$9:$A$308,"&lt;="&amp;IF($B$5="",2958465,$B$5))))</f>
        <v/>
      </c>
      <c r="I73" s="29" t="str">
        <f aca="false">IF(OR($C73="",$H$208=0),"",H73/$H$208)</f>
        <v/>
      </c>
      <c r="J73" s="19" t="str">
        <f aca="false">IF(OR(C73="",N(E73)=0),"",F73/E73)</f>
        <v/>
      </c>
    </row>
    <row r="74" customFormat="false" ht="15" hidden="false" customHeight="false" outlineLevel="0" collapsed="false">
      <c r="A74" s="21" t="str">
        <f aca="false">IF(C74="","",67)</f>
        <v/>
      </c>
      <c r="B74" s="21" t="str">
        <f aca="false">IF('دليل الأصناف'!$B$70="","",'دليل الأصناف'!$A$70)</f>
        <v/>
      </c>
      <c r="C74" s="4" t="str">
        <f aca="false">IF('دليل الأصناف'!$B$70="","",'دليل الأصناف'!$B$70)</f>
        <v/>
      </c>
      <c r="D74" s="27" t="str">
        <f aca="false">IF($C74="","",IF($B$4&amp;$B$5="",COUNTIFS('المبيعات اليومية'!$C$9:$C$308,$C74),COUNTIFS('المبيعات اليومية'!$C$9:$C$308,$C74,'المبيعات اليومية'!$A$9:$A$308,"&gt;="&amp;IF($B$4="",0,$B$4),'المبيعات اليومية'!$A$9:$A$308,"&lt;="&amp;IF($B$5="",2958465,$B$5))))</f>
        <v/>
      </c>
      <c r="E74" s="28" t="str">
        <f aca="false">IF($C74="","",IF($B$4&amp;$B$5="",SUMIFS('المبيعات اليومية'!$E$9:$E$308,'المبيعات اليومية'!$C$9:$C$308,$C74),SUMIFS('المبيعات اليومية'!$E$9:$E$308,'المبيعات اليومية'!$C$9:$C$308,$C74,'المبيعات اليومية'!$A$9:$A$308,"&gt;="&amp;IF($B$4="",0,$B$4),'المبيعات اليومية'!$A$9:$A$308,"&lt;="&amp;IF($B$5="",2958465,$B$5))))</f>
        <v/>
      </c>
      <c r="F74" s="19" t="str">
        <f aca="false">IF($C74="","",IF($B$4&amp;$B$5="",SUMIFS('المبيعات اليومية'!$H$9:$H$308,'المبيعات اليومية'!$C$9:$C$308,$C74),SUMIFS('المبيعات اليومية'!$H$9:$H$308,'المبيعات اليومية'!$C$9:$C$308,$C74,'المبيعات اليومية'!$A$9:$A$308,"&gt;="&amp;IF($B$4="",0,$B$4),'المبيعات اليومية'!$A$9:$A$308,"&lt;="&amp;IF($B$5="",2958465,$B$5))))</f>
        <v/>
      </c>
      <c r="G74" s="19" t="str">
        <f aca="false">IF($C74="","",IF($B$4&amp;$B$5="",SUMIFS('المبيعات اليومية'!$I$9:$I$308,'المبيعات اليومية'!$C$9:$C$308,$C74),SUMIFS('المبيعات اليومية'!$I$9:$I$308,'المبيعات اليومية'!$C$9:$C$308,$C74,'المبيعات اليومية'!$A$9:$A$308,"&gt;="&amp;IF($B$4="",0,$B$4),'المبيعات اليومية'!$A$9:$A$308,"&lt;="&amp;IF($B$5="",2958465,$B$5))))</f>
        <v/>
      </c>
      <c r="H74" s="20" t="str">
        <f aca="false">IF($C74="","",IF($B$4&amp;$B$5="",SUMIFS('المبيعات اليومية'!$J$9:$J$308,'المبيعات اليومية'!$C$9:$C$308,$C74),SUMIFS('المبيعات اليومية'!$J$9:$J$308,'المبيعات اليومية'!$C$9:$C$308,$C74,'المبيعات اليومية'!$A$9:$A$308,"&gt;="&amp;IF($B$4="",0,$B$4),'المبيعات اليومية'!$A$9:$A$308,"&lt;="&amp;IF($B$5="",2958465,$B$5))))</f>
        <v/>
      </c>
      <c r="I74" s="29" t="str">
        <f aca="false">IF(OR($C74="",$H$208=0),"",H74/$H$208)</f>
        <v/>
      </c>
      <c r="J74" s="19" t="str">
        <f aca="false">IF(OR(C74="",N(E74)=0),"",F74/E74)</f>
        <v/>
      </c>
    </row>
    <row r="75" customFormat="false" ht="15" hidden="false" customHeight="false" outlineLevel="0" collapsed="false">
      <c r="A75" s="21" t="str">
        <f aca="false">IF(C75="","",68)</f>
        <v/>
      </c>
      <c r="B75" s="21" t="str">
        <f aca="false">IF('دليل الأصناف'!$B$71="","",'دليل الأصناف'!$A$71)</f>
        <v/>
      </c>
      <c r="C75" s="4" t="str">
        <f aca="false">IF('دليل الأصناف'!$B$71="","",'دليل الأصناف'!$B$71)</f>
        <v/>
      </c>
      <c r="D75" s="27" t="str">
        <f aca="false">IF($C75="","",IF($B$4&amp;$B$5="",COUNTIFS('المبيعات اليومية'!$C$9:$C$308,$C75),COUNTIFS('المبيعات اليومية'!$C$9:$C$308,$C75,'المبيعات اليومية'!$A$9:$A$308,"&gt;="&amp;IF($B$4="",0,$B$4),'المبيعات اليومية'!$A$9:$A$308,"&lt;="&amp;IF($B$5="",2958465,$B$5))))</f>
        <v/>
      </c>
      <c r="E75" s="28" t="str">
        <f aca="false">IF($C75="","",IF($B$4&amp;$B$5="",SUMIFS('المبيعات اليومية'!$E$9:$E$308,'المبيعات اليومية'!$C$9:$C$308,$C75),SUMIFS('المبيعات اليومية'!$E$9:$E$308,'المبيعات اليومية'!$C$9:$C$308,$C75,'المبيعات اليومية'!$A$9:$A$308,"&gt;="&amp;IF($B$4="",0,$B$4),'المبيعات اليومية'!$A$9:$A$308,"&lt;="&amp;IF($B$5="",2958465,$B$5))))</f>
        <v/>
      </c>
      <c r="F75" s="19" t="str">
        <f aca="false">IF($C75="","",IF($B$4&amp;$B$5="",SUMIFS('المبيعات اليومية'!$H$9:$H$308,'المبيعات اليومية'!$C$9:$C$308,$C75),SUMIFS('المبيعات اليومية'!$H$9:$H$308,'المبيعات اليومية'!$C$9:$C$308,$C75,'المبيعات اليومية'!$A$9:$A$308,"&gt;="&amp;IF($B$4="",0,$B$4),'المبيعات اليومية'!$A$9:$A$308,"&lt;="&amp;IF($B$5="",2958465,$B$5))))</f>
        <v/>
      </c>
      <c r="G75" s="19" t="str">
        <f aca="false">IF($C75="","",IF($B$4&amp;$B$5="",SUMIFS('المبيعات اليومية'!$I$9:$I$308,'المبيعات اليومية'!$C$9:$C$308,$C75),SUMIFS('المبيعات اليومية'!$I$9:$I$308,'المبيعات اليومية'!$C$9:$C$308,$C75,'المبيعات اليومية'!$A$9:$A$308,"&gt;="&amp;IF($B$4="",0,$B$4),'المبيعات اليومية'!$A$9:$A$308,"&lt;="&amp;IF($B$5="",2958465,$B$5))))</f>
        <v/>
      </c>
      <c r="H75" s="20" t="str">
        <f aca="false">IF($C75="","",IF($B$4&amp;$B$5="",SUMIFS('المبيعات اليومية'!$J$9:$J$308,'المبيعات اليومية'!$C$9:$C$308,$C75),SUMIFS('المبيعات اليومية'!$J$9:$J$308,'المبيعات اليومية'!$C$9:$C$308,$C75,'المبيعات اليومية'!$A$9:$A$308,"&gt;="&amp;IF($B$4="",0,$B$4),'المبيعات اليومية'!$A$9:$A$308,"&lt;="&amp;IF($B$5="",2958465,$B$5))))</f>
        <v/>
      </c>
      <c r="I75" s="29" t="str">
        <f aca="false">IF(OR($C75="",$H$208=0),"",H75/$H$208)</f>
        <v/>
      </c>
      <c r="J75" s="19" t="str">
        <f aca="false">IF(OR(C75="",N(E75)=0),"",F75/E75)</f>
        <v/>
      </c>
    </row>
    <row r="76" customFormat="false" ht="15" hidden="false" customHeight="false" outlineLevel="0" collapsed="false">
      <c r="A76" s="21" t="str">
        <f aca="false">IF(C76="","",69)</f>
        <v/>
      </c>
      <c r="B76" s="21" t="str">
        <f aca="false">IF('دليل الأصناف'!$B$72="","",'دليل الأصناف'!$A$72)</f>
        <v/>
      </c>
      <c r="C76" s="4" t="str">
        <f aca="false">IF('دليل الأصناف'!$B$72="","",'دليل الأصناف'!$B$72)</f>
        <v/>
      </c>
      <c r="D76" s="27" t="str">
        <f aca="false">IF($C76="","",IF($B$4&amp;$B$5="",COUNTIFS('المبيعات اليومية'!$C$9:$C$308,$C76),COUNTIFS('المبيعات اليومية'!$C$9:$C$308,$C76,'المبيعات اليومية'!$A$9:$A$308,"&gt;="&amp;IF($B$4="",0,$B$4),'المبيعات اليومية'!$A$9:$A$308,"&lt;="&amp;IF($B$5="",2958465,$B$5))))</f>
        <v/>
      </c>
      <c r="E76" s="28" t="str">
        <f aca="false">IF($C76="","",IF($B$4&amp;$B$5="",SUMIFS('المبيعات اليومية'!$E$9:$E$308,'المبيعات اليومية'!$C$9:$C$308,$C76),SUMIFS('المبيعات اليومية'!$E$9:$E$308,'المبيعات اليومية'!$C$9:$C$308,$C76,'المبيعات اليومية'!$A$9:$A$308,"&gt;="&amp;IF($B$4="",0,$B$4),'المبيعات اليومية'!$A$9:$A$308,"&lt;="&amp;IF($B$5="",2958465,$B$5))))</f>
        <v/>
      </c>
      <c r="F76" s="19" t="str">
        <f aca="false">IF($C76="","",IF($B$4&amp;$B$5="",SUMIFS('المبيعات اليومية'!$H$9:$H$308,'المبيعات اليومية'!$C$9:$C$308,$C76),SUMIFS('المبيعات اليومية'!$H$9:$H$308,'المبيعات اليومية'!$C$9:$C$308,$C76,'المبيعات اليومية'!$A$9:$A$308,"&gt;="&amp;IF($B$4="",0,$B$4),'المبيعات اليومية'!$A$9:$A$308,"&lt;="&amp;IF($B$5="",2958465,$B$5))))</f>
        <v/>
      </c>
      <c r="G76" s="19" t="str">
        <f aca="false">IF($C76="","",IF($B$4&amp;$B$5="",SUMIFS('المبيعات اليومية'!$I$9:$I$308,'المبيعات اليومية'!$C$9:$C$308,$C76),SUMIFS('المبيعات اليومية'!$I$9:$I$308,'المبيعات اليومية'!$C$9:$C$308,$C76,'المبيعات اليومية'!$A$9:$A$308,"&gt;="&amp;IF($B$4="",0,$B$4),'المبيعات اليومية'!$A$9:$A$308,"&lt;="&amp;IF($B$5="",2958465,$B$5))))</f>
        <v/>
      </c>
      <c r="H76" s="20" t="str">
        <f aca="false">IF($C76="","",IF($B$4&amp;$B$5="",SUMIFS('المبيعات اليومية'!$J$9:$J$308,'المبيعات اليومية'!$C$9:$C$308,$C76),SUMIFS('المبيعات اليومية'!$J$9:$J$308,'المبيعات اليومية'!$C$9:$C$308,$C76,'المبيعات اليومية'!$A$9:$A$308,"&gt;="&amp;IF($B$4="",0,$B$4),'المبيعات اليومية'!$A$9:$A$308,"&lt;="&amp;IF($B$5="",2958465,$B$5))))</f>
        <v/>
      </c>
      <c r="I76" s="29" t="str">
        <f aca="false">IF(OR($C76="",$H$208=0),"",H76/$H$208)</f>
        <v/>
      </c>
      <c r="J76" s="19" t="str">
        <f aca="false">IF(OR(C76="",N(E76)=0),"",F76/E76)</f>
        <v/>
      </c>
    </row>
    <row r="77" customFormat="false" ht="15" hidden="false" customHeight="false" outlineLevel="0" collapsed="false">
      <c r="A77" s="21" t="str">
        <f aca="false">IF(C77="","",70)</f>
        <v/>
      </c>
      <c r="B77" s="21" t="str">
        <f aca="false">IF('دليل الأصناف'!$B$73="","",'دليل الأصناف'!$A$73)</f>
        <v/>
      </c>
      <c r="C77" s="4" t="str">
        <f aca="false">IF('دليل الأصناف'!$B$73="","",'دليل الأصناف'!$B$73)</f>
        <v/>
      </c>
      <c r="D77" s="27" t="str">
        <f aca="false">IF($C77="","",IF($B$4&amp;$B$5="",COUNTIFS('المبيعات اليومية'!$C$9:$C$308,$C77),COUNTIFS('المبيعات اليومية'!$C$9:$C$308,$C77,'المبيعات اليومية'!$A$9:$A$308,"&gt;="&amp;IF($B$4="",0,$B$4),'المبيعات اليومية'!$A$9:$A$308,"&lt;="&amp;IF($B$5="",2958465,$B$5))))</f>
        <v/>
      </c>
      <c r="E77" s="28" t="str">
        <f aca="false">IF($C77="","",IF($B$4&amp;$B$5="",SUMIFS('المبيعات اليومية'!$E$9:$E$308,'المبيعات اليومية'!$C$9:$C$308,$C77),SUMIFS('المبيعات اليومية'!$E$9:$E$308,'المبيعات اليومية'!$C$9:$C$308,$C77,'المبيعات اليومية'!$A$9:$A$308,"&gt;="&amp;IF($B$4="",0,$B$4),'المبيعات اليومية'!$A$9:$A$308,"&lt;="&amp;IF($B$5="",2958465,$B$5))))</f>
        <v/>
      </c>
      <c r="F77" s="19" t="str">
        <f aca="false">IF($C77="","",IF($B$4&amp;$B$5="",SUMIFS('المبيعات اليومية'!$H$9:$H$308,'المبيعات اليومية'!$C$9:$C$308,$C77),SUMIFS('المبيعات اليومية'!$H$9:$H$308,'المبيعات اليومية'!$C$9:$C$308,$C77,'المبيعات اليومية'!$A$9:$A$308,"&gt;="&amp;IF($B$4="",0,$B$4),'المبيعات اليومية'!$A$9:$A$308,"&lt;="&amp;IF($B$5="",2958465,$B$5))))</f>
        <v/>
      </c>
      <c r="G77" s="19" t="str">
        <f aca="false">IF($C77="","",IF($B$4&amp;$B$5="",SUMIFS('المبيعات اليومية'!$I$9:$I$308,'المبيعات اليومية'!$C$9:$C$308,$C77),SUMIFS('المبيعات اليومية'!$I$9:$I$308,'المبيعات اليومية'!$C$9:$C$308,$C77,'المبيعات اليومية'!$A$9:$A$308,"&gt;="&amp;IF($B$4="",0,$B$4),'المبيعات اليومية'!$A$9:$A$308,"&lt;="&amp;IF($B$5="",2958465,$B$5))))</f>
        <v/>
      </c>
      <c r="H77" s="20" t="str">
        <f aca="false">IF($C77="","",IF($B$4&amp;$B$5="",SUMIFS('المبيعات اليومية'!$J$9:$J$308,'المبيعات اليومية'!$C$9:$C$308,$C77),SUMIFS('المبيعات اليومية'!$J$9:$J$308,'المبيعات اليومية'!$C$9:$C$308,$C77,'المبيعات اليومية'!$A$9:$A$308,"&gt;="&amp;IF($B$4="",0,$B$4),'المبيعات اليومية'!$A$9:$A$308,"&lt;="&amp;IF($B$5="",2958465,$B$5))))</f>
        <v/>
      </c>
      <c r="I77" s="29" t="str">
        <f aca="false">IF(OR($C77="",$H$208=0),"",H77/$H$208)</f>
        <v/>
      </c>
      <c r="J77" s="19" t="str">
        <f aca="false">IF(OR(C77="",N(E77)=0),"",F77/E77)</f>
        <v/>
      </c>
    </row>
    <row r="78" customFormat="false" ht="15" hidden="false" customHeight="false" outlineLevel="0" collapsed="false">
      <c r="A78" s="21" t="str">
        <f aca="false">IF(C78="","",71)</f>
        <v/>
      </c>
      <c r="B78" s="21" t="str">
        <f aca="false">IF('دليل الأصناف'!$B$74="","",'دليل الأصناف'!$A$74)</f>
        <v/>
      </c>
      <c r="C78" s="4" t="str">
        <f aca="false">IF('دليل الأصناف'!$B$74="","",'دليل الأصناف'!$B$74)</f>
        <v/>
      </c>
      <c r="D78" s="27" t="str">
        <f aca="false">IF($C78="","",IF($B$4&amp;$B$5="",COUNTIFS('المبيعات اليومية'!$C$9:$C$308,$C78),COUNTIFS('المبيعات اليومية'!$C$9:$C$308,$C78,'المبيعات اليومية'!$A$9:$A$308,"&gt;="&amp;IF($B$4="",0,$B$4),'المبيعات اليومية'!$A$9:$A$308,"&lt;="&amp;IF($B$5="",2958465,$B$5))))</f>
        <v/>
      </c>
      <c r="E78" s="28" t="str">
        <f aca="false">IF($C78="","",IF($B$4&amp;$B$5="",SUMIFS('المبيعات اليومية'!$E$9:$E$308,'المبيعات اليومية'!$C$9:$C$308,$C78),SUMIFS('المبيعات اليومية'!$E$9:$E$308,'المبيعات اليومية'!$C$9:$C$308,$C78,'المبيعات اليومية'!$A$9:$A$308,"&gt;="&amp;IF($B$4="",0,$B$4),'المبيعات اليومية'!$A$9:$A$308,"&lt;="&amp;IF($B$5="",2958465,$B$5))))</f>
        <v/>
      </c>
      <c r="F78" s="19" t="str">
        <f aca="false">IF($C78="","",IF($B$4&amp;$B$5="",SUMIFS('المبيعات اليومية'!$H$9:$H$308,'المبيعات اليومية'!$C$9:$C$308,$C78),SUMIFS('المبيعات اليومية'!$H$9:$H$308,'المبيعات اليومية'!$C$9:$C$308,$C78,'المبيعات اليومية'!$A$9:$A$308,"&gt;="&amp;IF($B$4="",0,$B$4),'المبيعات اليومية'!$A$9:$A$308,"&lt;="&amp;IF($B$5="",2958465,$B$5))))</f>
        <v/>
      </c>
      <c r="G78" s="19" t="str">
        <f aca="false">IF($C78="","",IF($B$4&amp;$B$5="",SUMIFS('المبيعات اليومية'!$I$9:$I$308,'المبيعات اليومية'!$C$9:$C$308,$C78),SUMIFS('المبيعات اليومية'!$I$9:$I$308,'المبيعات اليومية'!$C$9:$C$308,$C78,'المبيعات اليومية'!$A$9:$A$308,"&gt;="&amp;IF($B$4="",0,$B$4),'المبيعات اليومية'!$A$9:$A$308,"&lt;="&amp;IF($B$5="",2958465,$B$5))))</f>
        <v/>
      </c>
      <c r="H78" s="20" t="str">
        <f aca="false">IF($C78="","",IF($B$4&amp;$B$5="",SUMIFS('المبيعات اليومية'!$J$9:$J$308,'المبيعات اليومية'!$C$9:$C$308,$C78),SUMIFS('المبيعات اليومية'!$J$9:$J$308,'المبيعات اليومية'!$C$9:$C$308,$C78,'المبيعات اليومية'!$A$9:$A$308,"&gt;="&amp;IF($B$4="",0,$B$4),'المبيعات اليومية'!$A$9:$A$308,"&lt;="&amp;IF($B$5="",2958465,$B$5))))</f>
        <v/>
      </c>
      <c r="I78" s="29" t="str">
        <f aca="false">IF(OR($C78="",$H$208=0),"",H78/$H$208)</f>
        <v/>
      </c>
      <c r="J78" s="19" t="str">
        <f aca="false">IF(OR(C78="",N(E78)=0),"",F78/E78)</f>
        <v/>
      </c>
    </row>
    <row r="79" customFormat="false" ht="15" hidden="false" customHeight="false" outlineLevel="0" collapsed="false">
      <c r="A79" s="21" t="str">
        <f aca="false">IF(C79="","",72)</f>
        <v/>
      </c>
      <c r="B79" s="21" t="str">
        <f aca="false">IF('دليل الأصناف'!$B$75="","",'دليل الأصناف'!$A$75)</f>
        <v/>
      </c>
      <c r="C79" s="4" t="str">
        <f aca="false">IF('دليل الأصناف'!$B$75="","",'دليل الأصناف'!$B$75)</f>
        <v/>
      </c>
      <c r="D79" s="27" t="str">
        <f aca="false">IF($C79="","",IF($B$4&amp;$B$5="",COUNTIFS('المبيعات اليومية'!$C$9:$C$308,$C79),COUNTIFS('المبيعات اليومية'!$C$9:$C$308,$C79,'المبيعات اليومية'!$A$9:$A$308,"&gt;="&amp;IF($B$4="",0,$B$4),'المبيعات اليومية'!$A$9:$A$308,"&lt;="&amp;IF($B$5="",2958465,$B$5))))</f>
        <v/>
      </c>
      <c r="E79" s="28" t="str">
        <f aca="false">IF($C79="","",IF($B$4&amp;$B$5="",SUMIFS('المبيعات اليومية'!$E$9:$E$308,'المبيعات اليومية'!$C$9:$C$308,$C79),SUMIFS('المبيعات اليومية'!$E$9:$E$308,'المبيعات اليومية'!$C$9:$C$308,$C79,'المبيعات اليومية'!$A$9:$A$308,"&gt;="&amp;IF($B$4="",0,$B$4),'المبيعات اليومية'!$A$9:$A$308,"&lt;="&amp;IF($B$5="",2958465,$B$5))))</f>
        <v/>
      </c>
      <c r="F79" s="19" t="str">
        <f aca="false">IF($C79="","",IF($B$4&amp;$B$5="",SUMIFS('المبيعات اليومية'!$H$9:$H$308,'المبيعات اليومية'!$C$9:$C$308,$C79),SUMIFS('المبيعات اليومية'!$H$9:$H$308,'المبيعات اليومية'!$C$9:$C$308,$C79,'المبيعات اليومية'!$A$9:$A$308,"&gt;="&amp;IF($B$4="",0,$B$4),'المبيعات اليومية'!$A$9:$A$308,"&lt;="&amp;IF($B$5="",2958465,$B$5))))</f>
        <v/>
      </c>
      <c r="G79" s="19" t="str">
        <f aca="false">IF($C79="","",IF($B$4&amp;$B$5="",SUMIFS('المبيعات اليومية'!$I$9:$I$308,'المبيعات اليومية'!$C$9:$C$308,$C79),SUMIFS('المبيعات اليومية'!$I$9:$I$308,'المبيعات اليومية'!$C$9:$C$308,$C79,'المبيعات اليومية'!$A$9:$A$308,"&gt;="&amp;IF($B$4="",0,$B$4),'المبيعات اليومية'!$A$9:$A$308,"&lt;="&amp;IF($B$5="",2958465,$B$5))))</f>
        <v/>
      </c>
      <c r="H79" s="20" t="str">
        <f aca="false">IF($C79="","",IF($B$4&amp;$B$5="",SUMIFS('المبيعات اليومية'!$J$9:$J$308,'المبيعات اليومية'!$C$9:$C$308,$C79),SUMIFS('المبيعات اليومية'!$J$9:$J$308,'المبيعات اليومية'!$C$9:$C$308,$C79,'المبيعات اليومية'!$A$9:$A$308,"&gt;="&amp;IF($B$4="",0,$B$4),'المبيعات اليومية'!$A$9:$A$308,"&lt;="&amp;IF($B$5="",2958465,$B$5))))</f>
        <v/>
      </c>
      <c r="I79" s="29" t="str">
        <f aca="false">IF(OR($C79="",$H$208=0),"",H79/$H$208)</f>
        <v/>
      </c>
      <c r="J79" s="19" t="str">
        <f aca="false">IF(OR(C79="",N(E79)=0),"",F79/E79)</f>
        <v/>
      </c>
    </row>
    <row r="80" customFormat="false" ht="15" hidden="false" customHeight="false" outlineLevel="0" collapsed="false">
      <c r="A80" s="21" t="str">
        <f aca="false">IF(C80="","",73)</f>
        <v/>
      </c>
      <c r="B80" s="21" t="str">
        <f aca="false">IF('دليل الأصناف'!$B$76="","",'دليل الأصناف'!$A$76)</f>
        <v/>
      </c>
      <c r="C80" s="4" t="str">
        <f aca="false">IF('دليل الأصناف'!$B$76="","",'دليل الأصناف'!$B$76)</f>
        <v/>
      </c>
      <c r="D80" s="27" t="str">
        <f aca="false">IF($C80="","",IF($B$4&amp;$B$5="",COUNTIFS('المبيعات اليومية'!$C$9:$C$308,$C80),COUNTIFS('المبيعات اليومية'!$C$9:$C$308,$C80,'المبيعات اليومية'!$A$9:$A$308,"&gt;="&amp;IF($B$4="",0,$B$4),'المبيعات اليومية'!$A$9:$A$308,"&lt;="&amp;IF($B$5="",2958465,$B$5))))</f>
        <v/>
      </c>
      <c r="E80" s="28" t="str">
        <f aca="false">IF($C80="","",IF($B$4&amp;$B$5="",SUMIFS('المبيعات اليومية'!$E$9:$E$308,'المبيعات اليومية'!$C$9:$C$308,$C80),SUMIFS('المبيعات اليومية'!$E$9:$E$308,'المبيعات اليومية'!$C$9:$C$308,$C80,'المبيعات اليومية'!$A$9:$A$308,"&gt;="&amp;IF($B$4="",0,$B$4),'المبيعات اليومية'!$A$9:$A$308,"&lt;="&amp;IF($B$5="",2958465,$B$5))))</f>
        <v/>
      </c>
      <c r="F80" s="19" t="str">
        <f aca="false">IF($C80="","",IF($B$4&amp;$B$5="",SUMIFS('المبيعات اليومية'!$H$9:$H$308,'المبيعات اليومية'!$C$9:$C$308,$C80),SUMIFS('المبيعات اليومية'!$H$9:$H$308,'المبيعات اليومية'!$C$9:$C$308,$C80,'المبيعات اليومية'!$A$9:$A$308,"&gt;="&amp;IF($B$4="",0,$B$4),'المبيعات اليومية'!$A$9:$A$308,"&lt;="&amp;IF($B$5="",2958465,$B$5))))</f>
        <v/>
      </c>
      <c r="G80" s="19" t="str">
        <f aca="false">IF($C80="","",IF($B$4&amp;$B$5="",SUMIFS('المبيعات اليومية'!$I$9:$I$308,'المبيعات اليومية'!$C$9:$C$308,$C80),SUMIFS('المبيعات اليومية'!$I$9:$I$308,'المبيعات اليومية'!$C$9:$C$308,$C80,'المبيعات اليومية'!$A$9:$A$308,"&gt;="&amp;IF($B$4="",0,$B$4),'المبيعات اليومية'!$A$9:$A$308,"&lt;="&amp;IF($B$5="",2958465,$B$5))))</f>
        <v/>
      </c>
      <c r="H80" s="20" t="str">
        <f aca="false">IF($C80="","",IF($B$4&amp;$B$5="",SUMIFS('المبيعات اليومية'!$J$9:$J$308,'المبيعات اليومية'!$C$9:$C$308,$C80),SUMIFS('المبيعات اليومية'!$J$9:$J$308,'المبيعات اليومية'!$C$9:$C$308,$C80,'المبيعات اليومية'!$A$9:$A$308,"&gt;="&amp;IF($B$4="",0,$B$4),'المبيعات اليومية'!$A$9:$A$308,"&lt;="&amp;IF($B$5="",2958465,$B$5))))</f>
        <v/>
      </c>
      <c r="I80" s="29" t="str">
        <f aca="false">IF(OR($C80="",$H$208=0),"",H80/$H$208)</f>
        <v/>
      </c>
      <c r="J80" s="19" t="str">
        <f aca="false">IF(OR(C80="",N(E80)=0),"",F80/E80)</f>
        <v/>
      </c>
    </row>
    <row r="81" customFormat="false" ht="15" hidden="false" customHeight="false" outlineLevel="0" collapsed="false">
      <c r="A81" s="21" t="str">
        <f aca="false">IF(C81="","",74)</f>
        <v/>
      </c>
      <c r="B81" s="21" t="str">
        <f aca="false">IF('دليل الأصناف'!$B$77="","",'دليل الأصناف'!$A$77)</f>
        <v/>
      </c>
      <c r="C81" s="4" t="str">
        <f aca="false">IF('دليل الأصناف'!$B$77="","",'دليل الأصناف'!$B$77)</f>
        <v/>
      </c>
      <c r="D81" s="27" t="str">
        <f aca="false">IF($C81="","",IF($B$4&amp;$B$5="",COUNTIFS('المبيعات اليومية'!$C$9:$C$308,$C81),COUNTIFS('المبيعات اليومية'!$C$9:$C$308,$C81,'المبيعات اليومية'!$A$9:$A$308,"&gt;="&amp;IF($B$4="",0,$B$4),'المبيعات اليومية'!$A$9:$A$308,"&lt;="&amp;IF($B$5="",2958465,$B$5))))</f>
        <v/>
      </c>
      <c r="E81" s="28" t="str">
        <f aca="false">IF($C81="","",IF($B$4&amp;$B$5="",SUMIFS('المبيعات اليومية'!$E$9:$E$308,'المبيعات اليومية'!$C$9:$C$308,$C81),SUMIFS('المبيعات اليومية'!$E$9:$E$308,'المبيعات اليومية'!$C$9:$C$308,$C81,'المبيعات اليومية'!$A$9:$A$308,"&gt;="&amp;IF($B$4="",0,$B$4),'المبيعات اليومية'!$A$9:$A$308,"&lt;="&amp;IF($B$5="",2958465,$B$5))))</f>
        <v/>
      </c>
      <c r="F81" s="19" t="str">
        <f aca="false">IF($C81="","",IF($B$4&amp;$B$5="",SUMIFS('المبيعات اليومية'!$H$9:$H$308,'المبيعات اليومية'!$C$9:$C$308,$C81),SUMIFS('المبيعات اليومية'!$H$9:$H$308,'المبيعات اليومية'!$C$9:$C$308,$C81,'المبيعات اليومية'!$A$9:$A$308,"&gt;="&amp;IF($B$4="",0,$B$4),'المبيعات اليومية'!$A$9:$A$308,"&lt;="&amp;IF($B$5="",2958465,$B$5))))</f>
        <v/>
      </c>
      <c r="G81" s="19" t="str">
        <f aca="false">IF($C81="","",IF($B$4&amp;$B$5="",SUMIFS('المبيعات اليومية'!$I$9:$I$308,'المبيعات اليومية'!$C$9:$C$308,$C81),SUMIFS('المبيعات اليومية'!$I$9:$I$308,'المبيعات اليومية'!$C$9:$C$308,$C81,'المبيعات اليومية'!$A$9:$A$308,"&gt;="&amp;IF($B$4="",0,$B$4),'المبيعات اليومية'!$A$9:$A$308,"&lt;="&amp;IF($B$5="",2958465,$B$5))))</f>
        <v/>
      </c>
      <c r="H81" s="20" t="str">
        <f aca="false">IF($C81="","",IF($B$4&amp;$B$5="",SUMIFS('المبيعات اليومية'!$J$9:$J$308,'المبيعات اليومية'!$C$9:$C$308,$C81),SUMIFS('المبيعات اليومية'!$J$9:$J$308,'المبيعات اليومية'!$C$9:$C$308,$C81,'المبيعات اليومية'!$A$9:$A$308,"&gt;="&amp;IF($B$4="",0,$B$4),'المبيعات اليومية'!$A$9:$A$308,"&lt;="&amp;IF($B$5="",2958465,$B$5))))</f>
        <v/>
      </c>
      <c r="I81" s="29" t="str">
        <f aca="false">IF(OR($C81="",$H$208=0),"",H81/$H$208)</f>
        <v/>
      </c>
      <c r="J81" s="19" t="str">
        <f aca="false">IF(OR(C81="",N(E81)=0),"",F81/E81)</f>
        <v/>
      </c>
    </row>
    <row r="82" customFormat="false" ht="15" hidden="false" customHeight="false" outlineLevel="0" collapsed="false">
      <c r="A82" s="21" t="str">
        <f aca="false">IF(C82="","",75)</f>
        <v/>
      </c>
      <c r="B82" s="21" t="str">
        <f aca="false">IF('دليل الأصناف'!$B$78="","",'دليل الأصناف'!$A$78)</f>
        <v/>
      </c>
      <c r="C82" s="4" t="str">
        <f aca="false">IF('دليل الأصناف'!$B$78="","",'دليل الأصناف'!$B$78)</f>
        <v/>
      </c>
      <c r="D82" s="27" t="str">
        <f aca="false">IF($C82="","",IF($B$4&amp;$B$5="",COUNTIFS('المبيعات اليومية'!$C$9:$C$308,$C82),COUNTIFS('المبيعات اليومية'!$C$9:$C$308,$C82,'المبيعات اليومية'!$A$9:$A$308,"&gt;="&amp;IF($B$4="",0,$B$4),'المبيعات اليومية'!$A$9:$A$308,"&lt;="&amp;IF($B$5="",2958465,$B$5))))</f>
        <v/>
      </c>
      <c r="E82" s="28" t="str">
        <f aca="false">IF($C82="","",IF($B$4&amp;$B$5="",SUMIFS('المبيعات اليومية'!$E$9:$E$308,'المبيعات اليومية'!$C$9:$C$308,$C82),SUMIFS('المبيعات اليومية'!$E$9:$E$308,'المبيعات اليومية'!$C$9:$C$308,$C82,'المبيعات اليومية'!$A$9:$A$308,"&gt;="&amp;IF($B$4="",0,$B$4),'المبيعات اليومية'!$A$9:$A$308,"&lt;="&amp;IF($B$5="",2958465,$B$5))))</f>
        <v/>
      </c>
      <c r="F82" s="19" t="str">
        <f aca="false">IF($C82="","",IF($B$4&amp;$B$5="",SUMIFS('المبيعات اليومية'!$H$9:$H$308,'المبيعات اليومية'!$C$9:$C$308,$C82),SUMIFS('المبيعات اليومية'!$H$9:$H$308,'المبيعات اليومية'!$C$9:$C$308,$C82,'المبيعات اليومية'!$A$9:$A$308,"&gt;="&amp;IF($B$4="",0,$B$4),'المبيعات اليومية'!$A$9:$A$308,"&lt;="&amp;IF($B$5="",2958465,$B$5))))</f>
        <v/>
      </c>
      <c r="G82" s="19" t="str">
        <f aca="false">IF($C82="","",IF($B$4&amp;$B$5="",SUMIFS('المبيعات اليومية'!$I$9:$I$308,'المبيعات اليومية'!$C$9:$C$308,$C82),SUMIFS('المبيعات اليومية'!$I$9:$I$308,'المبيعات اليومية'!$C$9:$C$308,$C82,'المبيعات اليومية'!$A$9:$A$308,"&gt;="&amp;IF($B$4="",0,$B$4),'المبيعات اليومية'!$A$9:$A$308,"&lt;="&amp;IF($B$5="",2958465,$B$5))))</f>
        <v/>
      </c>
      <c r="H82" s="20" t="str">
        <f aca="false">IF($C82="","",IF($B$4&amp;$B$5="",SUMIFS('المبيعات اليومية'!$J$9:$J$308,'المبيعات اليومية'!$C$9:$C$308,$C82),SUMIFS('المبيعات اليومية'!$J$9:$J$308,'المبيعات اليومية'!$C$9:$C$308,$C82,'المبيعات اليومية'!$A$9:$A$308,"&gt;="&amp;IF($B$4="",0,$B$4),'المبيعات اليومية'!$A$9:$A$308,"&lt;="&amp;IF($B$5="",2958465,$B$5))))</f>
        <v/>
      </c>
      <c r="I82" s="29" t="str">
        <f aca="false">IF(OR($C82="",$H$208=0),"",H82/$H$208)</f>
        <v/>
      </c>
      <c r="J82" s="19" t="str">
        <f aca="false">IF(OR(C82="",N(E82)=0),"",F82/E82)</f>
        <v/>
      </c>
    </row>
    <row r="83" customFormat="false" ht="15" hidden="false" customHeight="false" outlineLevel="0" collapsed="false">
      <c r="A83" s="21" t="str">
        <f aca="false">IF(C83="","",76)</f>
        <v/>
      </c>
      <c r="B83" s="21" t="str">
        <f aca="false">IF('دليل الأصناف'!$B$79="","",'دليل الأصناف'!$A$79)</f>
        <v/>
      </c>
      <c r="C83" s="4" t="str">
        <f aca="false">IF('دليل الأصناف'!$B$79="","",'دليل الأصناف'!$B$79)</f>
        <v/>
      </c>
      <c r="D83" s="27" t="str">
        <f aca="false">IF($C83="","",IF($B$4&amp;$B$5="",COUNTIFS('المبيعات اليومية'!$C$9:$C$308,$C83),COUNTIFS('المبيعات اليومية'!$C$9:$C$308,$C83,'المبيعات اليومية'!$A$9:$A$308,"&gt;="&amp;IF($B$4="",0,$B$4),'المبيعات اليومية'!$A$9:$A$308,"&lt;="&amp;IF($B$5="",2958465,$B$5))))</f>
        <v/>
      </c>
      <c r="E83" s="28" t="str">
        <f aca="false">IF($C83="","",IF($B$4&amp;$B$5="",SUMIFS('المبيعات اليومية'!$E$9:$E$308,'المبيعات اليومية'!$C$9:$C$308,$C83),SUMIFS('المبيعات اليومية'!$E$9:$E$308,'المبيعات اليومية'!$C$9:$C$308,$C83,'المبيعات اليومية'!$A$9:$A$308,"&gt;="&amp;IF($B$4="",0,$B$4),'المبيعات اليومية'!$A$9:$A$308,"&lt;="&amp;IF($B$5="",2958465,$B$5))))</f>
        <v/>
      </c>
      <c r="F83" s="19" t="str">
        <f aca="false">IF($C83="","",IF($B$4&amp;$B$5="",SUMIFS('المبيعات اليومية'!$H$9:$H$308,'المبيعات اليومية'!$C$9:$C$308,$C83),SUMIFS('المبيعات اليومية'!$H$9:$H$308,'المبيعات اليومية'!$C$9:$C$308,$C83,'المبيعات اليومية'!$A$9:$A$308,"&gt;="&amp;IF($B$4="",0,$B$4),'المبيعات اليومية'!$A$9:$A$308,"&lt;="&amp;IF($B$5="",2958465,$B$5))))</f>
        <v/>
      </c>
      <c r="G83" s="19" t="str">
        <f aca="false">IF($C83="","",IF($B$4&amp;$B$5="",SUMIFS('المبيعات اليومية'!$I$9:$I$308,'المبيعات اليومية'!$C$9:$C$308,$C83),SUMIFS('المبيعات اليومية'!$I$9:$I$308,'المبيعات اليومية'!$C$9:$C$308,$C83,'المبيعات اليومية'!$A$9:$A$308,"&gt;="&amp;IF($B$4="",0,$B$4),'المبيعات اليومية'!$A$9:$A$308,"&lt;="&amp;IF($B$5="",2958465,$B$5))))</f>
        <v/>
      </c>
      <c r="H83" s="20" t="str">
        <f aca="false">IF($C83="","",IF($B$4&amp;$B$5="",SUMIFS('المبيعات اليومية'!$J$9:$J$308,'المبيعات اليومية'!$C$9:$C$308,$C83),SUMIFS('المبيعات اليومية'!$J$9:$J$308,'المبيعات اليومية'!$C$9:$C$308,$C83,'المبيعات اليومية'!$A$9:$A$308,"&gt;="&amp;IF($B$4="",0,$B$4),'المبيعات اليومية'!$A$9:$A$308,"&lt;="&amp;IF($B$5="",2958465,$B$5))))</f>
        <v/>
      </c>
      <c r="I83" s="29" t="str">
        <f aca="false">IF(OR($C83="",$H$208=0),"",H83/$H$208)</f>
        <v/>
      </c>
      <c r="J83" s="19" t="str">
        <f aca="false">IF(OR(C83="",N(E83)=0),"",F83/E83)</f>
        <v/>
      </c>
    </row>
    <row r="84" customFormat="false" ht="15" hidden="false" customHeight="false" outlineLevel="0" collapsed="false">
      <c r="A84" s="21" t="str">
        <f aca="false">IF(C84="","",77)</f>
        <v/>
      </c>
      <c r="B84" s="21" t="str">
        <f aca="false">IF('دليل الأصناف'!$B$80="","",'دليل الأصناف'!$A$80)</f>
        <v/>
      </c>
      <c r="C84" s="4" t="str">
        <f aca="false">IF('دليل الأصناف'!$B$80="","",'دليل الأصناف'!$B$80)</f>
        <v/>
      </c>
      <c r="D84" s="27" t="str">
        <f aca="false">IF($C84="","",IF($B$4&amp;$B$5="",COUNTIFS('المبيعات اليومية'!$C$9:$C$308,$C84),COUNTIFS('المبيعات اليومية'!$C$9:$C$308,$C84,'المبيعات اليومية'!$A$9:$A$308,"&gt;="&amp;IF($B$4="",0,$B$4),'المبيعات اليومية'!$A$9:$A$308,"&lt;="&amp;IF($B$5="",2958465,$B$5))))</f>
        <v/>
      </c>
      <c r="E84" s="28" t="str">
        <f aca="false">IF($C84="","",IF($B$4&amp;$B$5="",SUMIFS('المبيعات اليومية'!$E$9:$E$308,'المبيعات اليومية'!$C$9:$C$308,$C84),SUMIFS('المبيعات اليومية'!$E$9:$E$308,'المبيعات اليومية'!$C$9:$C$308,$C84,'المبيعات اليومية'!$A$9:$A$308,"&gt;="&amp;IF($B$4="",0,$B$4),'المبيعات اليومية'!$A$9:$A$308,"&lt;="&amp;IF($B$5="",2958465,$B$5))))</f>
        <v/>
      </c>
      <c r="F84" s="19" t="str">
        <f aca="false">IF($C84="","",IF($B$4&amp;$B$5="",SUMIFS('المبيعات اليومية'!$H$9:$H$308,'المبيعات اليومية'!$C$9:$C$308,$C84),SUMIFS('المبيعات اليومية'!$H$9:$H$308,'المبيعات اليومية'!$C$9:$C$308,$C84,'المبيعات اليومية'!$A$9:$A$308,"&gt;="&amp;IF($B$4="",0,$B$4),'المبيعات اليومية'!$A$9:$A$308,"&lt;="&amp;IF($B$5="",2958465,$B$5))))</f>
        <v/>
      </c>
      <c r="G84" s="19" t="str">
        <f aca="false">IF($C84="","",IF($B$4&amp;$B$5="",SUMIFS('المبيعات اليومية'!$I$9:$I$308,'المبيعات اليومية'!$C$9:$C$308,$C84),SUMIFS('المبيعات اليومية'!$I$9:$I$308,'المبيعات اليومية'!$C$9:$C$308,$C84,'المبيعات اليومية'!$A$9:$A$308,"&gt;="&amp;IF($B$4="",0,$B$4),'المبيعات اليومية'!$A$9:$A$308,"&lt;="&amp;IF($B$5="",2958465,$B$5))))</f>
        <v/>
      </c>
      <c r="H84" s="20" t="str">
        <f aca="false">IF($C84="","",IF($B$4&amp;$B$5="",SUMIFS('المبيعات اليومية'!$J$9:$J$308,'المبيعات اليومية'!$C$9:$C$308,$C84),SUMIFS('المبيعات اليومية'!$J$9:$J$308,'المبيعات اليومية'!$C$9:$C$308,$C84,'المبيعات اليومية'!$A$9:$A$308,"&gt;="&amp;IF($B$4="",0,$B$4),'المبيعات اليومية'!$A$9:$A$308,"&lt;="&amp;IF($B$5="",2958465,$B$5))))</f>
        <v/>
      </c>
      <c r="I84" s="29" t="str">
        <f aca="false">IF(OR($C84="",$H$208=0),"",H84/$H$208)</f>
        <v/>
      </c>
      <c r="J84" s="19" t="str">
        <f aca="false">IF(OR(C84="",N(E84)=0),"",F84/E84)</f>
        <v/>
      </c>
    </row>
    <row r="85" customFormat="false" ht="15" hidden="false" customHeight="false" outlineLevel="0" collapsed="false">
      <c r="A85" s="21" t="str">
        <f aca="false">IF(C85="","",78)</f>
        <v/>
      </c>
      <c r="B85" s="21" t="str">
        <f aca="false">IF('دليل الأصناف'!$B$81="","",'دليل الأصناف'!$A$81)</f>
        <v/>
      </c>
      <c r="C85" s="4" t="str">
        <f aca="false">IF('دليل الأصناف'!$B$81="","",'دليل الأصناف'!$B$81)</f>
        <v/>
      </c>
      <c r="D85" s="27" t="str">
        <f aca="false">IF($C85="","",IF($B$4&amp;$B$5="",COUNTIFS('المبيعات اليومية'!$C$9:$C$308,$C85),COUNTIFS('المبيعات اليومية'!$C$9:$C$308,$C85,'المبيعات اليومية'!$A$9:$A$308,"&gt;="&amp;IF($B$4="",0,$B$4),'المبيعات اليومية'!$A$9:$A$308,"&lt;="&amp;IF($B$5="",2958465,$B$5))))</f>
        <v/>
      </c>
      <c r="E85" s="28" t="str">
        <f aca="false">IF($C85="","",IF($B$4&amp;$B$5="",SUMIFS('المبيعات اليومية'!$E$9:$E$308,'المبيعات اليومية'!$C$9:$C$308,$C85),SUMIFS('المبيعات اليومية'!$E$9:$E$308,'المبيعات اليومية'!$C$9:$C$308,$C85,'المبيعات اليومية'!$A$9:$A$308,"&gt;="&amp;IF($B$4="",0,$B$4),'المبيعات اليومية'!$A$9:$A$308,"&lt;="&amp;IF($B$5="",2958465,$B$5))))</f>
        <v/>
      </c>
      <c r="F85" s="19" t="str">
        <f aca="false">IF($C85="","",IF($B$4&amp;$B$5="",SUMIFS('المبيعات اليومية'!$H$9:$H$308,'المبيعات اليومية'!$C$9:$C$308,$C85),SUMIFS('المبيعات اليومية'!$H$9:$H$308,'المبيعات اليومية'!$C$9:$C$308,$C85,'المبيعات اليومية'!$A$9:$A$308,"&gt;="&amp;IF($B$4="",0,$B$4),'المبيعات اليومية'!$A$9:$A$308,"&lt;="&amp;IF($B$5="",2958465,$B$5))))</f>
        <v/>
      </c>
      <c r="G85" s="19" t="str">
        <f aca="false">IF($C85="","",IF($B$4&amp;$B$5="",SUMIFS('المبيعات اليومية'!$I$9:$I$308,'المبيعات اليومية'!$C$9:$C$308,$C85),SUMIFS('المبيعات اليومية'!$I$9:$I$308,'المبيعات اليومية'!$C$9:$C$308,$C85,'المبيعات اليومية'!$A$9:$A$308,"&gt;="&amp;IF($B$4="",0,$B$4),'المبيعات اليومية'!$A$9:$A$308,"&lt;="&amp;IF($B$5="",2958465,$B$5))))</f>
        <v/>
      </c>
      <c r="H85" s="20" t="str">
        <f aca="false">IF($C85="","",IF($B$4&amp;$B$5="",SUMIFS('المبيعات اليومية'!$J$9:$J$308,'المبيعات اليومية'!$C$9:$C$308,$C85),SUMIFS('المبيعات اليومية'!$J$9:$J$308,'المبيعات اليومية'!$C$9:$C$308,$C85,'المبيعات اليومية'!$A$9:$A$308,"&gt;="&amp;IF($B$4="",0,$B$4),'المبيعات اليومية'!$A$9:$A$308,"&lt;="&amp;IF($B$5="",2958465,$B$5))))</f>
        <v/>
      </c>
      <c r="I85" s="29" t="str">
        <f aca="false">IF(OR($C85="",$H$208=0),"",H85/$H$208)</f>
        <v/>
      </c>
      <c r="J85" s="19" t="str">
        <f aca="false">IF(OR(C85="",N(E85)=0),"",F85/E85)</f>
        <v/>
      </c>
    </row>
    <row r="86" customFormat="false" ht="15" hidden="false" customHeight="false" outlineLevel="0" collapsed="false">
      <c r="A86" s="21" t="str">
        <f aca="false">IF(C86="","",79)</f>
        <v/>
      </c>
      <c r="B86" s="21" t="str">
        <f aca="false">IF('دليل الأصناف'!$B$82="","",'دليل الأصناف'!$A$82)</f>
        <v/>
      </c>
      <c r="C86" s="4" t="str">
        <f aca="false">IF('دليل الأصناف'!$B$82="","",'دليل الأصناف'!$B$82)</f>
        <v/>
      </c>
      <c r="D86" s="27" t="str">
        <f aca="false">IF($C86="","",IF($B$4&amp;$B$5="",COUNTIFS('المبيعات اليومية'!$C$9:$C$308,$C86),COUNTIFS('المبيعات اليومية'!$C$9:$C$308,$C86,'المبيعات اليومية'!$A$9:$A$308,"&gt;="&amp;IF($B$4="",0,$B$4),'المبيعات اليومية'!$A$9:$A$308,"&lt;="&amp;IF($B$5="",2958465,$B$5))))</f>
        <v/>
      </c>
      <c r="E86" s="28" t="str">
        <f aca="false">IF($C86="","",IF($B$4&amp;$B$5="",SUMIFS('المبيعات اليومية'!$E$9:$E$308,'المبيعات اليومية'!$C$9:$C$308,$C86),SUMIFS('المبيعات اليومية'!$E$9:$E$308,'المبيعات اليومية'!$C$9:$C$308,$C86,'المبيعات اليومية'!$A$9:$A$308,"&gt;="&amp;IF($B$4="",0,$B$4),'المبيعات اليومية'!$A$9:$A$308,"&lt;="&amp;IF($B$5="",2958465,$B$5))))</f>
        <v/>
      </c>
      <c r="F86" s="19" t="str">
        <f aca="false">IF($C86="","",IF($B$4&amp;$B$5="",SUMIFS('المبيعات اليومية'!$H$9:$H$308,'المبيعات اليومية'!$C$9:$C$308,$C86),SUMIFS('المبيعات اليومية'!$H$9:$H$308,'المبيعات اليومية'!$C$9:$C$308,$C86,'المبيعات اليومية'!$A$9:$A$308,"&gt;="&amp;IF($B$4="",0,$B$4),'المبيعات اليومية'!$A$9:$A$308,"&lt;="&amp;IF($B$5="",2958465,$B$5))))</f>
        <v/>
      </c>
      <c r="G86" s="19" t="str">
        <f aca="false">IF($C86="","",IF($B$4&amp;$B$5="",SUMIFS('المبيعات اليومية'!$I$9:$I$308,'المبيعات اليومية'!$C$9:$C$308,$C86),SUMIFS('المبيعات اليومية'!$I$9:$I$308,'المبيعات اليومية'!$C$9:$C$308,$C86,'المبيعات اليومية'!$A$9:$A$308,"&gt;="&amp;IF($B$4="",0,$B$4),'المبيعات اليومية'!$A$9:$A$308,"&lt;="&amp;IF($B$5="",2958465,$B$5))))</f>
        <v/>
      </c>
      <c r="H86" s="20" t="str">
        <f aca="false">IF($C86="","",IF($B$4&amp;$B$5="",SUMIFS('المبيعات اليومية'!$J$9:$J$308,'المبيعات اليومية'!$C$9:$C$308,$C86),SUMIFS('المبيعات اليومية'!$J$9:$J$308,'المبيعات اليومية'!$C$9:$C$308,$C86,'المبيعات اليومية'!$A$9:$A$308,"&gt;="&amp;IF($B$4="",0,$B$4),'المبيعات اليومية'!$A$9:$A$308,"&lt;="&amp;IF($B$5="",2958465,$B$5))))</f>
        <v/>
      </c>
      <c r="I86" s="29" t="str">
        <f aca="false">IF(OR($C86="",$H$208=0),"",H86/$H$208)</f>
        <v/>
      </c>
      <c r="J86" s="19" t="str">
        <f aca="false">IF(OR(C86="",N(E86)=0),"",F86/E86)</f>
        <v/>
      </c>
    </row>
    <row r="87" customFormat="false" ht="15" hidden="false" customHeight="false" outlineLevel="0" collapsed="false">
      <c r="A87" s="21" t="str">
        <f aca="false">IF(C87="","",80)</f>
        <v/>
      </c>
      <c r="B87" s="21" t="str">
        <f aca="false">IF('دليل الأصناف'!$B$83="","",'دليل الأصناف'!$A$83)</f>
        <v/>
      </c>
      <c r="C87" s="4" t="str">
        <f aca="false">IF('دليل الأصناف'!$B$83="","",'دليل الأصناف'!$B$83)</f>
        <v/>
      </c>
      <c r="D87" s="27" t="str">
        <f aca="false">IF($C87="","",IF($B$4&amp;$B$5="",COUNTIFS('المبيعات اليومية'!$C$9:$C$308,$C87),COUNTIFS('المبيعات اليومية'!$C$9:$C$308,$C87,'المبيعات اليومية'!$A$9:$A$308,"&gt;="&amp;IF($B$4="",0,$B$4),'المبيعات اليومية'!$A$9:$A$308,"&lt;="&amp;IF($B$5="",2958465,$B$5))))</f>
        <v/>
      </c>
      <c r="E87" s="28" t="str">
        <f aca="false">IF($C87="","",IF($B$4&amp;$B$5="",SUMIFS('المبيعات اليومية'!$E$9:$E$308,'المبيعات اليومية'!$C$9:$C$308,$C87),SUMIFS('المبيعات اليومية'!$E$9:$E$308,'المبيعات اليومية'!$C$9:$C$308,$C87,'المبيعات اليومية'!$A$9:$A$308,"&gt;="&amp;IF($B$4="",0,$B$4),'المبيعات اليومية'!$A$9:$A$308,"&lt;="&amp;IF($B$5="",2958465,$B$5))))</f>
        <v/>
      </c>
      <c r="F87" s="19" t="str">
        <f aca="false">IF($C87="","",IF($B$4&amp;$B$5="",SUMIFS('المبيعات اليومية'!$H$9:$H$308,'المبيعات اليومية'!$C$9:$C$308,$C87),SUMIFS('المبيعات اليومية'!$H$9:$H$308,'المبيعات اليومية'!$C$9:$C$308,$C87,'المبيعات اليومية'!$A$9:$A$308,"&gt;="&amp;IF($B$4="",0,$B$4),'المبيعات اليومية'!$A$9:$A$308,"&lt;="&amp;IF($B$5="",2958465,$B$5))))</f>
        <v/>
      </c>
      <c r="G87" s="19" t="str">
        <f aca="false">IF($C87="","",IF($B$4&amp;$B$5="",SUMIFS('المبيعات اليومية'!$I$9:$I$308,'المبيعات اليومية'!$C$9:$C$308,$C87),SUMIFS('المبيعات اليومية'!$I$9:$I$308,'المبيعات اليومية'!$C$9:$C$308,$C87,'المبيعات اليومية'!$A$9:$A$308,"&gt;="&amp;IF($B$4="",0,$B$4),'المبيعات اليومية'!$A$9:$A$308,"&lt;="&amp;IF($B$5="",2958465,$B$5))))</f>
        <v/>
      </c>
      <c r="H87" s="20" t="str">
        <f aca="false">IF($C87="","",IF($B$4&amp;$B$5="",SUMIFS('المبيعات اليومية'!$J$9:$J$308,'المبيعات اليومية'!$C$9:$C$308,$C87),SUMIFS('المبيعات اليومية'!$J$9:$J$308,'المبيعات اليومية'!$C$9:$C$308,$C87,'المبيعات اليومية'!$A$9:$A$308,"&gt;="&amp;IF($B$4="",0,$B$4),'المبيعات اليومية'!$A$9:$A$308,"&lt;="&amp;IF($B$5="",2958465,$B$5))))</f>
        <v/>
      </c>
      <c r="I87" s="29" t="str">
        <f aca="false">IF(OR($C87="",$H$208=0),"",H87/$H$208)</f>
        <v/>
      </c>
      <c r="J87" s="19" t="str">
        <f aca="false">IF(OR(C87="",N(E87)=0),"",F87/E87)</f>
        <v/>
      </c>
    </row>
    <row r="88" customFormat="false" ht="15" hidden="false" customHeight="false" outlineLevel="0" collapsed="false">
      <c r="A88" s="21" t="str">
        <f aca="false">IF(C88="","",81)</f>
        <v/>
      </c>
      <c r="B88" s="21" t="str">
        <f aca="false">IF('دليل الأصناف'!$B$84="","",'دليل الأصناف'!$A$84)</f>
        <v/>
      </c>
      <c r="C88" s="4" t="str">
        <f aca="false">IF('دليل الأصناف'!$B$84="","",'دليل الأصناف'!$B$84)</f>
        <v/>
      </c>
      <c r="D88" s="27" t="str">
        <f aca="false">IF($C88="","",IF($B$4&amp;$B$5="",COUNTIFS('المبيعات اليومية'!$C$9:$C$308,$C88),COUNTIFS('المبيعات اليومية'!$C$9:$C$308,$C88,'المبيعات اليومية'!$A$9:$A$308,"&gt;="&amp;IF($B$4="",0,$B$4),'المبيعات اليومية'!$A$9:$A$308,"&lt;="&amp;IF($B$5="",2958465,$B$5))))</f>
        <v/>
      </c>
      <c r="E88" s="28" t="str">
        <f aca="false">IF($C88="","",IF($B$4&amp;$B$5="",SUMIFS('المبيعات اليومية'!$E$9:$E$308,'المبيعات اليومية'!$C$9:$C$308,$C88),SUMIFS('المبيعات اليومية'!$E$9:$E$308,'المبيعات اليومية'!$C$9:$C$308,$C88,'المبيعات اليومية'!$A$9:$A$308,"&gt;="&amp;IF($B$4="",0,$B$4),'المبيعات اليومية'!$A$9:$A$308,"&lt;="&amp;IF($B$5="",2958465,$B$5))))</f>
        <v/>
      </c>
      <c r="F88" s="19" t="str">
        <f aca="false">IF($C88="","",IF($B$4&amp;$B$5="",SUMIFS('المبيعات اليومية'!$H$9:$H$308,'المبيعات اليومية'!$C$9:$C$308,$C88),SUMIFS('المبيعات اليومية'!$H$9:$H$308,'المبيعات اليومية'!$C$9:$C$308,$C88,'المبيعات اليومية'!$A$9:$A$308,"&gt;="&amp;IF($B$4="",0,$B$4),'المبيعات اليومية'!$A$9:$A$308,"&lt;="&amp;IF($B$5="",2958465,$B$5))))</f>
        <v/>
      </c>
      <c r="G88" s="19" t="str">
        <f aca="false">IF($C88="","",IF($B$4&amp;$B$5="",SUMIFS('المبيعات اليومية'!$I$9:$I$308,'المبيعات اليومية'!$C$9:$C$308,$C88),SUMIFS('المبيعات اليومية'!$I$9:$I$308,'المبيعات اليومية'!$C$9:$C$308,$C88,'المبيعات اليومية'!$A$9:$A$308,"&gt;="&amp;IF($B$4="",0,$B$4),'المبيعات اليومية'!$A$9:$A$308,"&lt;="&amp;IF($B$5="",2958465,$B$5))))</f>
        <v/>
      </c>
      <c r="H88" s="20" t="str">
        <f aca="false">IF($C88="","",IF($B$4&amp;$B$5="",SUMIFS('المبيعات اليومية'!$J$9:$J$308,'المبيعات اليومية'!$C$9:$C$308,$C88),SUMIFS('المبيعات اليومية'!$J$9:$J$308,'المبيعات اليومية'!$C$9:$C$308,$C88,'المبيعات اليومية'!$A$9:$A$308,"&gt;="&amp;IF($B$4="",0,$B$4),'المبيعات اليومية'!$A$9:$A$308,"&lt;="&amp;IF($B$5="",2958465,$B$5))))</f>
        <v/>
      </c>
      <c r="I88" s="29" t="str">
        <f aca="false">IF(OR($C88="",$H$208=0),"",H88/$H$208)</f>
        <v/>
      </c>
      <c r="J88" s="19" t="str">
        <f aca="false">IF(OR(C88="",N(E88)=0),"",F88/E88)</f>
        <v/>
      </c>
    </row>
    <row r="89" customFormat="false" ht="15" hidden="false" customHeight="false" outlineLevel="0" collapsed="false">
      <c r="A89" s="21" t="str">
        <f aca="false">IF(C89="","",82)</f>
        <v/>
      </c>
      <c r="B89" s="21" t="str">
        <f aca="false">IF('دليل الأصناف'!$B$85="","",'دليل الأصناف'!$A$85)</f>
        <v/>
      </c>
      <c r="C89" s="4" t="str">
        <f aca="false">IF('دليل الأصناف'!$B$85="","",'دليل الأصناف'!$B$85)</f>
        <v/>
      </c>
      <c r="D89" s="27" t="str">
        <f aca="false">IF($C89="","",IF($B$4&amp;$B$5="",COUNTIFS('المبيعات اليومية'!$C$9:$C$308,$C89),COUNTIFS('المبيعات اليومية'!$C$9:$C$308,$C89,'المبيعات اليومية'!$A$9:$A$308,"&gt;="&amp;IF($B$4="",0,$B$4),'المبيعات اليومية'!$A$9:$A$308,"&lt;="&amp;IF($B$5="",2958465,$B$5))))</f>
        <v/>
      </c>
      <c r="E89" s="28" t="str">
        <f aca="false">IF($C89="","",IF($B$4&amp;$B$5="",SUMIFS('المبيعات اليومية'!$E$9:$E$308,'المبيعات اليومية'!$C$9:$C$308,$C89),SUMIFS('المبيعات اليومية'!$E$9:$E$308,'المبيعات اليومية'!$C$9:$C$308,$C89,'المبيعات اليومية'!$A$9:$A$308,"&gt;="&amp;IF($B$4="",0,$B$4),'المبيعات اليومية'!$A$9:$A$308,"&lt;="&amp;IF($B$5="",2958465,$B$5))))</f>
        <v/>
      </c>
      <c r="F89" s="19" t="str">
        <f aca="false">IF($C89="","",IF($B$4&amp;$B$5="",SUMIFS('المبيعات اليومية'!$H$9:$H$308,'المبيعات اليومية'!$C$9:$C$308,$C89),SUMIFS('المبيعات اليومية'!$H$9:$H$308,'المبيعات اليومية'!$C$9:$C$308,$C89,'المبيعات اليومية'!$A$9:$A$308,"&gt;="&amp;IF($B$4="",0,$B$4),'المبيعات اليومية'!$A$9:$A$308,"&lt;="&amp;IF($B$5="",2958465,$B$5))))</f>
        <v/>
      </c>
      <c r="G89" s="19" t="str">
        <f aca="false">IF($C89="","",IF($B$4&amp;$B$5="",SUMIFS('المبيعات اليومية'!$I$9:$I$308,'المبيعات اليومية'!$C$9:$C$308,$C89),SUMIFS('المبيعات اليومية'!$I$9:$I$308,'المبيعات اليومية'!$C$9:$C$308,$C89,'المبيعات اليومية'!$A$9:$A$308,"&gt;="&amp;IF($B$4="",0,$B$4),'المبيعات اليومية'!$A$9:$A$308,"&lt;="&amp;IF($B$5="",2958465,$B$5))))</f>
        <v/>
      </c>
      <c r="H89" s="20" t="str">
        <f aca="false">IF($C89="","",IF($B$4&amp;$B$5="",SUMIFS('المبيعات اليومية'!$J$9:$J$308,'المبيعات اليومية'!$C$9:$C$308,$C89),SUMIFS('المبيعات اليومية'!$J$9:$J$308,'المبيعات اليومية'!$C$9:$C$308,$C89,'المبيعات اليومية'!$A$9:$A$308,"&gt;="&amp;IF($B$4="",0,$B$4),'المبيعات اليومية'!$A$9:$A$308,"&lt;="&amp;IF($B$5="",2958465,$B$5))))</f>
        <v/>
      </c>
      <c r="I89" s="29" t="str">
        <f aca="false">IF(OR($C89="",$H$208=0),"",H89/$H$208)</f>
        <v/>
      </c>
      <c r="J89" s="19" t="str">
        <f aca="false">IF(OR(C89="",N(E89)=0),"",F89/E89)</f>
        <v/>
      </c>
    </row>
    <row r="90" customFormat="false" ht="15" hidden="false" customHeight="false" outlineLevel="0" collapsed="false">
      <c r="A90" s="21" t="str">
        <f aca="false">IF(C90="","",83)</f>
        <v/>
      </c>
      <c r="B90" s="21" t="str">
        <f aca="false">IF('دليل الأصناف'!$B$86="","",'دليل الأصناف'!$A$86)</f>
        <v/>
      </c>
      <c r="C90" s="4" t="str">
        <f aca="false">IF('دليل الأصناف'!$B$86="","",'دليل الأصناف'!$B$86)</f>
        <v/>
      </c>
      <c r="D90" s="27" t="str">
        <f aca="false">IF($C90="","",IF($B$4&amp;$B$5="",COUNTIFS('المبيعات اليومية'!$C$9:$C$308,$C90),COUNTIFS('المبيعات اليومية'!$C$9:$C$308,$C90,'المبيعات اليومية'!$A$9:$A$308,"&gt;="&amp;IF($B$4="",0,$B$4),'المبيعات اليومية'!$A$9:$A$308,"&lt;="&amp;IF($B$5="",2958465,$B$5))))</f>
        <v/>
      </c>
      <c r="E90" s="28" t="str">
        <f aca="false">IF($C90="","",IF($B$4&amp;$B$5="",SUMIFS('المبيعات اليومية'!$E$9:$E$308,'المبيعات اليومية'!$C$9:$C$308,$C90),SUMIFS('المبيعات اليومية'!$E$9:$E$308,'المبيعات اليومية'!$C$9:$C$308,$C90,'المبيعات اليومية'!$A$9:$A$308,"&gt;="&amp;IF($B$4="",0,$B$4),'المبيعات اليومية'!$A$9:$A$308,"&lt;="&amp;IF($B$5="",2958465,$B$5))))</f>
        <v/>
      </c>
      <c r="F90" s="19" t="str">
        <f aca="false">IF($C90="","",IF($B$4&amp;$B$5="",SUMIFS('المبيعات اليومية'!$H$9:$H$308,'المبيعات اليومية'!$C$9:$C$308,$C90),SUMIFS('المبيعات اليومية'!$H$9:$H$308,'المبيعات اليومية'!$C$9:$C$308,$C90,'المبيعات اليومية'!$A$9:$A$308,"&gt;="&amp;IF($B$4="",0,$B$4),'المبيعات اليومية'!$A$9:$A$308,"&lt;="&amp;IF($B$5="",2958465,$B$5))))</f>
        <v/>
      </c>
      <c r="G90" s="19" t="str">
        <f aca="false">IF($C90="","",IF($B$4&amp;$B$5="",SUMIFS('المبيعات اليومية'!$I$9:$I$308,'المبيعات اليومية'!$C$9:$C$308,$C90),SUMIFS('المبيعات اليومية'!$I$9:$I$308,'المبيعات اليومية'!$C$9:$C$308,$C90,'المبيعات اليومية'!$A$9:$A$308,"&gt;="&amp;IF($B$4="",0,$B$4),'المبيعات اليومية'!$A$9:$A$308,"&lt;="&amp;IF($B$5="",2958465,$B$5))))</f>
        <v/>
      </c>
      <c r="H90" s="20" t="str">
        <f aca="false">IF($C90="","",IF($B$4&amp;$B$5="",SUMIFS('المبيعات اليومية'!$J$9:$J$308,'المبيعات اليومية'!$C$9:$C$308,$C90),SUMIFS('المبيعات اليومية'!$J$9:$J$308,'المبيعات اليومية'!$C$9:$C$308,$C90,'المبيعات اليومية'!$A$9:$A$308,"&gt;="&amp;IF($B$4="",0,$B$4),'المبيعات اليومية'!$A$9:$A$308,"&lt;="&amp;IF($B$5="",2958465,$B$5))))</f>
        <v/>
      </c>
      <c r="I90" s="29" t="str">
        <f aca="false">IF(OR($C90="",$H$208=0),"",H90/$H$208)</f>
        <v/>
      </c>
      <c r="J90" s="19" t="str">
        <f aca="false">IF(OR(C90="",N(E90)=0),"",F90/E90)</f>
        <v/>
      </c>
    </row>
    <row r="91" customFormat="false" ht="15" hidden="false" customHeight="false" outlineLevel="0" collapsed="false">
      <c r="A91" s="21" t="str">
        <f aca="false">IF(C91="","",84)</f>
        <v/>
      </c>
      <c r="B91" s="21" t="str">
        <f aca="false">IF('دليل الأصناف'!$B$87="","",'دليل الأصناف'!$A$87)</f>
        <v/>
      </c>
      <c r="C91" s="4" t="str">
        <f aca="false">IF('دليل الأصناف'!$B$87="","",'دليل الأصناف'!$B$87)</f>
        <v/>
      </c>
      <c r="D91" s="27" t="str">
        <f aca="false">IF($C91="","",IF($B$4&amp;$B$5="",COUNTIFS('المبيعات اليومية'!$C$9:$C$308,$C91),COUNTIFS('المبيعات اليومية'!$C$9:$C$308,$C91,'المبيعات اليومية'!$A$9:$A$308,"&gt;="&amp;IF($B$4="",0,$B$4),'المبيعات اليومية'!$A$9:$A$308,"&lt;="&amp;IF($B$5="",2958465,$B$5))))</f>
        <v/>
      </c>
      <c r="E91" s="28" t="str">
        <f aca="false">IF($C91="","",IF($B$4&amp;$B$5="",SUMIFS('المبيعات اليومية'!$E$9:$E$308,'المبيعات اليومية'!$C$9:$C$308,$C91),SUMIFS('المبيعات اليومية'!$E$9:$E$308,'المبيعات اليومية'!$C$9:$C$308,$C91,'المبيعات اليومية'!$A$9:$A$308,"&gt;="&amp;IF($B$4="",0,$B$4),'المبيعات اليومية'!$A$9:$A$308,"&lt;="&amp;IF($B$5="",2958465,$B$5))))</f>
        <v/>
      </c>
      <c r="F91" s="19" t="str">
        <f aca="false">IF($C91="","",IF($B$4&amp;$B$5="",SUMIFS('المبيعات اليومية'!$H$9:$H$308,'المبيعات اليومية'!$C$9:$C$308,$C91),SUMIFS('المبيعات اليومية'!$H$9:$H$308,'المبيعات اليومية'!$C$9:$C$308,$C91,'المبيعات اليومية'!$A$9:$A$308,"&gt;="&amp;IF($B$4="",0,$B$4),'المبيعات اليومية'!$A$9:$A$308,"&lt;="&amp;IF($B$5="",2958465,$B$5))))</f>
        <v/>
      </c>
      <c r="G91" s="19" t="str">
        <f aca="false">IF($C91="","",IF($B$4&amp;$B$5="",SUMIFS('المبيعات اليومية'!$I$9:$I$308,'المبيعات اليومية'!$C$9:$C$308,$C91),SUMIFS('المبيعات اليومية'!$I$9:$I$308,'المبيعات اليومية'!$C$9:$C$308,$C91,'المبيعات اليومية'!$A$9:$A$308,"&gt;="&amp;IF($B$4="",0,$B$4),'المبيعات اليومية'!$A$9:$A$308,"&lt;="&amp;IF($B$5="",2958465,$B$5))))</f>
        <v/>
      </c>
      <c r="H91" s="20" t="str">
        <f aca="false">IF($C91="","",IF($B$4&amp;$B$5="",SUMIFS('المبيعات اليومية'!$J$9:$J$308,'المبيعات اليومية'!$C$9:$C$308,$C91),SUMIFS('المبيعات اليومية'!$J$9:$J$308,'المبيعات اليومية'!$C$9:$C$308,$C91,'المبيعات اليومية'!$A$9:$A$308,"&gt;="&amp;IF($B$4="",0,$B$4),'المبيعات اليومية'!$A$9:$A$308,"&lt;="&amp;IF($B$5="",2958465,$B$5))))</f>
        <v/>
      </c>
      <c r="I91" s="29" t="str">
        <f aca="false">IF(OR($C91="",$H$208=0),"",H91/$H$208)</f>
        <v/>
      </c>
      <c r="J91" s="19" t="str">
        <f aca="false">IF(OR(C91="",N(E91)=0),"",F91/E91)</f>
        <v/>
      </c>
    </row>
    <row r="92" customFormat="false" ht="15" hidden="false" customHeight="false" outlineLevel="0" collapsed="false">
      <c r="A92" s="21" t="str">
        <f aca="false">IF(C92="","",85)</f>
        <v/>
      </c>
      <c r="B92" s="21" t="str">
        <f aca="false">IF('دليل الأصناف'!$B$88="","",'دليل الأصناف'!$A$88)</f>
        <v/>
      </c>
      <c r="C92" s="4" t="str">
        <f aca="false">IF('دليل الأصناف'!$B$88="","",'دليل الأصناف'!$B$88)</f>
        <v/>
      </c>
      <c r="D92" s="27" t="str">
        <f aca="false">IF($C92="","",IF($B$4&amp;$B$5="",COUNTIFS('المبيعات اليومية'!$C$9:$C$308,$C92),COUNTIFS('المبيعات اليومية'!$C$9:$C$308,$C92,'المبيعات اليومية'!$A$9:$A$308,"&gt;="&amp;IF($B$4="",0,$B$4),'المبيعات اليومية'!$A$9:$A$308,"&lt;="&amp;IF($B$5="",2958465,$B$5))))</f>
        <v/>
      </c>
      <c r="E92" s="28" t="str">
        <f aca="false">IF($C92="","",IF($B$4&amp;$B$5="",SUMIFS('المبيعات اليومية'!$E$9:$E$308,'المبيعات اليومية'!$C$9:$C$308,$C92),SUMIFS('المبيعات اليومية'!$E$9:$E$308,'المبيعات اليومية'!$C$9:$C$308,$C92,'المبيعات اليومية'!$A$9:$A$308,"&gt;="&amp;IF($B$4="",0,$B$4),'المبيعات اليومية'!$A$9:$A$308,"&lt;="&amp;IF($B$5="",2958465,$B$5))))</f>
        <v/>
      </c>
      <c r="F92" s="19" t="str">
        <f aca="false">IF($C92="","",IF($B$4&amp;$B$5="",SUMIFS('المبيعات اليومية'!$H$9:$H$308,'المبيعات اليومية'!$C$9:$C$308,$C92),SUMIFS('المبيعات اليومية'!$H$9:$H$308,'المبيعات اليومية'!$C$9:$C$308,$C92,'المبيعات اليومية'!$A$9:$A$308,"&gt;="&amp;IF($B$4="",0,$B$4),'المبيعات اليومية'!$A$9:$A$308,"&lt;="&amp;IF($B$5="",2958465,$B$5))))</f>
        <v/>
      </c>
      <c r="G92" s="19" t="str">
        <f aca="false">IF($C92="","",IF($B$4&amp;$B$5="",SUMIFS('المبيعات اليومية'!$I$9:$I$308,'المبيعات اليومية'!$C$9:$C$308,$C92),SUMIFS('المبيعات اليومية'!$I$9:$I$308,'المبيعات اليومية'!$C$9:$C$308,$C92,'المبيعات اليومية'!$A$9:$A$308,"&gt;="&amp;IF($B$4="",0,$B$4),'المبيعات اليومية'!$A$9:$A$308,"&lt;="&amp;IF($B$5="",2958465,$B$5))))</f>
        <v/>
      </c>
      <c r="H92" s="20" t="str">
        <f aca="false">IF($C92="","",IF($B$4&amp;$B$5="",SUMIFS('المبيعات اليومية'!$J$9:$J$308,'المبيعات اليومية'!$C$9:$C$308,$C92),SUMIFS('المبيعات اليومية'!$J$9:$J$308,'المبيعات اليومية'!$C$9:$C$308,$C92,'المبيعات اليومية'!$A$9:$A$308,"&gt;="&amp;IF($B$4="",0,$B$4),'المبيعات اليومية'!$A$9:$A$308,"&lt;="&amp;IF($B$5="",2958465,$B$5))))</f>
        <v/>
      </c>
      <c r="I92" s="29" t="str">
        <f aca="false">IF(OR($C92="",$H$208=0),"",H92/$H$208)</f>
        <v/>
      </c>
      <c r="J92" s="19" t="str">
        <f aca="false">IF(OR(C92="",N(E92)=0),"",F92/E92)</f>
        <v/>
      </c>
    </row>
    <row r="93" customFormat="false" ht="15" hidden="false" customHeight="false" outlineLevel="0" collapsed="false">
      <c r="A93" s="21" t="str">
        <f aca="false">IF(C93="","",86)</f>
        <v/>
      </c>
      <c r="B93" s="21" t="str">
        <f aca="false">IF('دليل الأصناف'!$B$89="","",'دليل الأصناف'!$A$89)</f>
        <v/>
      </c>
      <c r="C93" s="4" t="str">
        <f aca="false">IF('دليل الأصناف'!$B$89="","",'دليل الأصناف'!$B$89)</f>
        <v/>
      </c>
      <c r="D93" s="27" t="str">
        <f aca="false">IF($C93="","",IF($B$4&amp;$B$5="",COUNTIFS('المبيعات اليومية'!$C$9:$C$308,$C93),COUNTIFS('المبيعات اليومية'!$C$9:$C$308,$C93,'المبيعات اليومية'!$A$9:$A$308,"&gt;="&amp;IF($B$4="",0,$B$4),'المبيعات اليومية'!$A$9:$A$308,"&lt;="&amp;IF($B$5="",2958465,$B$5))))</f>
        <v/>
      </c>
      <c r="E93" s="28" t="str">
        <f aca="false">IF($C93="","",IF($B$4&amp;$B$5="",SUMIFS('المبيعات اليومية'!$E$9:$E$308,'المبيعات اليومية'!$C$9:$C$308,$C93),SUMIFS('المبيعات اليومية'!$E$9:$E$308,'المبيعات اليومية'!$C$9:$C$308,$C93,'المبيعات اليومية'!$A$9:$A$308,"&gt;="&amp;IF($B$4="",0,$B$4),'المبيعات اليومية'!$A$9:$A$308,"&lt;="&amp;IF($B$5="",2958465,$B$5))))</f>
        <v/>
      </c>
      <c r="F93" s="19" t="str">
        <f aca="false">IF($C93="","",IF($B$4&amp;$B$5="",SUMIFS('المبيعات اليومية'!$H$9:$H$308,'المبيعات اليومية'!$C$9:$C$308,$C93),SUMIFS('المبيعات اليومية'!$H$9:$H$308,'المبيعات اليومية'!$C$9:$C$308,$C93,'المبيعات اليومية'!$A$9:$A$308,"&gt;="&amp;IF($B$4="",0,$B$4),'المبيعات اليومية'!$A$9:$A$308,"&lt;="&amp;IF($B$5="",2958465,$B$5))))</f>
        <v/>
      </c>
      <c r="G93" s="19" t="str">
        <f aca="false">IF($C93="","",IF($B$4&amp;$B$5="",SUMIFS('المبيعات اليومية'!$I$9:$I$308,'المبيعات اليومية'!$C$9:$C$308,$C93),SUMIFS('المبيعات اليومية'!$I$9:$I$308,'المبيعات اليومية'!$C$9:$C$308,$C93,'المبيعات اليومية'!$A$9:$A$308,"&gt;="&amp;IF($B$4="",0,$B$4),'المبيعات اليومية'!$A$9:$A$308,"&lt;="&amp;IF($B$5="",2958465,$B$5))))</f>
        <v/>
      </c>
      <c r="H93" s="20" t="str">
        <f aca="false">IF($C93="","",IF($B$4&amp;$B$5="",SUMIFS('المبيعات اليومية'!$J$9:$J$308,'المبيعات اليومية'!$C$9:$C$308,$C93),SUMIFS('المبيعات اليومية'!$J$9:$J$308,'المبيعات اليومية'!$C$9:$C$308,$C93,'المبيعات اليومية'!$A$9:$A$308,"&gt;="&amp;IF($B$4="",0,$B$4),'المبيعات اليومية'!$A$9:$A$308,"&lt;="&amp;IF($B$5="",2958465,$B$5))))</f>
        <v/>
      </c>
      <c r="I93" s="29" t="str">
        <f aca="false">IF(OR($C93="",$H$208=0),"",H93/$H$208)</f>
        <v/>
      </c>
      <c r="J93" s="19" t="str">
        <f aca="false">IF(OR(C93="",N(E93)=0),"",F93/E93)</f>
        <v/>
      </c>
    </row>
    <row r="94" customFormat="false" ht="15" hidden="false" customHeight="false" outlineLevel="0" collapsed="false">
      <c r="A94" s="21" t="str">
        <f aca="false">IF(C94="","",87)</f>
        <v/>
      </c>
      <c r="B94" s="21" t="str">
        <f aca="false">IF('دليل الأصناف'!$B$90="","",'دليل الأصناف'!$A$90)</f>
        <v/>
      </c>
      <c r="C94" s="4" t="str">
        <f aca="false">IF('دليل الأصناف'!$B$90="","",'دليل الأصناف'!$B$90)</f>
        <v/>
      </c>
      <c r="D94" s="27" t="str">
        <f aca="false">IF($C94="","",IF($B$4&amp;$B$5="",COUNTIFS('المبيعات اليومية'!$C$9:$C$308,$C94),COUNTIFS('المبيعات اليومية'!$C$9:$C$308,$C94,'المبيعات اليومية'!$A$9:$A$308,"&gt;="&amp;IF($B$4="",0,$B$4),'المبيعات اليومية'!$A$9:$A$308,"&lt;="&amp;IF($B$5="",2958465,$B$5))))</f>
        <v/>
      </c>
      <c r="E94" s="28" t="str">
        <f aca="false">IF($C94="","",IF($B$4&amp;$B$5="",SUMIFS('المبيعات اليومية'!$E$9:$E$308,'المبيعات اليومية'!$C$9:$C$308,$C94),SUMIFS('المبيعات اليومية'!$E$9:$E$308,'المبيعات اليومية'!$C$9:$C$308,$C94,'المبيعات اليومية'!$A$9:$A$308,"&gt;="&amp;IF($B$4="",0,$B$4),'المبيعات اليومية'!$A$9:$A$308,"&lt;="&amp;IF($B$5="",2958465,$B$5))))</f>
        <v/>
      </c>
      <c r="F94" s="19" t="str">
        <f aca="false">IF($C94="","",IF($B$4&amp;$B$5="",SUMIFS('المبيعات اليومية'!$H$9:$H$308,'المبيعات اليومية'!$C$9:$C$308,$C94),SUMIFS('المبيعات اليومية'!$H$9:$H$308,'المبيعات اليومية'!$C$9:$C$308,$C94,'المبيعات اليومية'!$A$9:$A$308,"&gt;="&amp;IF($B$4="",0,$B$4),'المبيعات اليومية'!$A$9:$A$308,"&lt;="&amp;IF($B$5="",2958465,$B$5))))</f>
        <v/>
      </c>
      <c r="G94" s="19" t="str">
        <f aca="false">IF($C94="","",IF($B$4&amp;$B$5="",SUMIFS('المبيعات اليومية'!$I$9:$I$308,'المبيعات اليومية'!$C$9:$C$308,$C94),SUMIFS('المبيعات اليومية'!$I$9:$I$308,'المبيعات اليومية'!$C$9:$C$308,$C94,'المبيعات اليومية'!$A$9:$A$308,"&gt;="&amp;IF($B$4="",0,$B$4),'المبيعات اليومية'!$A$9:$A$308,"&lt;="&amp;IF($B$5="",2958465,$B$5))))</f>
        <v/>
      </c>
      <c r="H94" s="20" t="str">
        <f aca="false">IF($C94="","",IF($B$4&amp;$B$5="",SUMIFS('المبيعات اليومية'!$J$9:$J$308,'المبيعات اليومية'!$C$9:$C$308,$C94),SUMIFS('المبيعات اليومية'!$J$9:$J$308,'المبيعات اليومية'!$C$9:$C$308,$C94,'المبيعات اليومية'!$A$9:$A$308,"&gt;="&amp;IF($B$4="",0,$B$4),'المبيعات اليومية'!$A$9:$A$308,"&lt;="&amp;IF($B$5="",2958465,$B$5))))</f>
        <v/>
      </c>
      <c r="I94" s="29" t="str">
        <f aca="false">IF(OR($C94="",$H$208=0),"",H94/$H$208)</f>
        <v/>
      </c>
      <c r="J94" s="19" t="str">
        <f aca="false">IF(OR(C94="",N(E94)=0),"",F94/E94)</f>
        <v/>
      </c>
    </row>
    <row r="95" customFormat="false" ht="15" hidden="false" customHeight="false" outlineLevel="0" collapsed="false">
      <c r="A95" s="21" t="str">
        <f aca="false">IF(C95="","",88)</f>
        <v/>
      </c>
      <c r="B95" s="21" t="str">
        <f aca="false">IF('دليل الأصناف'!$B$91="","",'دليل الأصناف'!$A$91)</f>
        <v/>
      </c>
      <c r="C95" s="4" t="str">
        <f aca="false">IF('دليل الأصناف'!$B$91="","",'دليل الأصناف'!$B$91)</f>
        <v/>
      </c>
      <c r="D95" s="27" t="str">
        <f aca="false">IF($C95="","",IF($B$4&amp;$B$5="",COUNTIFS('المبيعات اليومية'!$C$9:$C$308,$C95),COUNTIFS('المبيعات اليومية'!$C$9:$C$308,$C95,'المبيعات اليومية'!$A$9:$A$308,"&gt;="&amp;IF($B$4="",0,$B$4),'المبيعات اليومية'!$A$9:$A$308,"&lt;="&amp;IF($B$5="",2958465,$B$5))))</f>
        <v/>
      </c>
      <c r="E95" s="28" t="str">
        <f aca="false">IF($C95="","",IF($B$4&amp;$B$5="",SUMIFS('المبيعات اليومية'!$E$9:$E$308,'المبيعات اليومية'!$C$9:$C$308,$C95),SUMIFS('المبيعات اليومية'!$E$9:$E$308,'المبيعات اليومية'!$C$9:$C$308,$C95,'المبيعات اليومية'!$A$9:$A$308,"&gt;="&amp;IF($B$4="",0,$B$4),'المبيعات اليومية'!$A$9:$A$308,"&lt;="&amp;IF($B$5="",2958465,$B$5))))</f>
        <v/>
      </c>
      <c r="F95" s="19" t="str">
        <f aca="false">IF($C95="","",IF($B$4&amp;$B$5="",SUMIFS('المبيعات اليومية'!$H$9:$H$308,'المبيعات اليومية'!$C$9:$C$308,$C95),SUMIFS('المبيعات اليومية'!$H$9:$H$308,'المبيعات اليومية'!$C$9:$C$308,$C95,'المبيعات اليومية'!$A$9:$A$308,"&gt;="&amp;IF($B$4="",0,$B$4),'المبيعات اليومية'!$A$9:$A$308,"&lt;="&amp;IF($B$5="",2958465,$B$5))))</f>
        <v/>
      </c>
      <c r="G95" s="19" t="str">
        <f aca="false">IF($C95="","",IF($B$4&amp;$B$5="",SUMIFS('المبيعات اليومية'!$I$9:$I$308,'المبيعات اليومية'!$C$9:$C$308,$C95),SUMIFS('المبيعات اليومية'!$I$9:$I$308,'المبيعات اليومية'!$C$9:$C$308,$C95,'المبيعات اليومية'!$A$9:$A$308,"&gt;="&amp;IF($B$4="",0,$B$4),'المبيعات اليومية'!$A$9:$A$308,"&lt;="&amp;IF($B$5="",2958465,$B$5))))</f>
        <v/>
      </c>
      <c r="H95" s="20" t="str">
        <f aca="false">IF($C95="","",IF($B$4&amp;$B$5="",SUMIFS('المبيعات اليومية'!$J$9:$J$308,'المبيعات اليومية'!$C$9:$C$308,$C95),SUMIFS('المبيعات اليومية'!$J$9:$J$308,'المبيعات اليومية'!$C$9:$C$308,$C95,'المبيعات اليومية'!$A$9:$A$308,"&gt;="&amp;IF($B$4="",0,$B$4),'المبيعات اليومية'!$A$9:$A$308,"&lt;="&amp;IF($B$5="",2958465,$B$5))))</f>
        <v/>
      </c>
      <c r="I95" s="29" t="str">
        <f aca="false">IF(OR($C95="",$H$208=0),"",H95/$H$208)</f>
        <v/>
      </c>
      <c r="J95" s="19" t="str">
        <f aca="false">IF(OR(C95="",N(E95)=0),"",F95/E95)</f>
        <v/>
      </c>
    </row>
    <row r="96" customFormat="false" ht="15" hidden="false" customHeight="false" outlineLevel="0" collapsed="false">
      <c r="A96" s="21" t="str">
        <f aca="false">IF(C96="","",89)</f>
        <v/>
      </c>
      <c r="B96" s="21" t="str">
        <f aca="false">IF('دليل الأصناف'!$B$92="","",'دليل الأصناف'!$A$92)</f>
        <v/>
      </c>
      <c r="C96" s="4" t="str">
        <f aca="false">IF('دليل الأصناف'!$B$92="","",'دليل الأصناف'!$B$92)</f>
        <v/>
      </c>
      <c r="D96" s="27" t="str">
        <f aca="false">IF($C96="","",IF($B$4&amp;$B$5="",COUNTIFS('المبيعات اليومية'!$C$9:$C$308,$C96),COUNTIFS('المبيعات اليومية'!$C$9:$C$308,$C96,'المبيعات اليومية'!$A$9:$A$308,"&gt;="&amp;IF($B$4="",0,$B$4),'المبيعات اليومية'!$A$9:$A$308,"&lt;="&amp;IF($B$5="",2958465,$B$5))))</f>
        <v/>
      </c>
      <c r="E96" s="28" t="str">
        <f aca="false">IF($C96="","",IF($B$4&amp;$B$5="",SUMIFS('المبيعات اليومية'!$E$9:$E$308,'المبيعات اليومية'!$C$9:$C$308,$C96),SUMIFS('المبيعات اليومية'!$E$9:$E$308,'المبيعات اليومية'!$C$9:$C$308,$C96,'المبيعات اليومية'!$A$9:$A$308,"&gt;="&amp;IF($B$4="",0,$B$4),'المبيعات اليومية'!$A$9:$A$308,"&lt;="&amp;IF($B$5="",2958465,$B$5))))</f>
        <v/>
      </c>
      <c r="F96" s="19" t="str">
        <f aca="false">IF($C96="","",IF($B$4&amp;$B$5="",SUMIFS('المبيعات اليومية'!$H$9:$H$308,'المبيعات اليومية'!$C$9:$C$308,$C96),SUMIFS('المبيعات اليومية'!$H$9:$H$308,'المبيعات اليومية'!$C$9:$C$308,$C96,'المبيعات اليومية'!$A$9:$A$308,"&gt;="&amp;IF($B$4="",0,$B$4),'المبيعات اليومية'!$A$9:$A$308,"&lt;="&amp;IF($B$5="",2958465,$B$5))))</f>
        <v/>
      </c>
      <c r="G96" s="19" t="str">
        <f aca="false">IF($C96="","",IF($B$4&amp;$B$5="",SUMIFS('المبيعات اليومية'!$I$9:$I$308,'المبيعات اليومية'!$C$9:$C$308,$C96),SUMIFS('المبيعات اليومية'!$I$9:$I$308,'المبيعات اليومية'!$C$9:$C$308,$C96,'المبيعات اليومية'!$A$9:$A$308,"&gt;="&amp;IF($B$4="",0,$B$4),'المبيعات اليومية'!$A$9:$A$308,"&lt;="&amp;IF($B$5="",2958465,$B$5))))</f>
        <v/>
      </c>
      <c r="H96" s="20" t="str">
        <f aca="false">IF($C96="","",IF($B$4&amp;$B$5="",SUMIFS('المبيعات اليومية'!$J$9:$J$308,'المبيعات اليومية'!$C$9:$C$308,$C96),SUMIFS('المبيعات اليومية'!$J$9:$J$308,'المبيعات اليومية'!$C$9:$C$308,$C96,'المبيعات اليومية'!$A$9:$A$308,"&gt;="&amp;IF($B$4="",0,$B$4),'المبيعات اليومية'!$A$9:$A$308,"&lt;="&amp;IF($B$5="",2958465,$B$5))))</f>
        <v/>
      </c>
      <c r="I96" s="29" t="str">
        <f aca="false">IF(OR($C96="",$H$208=0),"",H96/$H$208)</f>
        <v/>
      </c>
      <c r="J96" s="19" t="str">
        <f aca="false">IF(OR(C96="",N(E96)=0),"",F96/E96)</f>
        <v/>
      </c>
    </row>
    <row r="97" customFormat="false" ht="15" hidden="false" customHeight="false" outlineLevel="0" collapsed="false">
      <c r="A97" s="21" t="str">
        <f aca="false">IF(C97="","",90)</f>
        <v/>
      </c>
      <c r="B97" s="21" t="str">
        <f aca="false">IF('دليل الأصناف'!$B$93="","",'دليل الأصناف'!$A$93)</f>
        <v/>
      </c>
      <c r="C97" s="4" t="str">
        <f aca="false">IF('دليل الأصناف'!$B$93="","",'دليل الأصناف'!$B$93)</f>
        <v/>
      </c>
      <c r="D97" s="27" t="str">
        <f aca="false">IF($C97="","",IF($B$4&amp;$B$5="",COUNTIFS('المبيعات اليومية'!$C$9:$C$308,$C97),COUNTIFS('المبيعات اليومية'!$C$9:$C$308,$C97,'المبيعات اليومية'!$A$9:$A$308,"&gt;="&amp;IF($B$4="",0,$B$4),'المبيعات اليومية'!$A$9:$A$308,"&lt;="&amp;IF($B$5="",2958465,$B$5))))</f>
        <v/>
      </c>
      <c r="E97" s="28" t="str">
        <f aca="false">IF($C97="","",IF($B$4&amp;$B$5="",SUMIFS('المبيعات اليومية'!$E$9:$E$308,'المبيعات اليومية'!$C$9:$C$308,$C97),SUMIFS('المبيعات اليومية'!$E$9:$E$308,'المبيعات اليومية'!$C$9:$C$308,$C97,'المبيعات اليومية'!$A$9:$A$308,"&gt;="&amp;IF($B$4="",0,$B$4),'المبيعات اليومية'!$A$9:$A$308,"&lt;="&amp;IF($B$5="",2958465,$B$5))))</f>
        <v/>
      </c>
      <c r="F97" s="19" t="str">
        <f aca="false">IF($C97="","",IF($B$4&amp;$B$5="",SUMIFS('المبيعات اليومية'!$H$9:$H$308,'المبيعات اليومية'!$C$9:$C$308,$C97),SUMIFS('المبيعات اليومية'!$H$9:$H$308,'المبيعات اليومية'!$C$9:$C$308,$C97,'المبيعات اليومية'!$A$9:$A$308,"&gt;="&amp;IF($B$4="",0,$B$4),'المبيعات اليومية'!$A$9:$A$308,"&lt;="&amp;IF($B$5="",2958465,$B$5))))</f>
        <v/>
      </c>
      <c r="G97" s="19" t="str">
        <f aca="false">IF($C97="","",IF($B$4&amp;$B$5="",SUMIFS('المبيعات اليومية'!$I$9:$I$308,'المبيعات اليومية'!$C$9:$C$308,$C97),SUMIFS('المبيعات اليومية'!$I$9:$I$308,'المبيعات اليومية'!$C$9:$C$308,$C97,'المبيعات اليومية'!$A$9:$A$308,"&gt;="&amp;IF($B$4="",0,$B$4),'المبيعات اليومية'!$A$9:$A$308,"&lt;="&amp;IF($B$5="",2958465,$B$5))))</f>
        <v/>
      </c>
      <c r="H97" s="20" t="str">
        <f aca="false">IF($C97="","",IF($B$4&amp;$B$5="",SUMIFS('المبيعات اليومية'!$J$9:$J$308,'المبيعات اليومية'!$C$9:$C$308,$C97),SUMIFS('المبيعات اليومية'!$J$9:$J$308,'المبيعات اليومية'!$C$9:$C$308,$C97,'المبيعات اليومية'!$A$9:$A$308,"&gt;="&amp;IF($B$4="",0,$B$4),'المبيعات اليومية'!$A$9:$A$308,"&lt;="&amp;IF($B$5="",2958465,$B$5))))</f>
        <v/>
      </c>
      <c r="I97" s="29" t="str">
        <f aca="false">IF(OR($C97="",$H$208=0),"",H97/$H$208)</f>
        <v/>
      </c>
      <c r="J97" s="19" t="str">
        <f aca="false">IF(OR(C97="",N(E97)=0),"",F97/E97)</f>
        <v/>
      </c>
    </row>
    <row r="98" customFormat="false" ht="15" hidden="false" customHeight="false" outlineLevel="0" collapsed="false">
      <c r="A98" s="21" t="str">
        <f aca="false">IF(C98="","",91)</f>
        <v/>
      </c>
      <c r="B98" s="21" t="str">
        <f aca="false">IF('دليل الأصناف'!$B$94="","",'دليل الأصناف'!$A$94)</f>
        <v/>
      </c>
      <c r="C98" s="4" t="str">
        <f aca="false">IF('دليل الأصناف'!$B$94="","",'دليل الأصناف'!$B$94)</f>
        <v/>
      </c>
      <c r="D98" s="27" t="str">
        <f aca="false">IF($C98="","",IF($B$4&amp;$B$5="",COUNTIFS('المبيعات اليومية'!$C$9:$C$308,$C98),COUNTIFS('المبيعات اليومية'!$C$9:$C$308,$C98,'المبيعات اليومية'!$A$9:$A$308,"&gt;="&amp;IF($B$4="",0,$B$4),'المبيعات اليومية'!$A$9:$A$308,"&lt;="&amp;IF($B$5="",2958465,$B$5))))</f>
        <v/>
      </c>
      <c r="E98" s="28" t="str">
        <f aca="false">IF($C98="","",IF($B$4&amp;$B$5="",SUMIFS('المبيعات اليومية'!$E$9:$E$308,'المبيعات اليومية'!$C$9:$C$308,$C98),SUMIFS('المبيعات اليومية'!$E$9:$E$308,'المبيعات اليومية'!$C$9:$C$308,$C98,'المبيعات اليومية'!$A$9:$A$308,"&gt;="&amp;IF($B$4="",0,$B$4),'المبيعات اليومية'!$A$9:$A$308,"&lt;="&amp;IF($B$5="",2958465,$B$5))))</f>
        <v/>
      </c>
      <c r="F98" s="19" t="str">
        <f aca="false">IF($C98="","",IF($B$4&amp;$B$5="",SUMIFS('المبيعات اليومية'!$H$9:$H$308,'المبيعات اليومية'!$C$9:$C$308,$C98),SUMIFS('المبيعات اليومية'!$H$9:$H$308,'المبيعات اليومية'!$C$9:$C$308,$C98,'المبيعات اليومية'!$A$9:$A$308,"&gt;="&amp;IF($B$4="",0,$B$4),'المبيعات اليومية'!$A$9:$A$308,"&lt;="&amp;IF($B$5="",2958465,$B$5))))</f>
        <v/>
      </c>
      <c r="G98" s="19" t="str">
        <f aca="false">IF($C98="","",IF($B$4&amp;$B$5="",SUMIFS('المبيعات اليومية'!$I$9:$I$308,'المبيعات اليومية'!$C$9:$C$308,$C98),SUMIFS('المبيعات اليومية'!$I$9:$I$308,'المبيعات اليومية'!$C$9:$C$308,$C98,'المبيعات اليومية'!$A$9:$A$308,"&gt;="&amp;IF($B$4="",0,$B$4),'المبيعات اليومية'!$A$9:$A$308,"&lt;="&amp;IF($B$5="",2958465,$B$5))))</f>
        <v/>
      </c>
      <c r="H98" s="20" t="str">
        <f aca="false">IF($C98="","",IF($B$4&amp;$B$5="",SUMIFS('المبيعات اليومية'!$J$9:$J$308,'المبيعات اليومية'!$C$9:$C$308,$C98),SUMIFS('المبيعات اليومية'!$J$9:$J$308,'المبيعات اليومية'!$C$9:$C$308,$C98,'المبيعات اليومية'!$A$9:$A$308,"&gt;="&amp;IF($B$4="",0,$B$4),'المبيعات اليومية'!$A$9:$A$308,"&lt;="&amp;IF($B$5="",2958465,$B$5))))</f>
        <v/>
      </c>
      <c r="I98" s="29" t="str">
        <f aca="false">IF(OR($C98="",$H$208=0),"",H98/$H$208)</f>
        <v/>
      </c>
      <c r="J98" s="19" t="str">
        <f aca="false">IF(OR(C98="",N(E98)=0),"",F98/E98)</f>
        <v/>
      </c>
    </row>
    <row r="99" customFormat="false" ht="15" hidden="false" customHeight="false" outlineLevel="0" collapsed="false">
      <c r="A99" s="21" t="str">
        <f aca="false">IF(C99="","",92)</f>
        <v/>
      </c>
      <c r="B99" s="21" t="str">
        <f aca="false">IF('دليل الأصناف'!$B$95="","",'دليل الأصناف'!$A$95)</f>
        <v/>
      </c>
      <c r="C99" s="4" t="str">
        <f aca="false">IF('دليل الأصناف'!$B$95="","",'دليل الأصناف'!$B$95)</f>
        <v/>
      </c>
      <c r="D99" s="27" t="str">
        <f aca="false">IF($C99="","",IF($B$4&amp;$B$5="",COUNTIFS('المبيعات اليومية'!$C$9:$C$308,$C99),COUNTIFS('المبيعات اليومية'!$C$9:$C$308,$C99,'المبيعات اليومية'!$A$9:$A$308,"&gt;="&amp;IF($B$4="",0,$B$4),'المبيعات اليومية'!$A$9:$A$308,"&lt;="&amp;IF($B$5="",2958465,$B$5))))</f>
        <v/>
      </c>
      <c r="E99" s="28" t="str">
        <f aca="false">IF($C99="","",IF($B$4&amp;$B$5="",SUMIFS('المبيعات اليومية'!$E$9:$E$308,'المبيعات اليومية'!$C$9:$C$308,$C99),SUMIFS('المبيعات اليومية'!$E$9:$E$308,'المبيعات اليومية'!$C$9:$C$308,$C99,'المبيعات اليومية'!$A$9:$A$308,"&gt;="&amp;IF($B$4="",0,$B$4),'المبيعات اليومية'!$A$9:$A$308,"&lt;="&amp;IF($B$5="",2958465,$B$5))))</f>
        <v/>
      </c>
      <c r="F99" s="19" t="str">
        <f aca="false">IF($C99="","",IF($B$4&amp;$B$5="",SUMIFS('المبيعات اليومية'!$H$9:$H$308,'المبيعات اليومية'!$C$9:$C$308,$C99),SUMIFS('المبيعات اليومية'!$H$9:$H$308,'المبيعات اليومية'!$C$9:$C$308,$C99,'المبيعات اليومية'!$A$9:$A$308,"&gt;="&amp;IF($B$4="",0,$B$4),'المبيعات اليومية'!$A$9:$A$308,"&lt;="&amp;IF($B$5="",2958465,$B$5))))</f>
        <v/>
      </c>
      <c r="G99" s="19" t="str">
        <f aca="false">IF($C99="","",IF($B$4&amp;$B$5="",SUMIFS('المبيعات اليومية'!$I$9:$I$308,'المبيعات اليومية'!$C$9:$C$308,$C99),SUMIFS('المبيعات اليومية'!$I$9:$I$308,'المبيعات اليومية'!$C$9:$C$308,$C99,'المبيعات اليومية'!$A$9:$A$308,"&gt;="&amp;IF($B$4="",0,$B$4),'المبيعات اليومية'!$A$9:$A$308,"&lt;="&amp;IF($B$5="",2958465,$B$5))))</f>
        <v/>
      </c>
      <c r="H99" s="20" t="str">
        <f aca="false">IF($C99="","",IF($B$4&amp;$B$5="",SUMIFS('المبيعات اليومية'!$J$9:$J$308,'المبيعات اليومية'!$C$9:$C$308,$C99),SUMIFS('المبيعات اليومية'!$J$9:$J$308,'المبيعات اليومية'!$C$9:$C$308,$C99,'المبيعات اليومية'!$A$9:$A$308,"&gt;="&amp;IF($B$4="",0,$B$4),'المبيعات اليومية'!$A$9:$A$308,"&lt;="&amp;IF($B$5="",2958465,$B$5))))</f>
        <v/>
      </c>
      <c r="I99" s="29" t="str">
        <f aca="false">IF(OR($C99="",$H$208=0),"",H99/$H$208)</f>
        <v/>
      </c>
      <c r="J99" s="19" t="str">
        <f aca="false">IF(OR(C99="",N(E99)=0),"",F99/E99)</f>
        <v/>
      </c>
    </row>
    <row r="100" customFormat="false" ht="15" hidden="false" customHeight="false" outlineLevel="0" collapsed="false">
      <c r="A100" s="21" t="str">
        <f aca="false">IF(C100="","",93)</f>
        <v/>
      </c>
      <c r="B100" s="21" t="str">
        <f aca="false">IF('دليل الأصناف'!$B$96="","",'دليل الأصناف'!$A$96)</f>
        <v/>
      </c>
      <c r="C100" s="4" t="str">
        <f aca="false">IF('دليل الأصناف'!$B$96="","",'دليل الأصناف'!$B$96)</f>
        <v/>
      </c>
      <c r="D100" s="27" t="str">
        <f aca="false">IF($C100="","",IF($B$4&amp;$B$5="",COUNTIFS('المبيعات اليومية'!$C$9:$C$308,$C100),COUNTIFS('المبيعات اليومية'!$C$9:$C$308,$C100,'المبيعات اليومية'!$A$9:$A$308,"&gt;="&amp;IF($B$4="",0,$B$4),'المبيعات اليومية'!$A$9:$A$308,"&lt;="&amp;IF($B$5="",2958465,$B$5))))</f>
        <v/>
      </c>
      <c r="E100" s="28" t="str">
        <f aca="false">IF($C100="","",IF($B$4&amp;$B$5="",SUMIFS('المبيعات اليومية'!$E$9:$E$308,'المبيعات اليومية'!$C$9:$C$308,$C100),SUMIFS('المبيعات اليومية'!$E$9:$E$308,'المبيعات اليومية'!$C$9:$C$308,$C100,'المبيعات اليومية'!$A$9:$A$308,"&gt;="&amp;IF($B$4="",0,$B$4),'المبيعات اليومية'!$A$9:$A$308,"&lt;="&amp;IF($B$5="",2958465,$B$5))))</f>
        <v/>
      </c>
      <c r="F100" s="19" t="str">
        <f aca="false">IF($C100="","",IF($B$4&amp;$B$5="",SUMIFS('المبيعات اليومية'!$H$9:$H$308,'المبيعات اليومية'!$C$9:$C$308,$C100),SUMIFS('المبيعات اليومية'!$H$9:$H$308,'المبيعات اليومية'!$C$9:$C$308,$C100,'المبيعات اليومية'!$A$9:$A$308,"&gt;="&amp;IF($B$4="",0,$B$4),'المبيعات اليومية'!$A$9:$A$308,"&lt;="&amp;IF($B$5="",2958465,$B$5))))</f>
        <v/>
      </c>
      <c r="G100" s="19" t="str">
        <f aca="false">IF($C100="","",IF($B$4&amp;$B$5="",SUMIFS('المبيعات اليومية'!$I$9:$I$308,'المبيعات اليومية'!$C$9:$C$308,$C100),SUMIFS('المبيعات اليومية'!$I$9:$I$308,'المبيعات اليومية'!$C$9:$C$308,$C100,'المبيعات اليومية'!$A$9:$A$308,"&gt;="&amp;IF($B$4="",0,$B$4),'المبيعات اليومية'!$A$9:$A$308,"&lt;="&amp;IF($B$5="",2958465,$B$5))))</f>
        <v/>
      </c>
      <c r="H100" s="20" t="str">
        <f aca="false">IF($C100="","",IF($B$4&amp;$B$5="",SUMIFS('المبيعات اليومية'!$J$9:$J$308,'المبيعات اليومية'!$C$9:$C$308,$C100),SUMIFS('المبيعات اليومية'!$J$9:$J$308,'المبيعات اليومية'!$C$9:$C$308,$C100,'المبيعات اليومية'!$A$9:$A$308,"&gt;="&amp;IF($B$4="",0,$B$4),'المبيعات اليومية'!$A$9:$A$308,"&lt;="&amp;IF($B$5="",2958465,$B$5))))</f>
        <v/>
      </c>
      <c r="I100" s="29" t="str">
        <f aca="false">IF(OR($C100="",$H$208=0),"",H100/$H$208)</f>
        <v/>
      </c>
      <c r="J100" s="19" t="str">
        <f aca="false">IF(OR(C100="",N(E100)=0),"",F100/E100)</f>
        <v/>
      </c>
    </row>
    <row r="101" customFormat="false" ht="15" hidden="false" customHeight="false" outlineLevel="0" collapsed="false">
      <c r="A101" s="21" t="str">
        <f aca="false">IF(C101="","",94)</f>
        <v/>
      </c>
      <c r="B101" s="21" t="str">
        <f aca="false">IF('دليل الأصناف'!$B$97="","",'دليل الأصناف'!$A$97)</f>
        <v/>
      </c>
      <c r="C101" s="4" t="str">
        <f aca="false">IF('دليل الأصناف'!$B$97="","",'دليل الأصناف'!$B$97)</f>
        <v/>
      </c>
      <c r="D101" s="27" t="str">
        <f aca="false">IF($C101="","",IF($B$4&amp;$B$5="",COUNTIFS('المبيعات اليومية'!$C$9:$C$308,$C101),COUNTIFS('المبيعات اليومية'!$C$9:$C$308,$C101,'المبيعات اليومية'!$A$9:$A$308,"&gt;="&amp;IF($B$4="",0,$B$4),'المبيعات اليومية'!$A$9:$A$308,"&lt;="&amp;IF($B$5="",2958465,$B$5))))</f>
        <v/>
      </c>
      <c r="E101" s="28" t="str">
        <f aca="false">IF($C101="","",IF($B$4&amp;$B$5="",SUMIFS('المبيعات اليومية'!$E$9:$E$308,'المبيعات اليومية'!$C$9:$C$308,$C101),SUMIFS('المبيعات اليومية'!$E$9:$E$308,'المبيعات اليومية'!$C$9:$C$308,$C101,'المبيعات اليومية'!$A$9:$A$308,"&gt;="&amp;IF($B$4="",0,$B$4),'المبيعات اليومية'!$A$9:$A$308,"&lt;="&amp;IF($B$5="",2958465,$B$5))))</f>
        <v/>
      </c>
      <c r="F101" s="19" t="str">
        <f aca="false">IF($C101="","",IF($B$4&amp;$B$5="",SUMIFS('المبيعات اليومية'!$H$9:$H$308,'المبيعات اليومية'!$C$9:$C$308,$C101),SUMIFS('المبيعات اليومية'!$H$9:$H$308,'المبيعات اليومية'!$C$9:$C$308,$C101,'المبيعات اليومية'!$A$9:$A$308,"&gt;="&amp;IF($B$4="",0,$B$4),'المبيعات اليومية'!$A$9:$A$308,"&lt;="&amp;IF($B$5="",2958465,$B$5))))</f>
        <v/>
      </c>
      <c r="G101" s="19" t="str">
        <f aca="false">IF($C101="","",IF($B$4&amp;$B$5="",SUMIFS('المبيعات اليومية'!$I$9:$I$308,'المبيعات اليومية'!$C$9:$C$308,$C101),SUMIFS('المبيعات اليومية'!$I$9:$I$308,'المبيعات اليومية'!$C$9:$C$308,$C101,'المبيعات اليومية'!$A$9:$A$308,"&gt;="&amp;IF($B$4="",0,$B$4),'المبيعات اليومية'!$A$9:$A$308,"&lt;="&amp;IF($B$5="",2958465,$B$5))))</f>
        <v/>
      </c>
      <c r="H101" s="20" t="str">
        <f aca="false">IF($C101="","",IF($B$4&amp;$B$5="",SUMIFS('المبيعات اليومية'!$J$9:$J$308,'المبيعات اليومية'!$C$9:$C$308,$C101),SUMIFS('المبيعات اليومية'!$J$9:$J$308,'المبيعات اليومية'!$C$9:$C$308,$C101,'المبيعات اليومية'!$A$9:$A$308,"&gt;="&amp;IF($B$4="",0,$B$4),'المبيعات اليومية'!$A$9:$A$308,"&lt;="&amp;IF($B$5="",2958465,$B$5))))</f>
        <v/>
      </c>
      <c r="I101" s="29" t="str">
        <f aca="false">IF(OR($C101="",$H$208=0),"",H101/$H$208)</f>
        <v/>
      </c>
      <c r="J101" s="19" t="str">
        <f aca="false">IF(OR(C101="",N(E101)=0),"",F101/E101)</f>
        <v/>
      </c>
    </row>
    <row r="102" customFormat="false" ht="15" hidden="false" customHeight="false" outlineLevel="0" collapsed="false">
      <c r="A102" s="21" t="str">
        <f aca="false">IF(C102="","",95)</f>
        <v/>
      </c>
      <c r="B102" s="21" t="str">
        <f aca="false">IF('دليل الأصناف'!$B$98="","",'دليل الأصناف'!$A$98)</f>
        <v/>
      </c>
      <c r="C102" s="4" t="str">
        <f aca="false">IF('دليل الأصناف'!$B$98="","",'دليل الأصناف'!$B$98)</f>
        <v/>
      </c>
      <c r="D102" s="27" t="str">
        <f aca="false">IF($C102="","",IF($B$4&amp;$B$5="",COUNTIFS('المبيعات اليومية'!$C$9:$C$308,$C102),COUNTIFS('المبيعات اليومية'!$C$9:$C$308,$C102,'المبيعات اليومية'!$A$9:$A$308,"&gt;="&amp;IF($B$4="",0,$B$4),'المبيعات اليومية'!$A$9:$A$308,"&lt;="&amp;IF($B$5="",2958465,$B$5))))</f>
        <v/>
      </c>
      <c r="E102" s="28" t="str">
        <f aca="false">IF($C102="","",IF($B$4&amp;$B$5="",SUMIFS('المبيعات اليومية'!$E$9:$E$308,'المبيعات اليومية'!$C$9:$C$308,$C102),SUMIFS('المبيعات اليومية'!$E$9:$E$308,'المبيعات اليومية'!$C$9:$C$308,$C102,'المبيعات اليومية'!$A$9:$A$308,"&gt;="&amp;IF($B$4="",0,$B$4),'المبيعات اليومية'!$A$9:$A$308,"&lt;="&amp;IF($B$5="",2958465,$B$5))))</f>
        <v/>
      </c>
      <c r="F102" s="19" t="str">
        <f aca="false">IF($C102="","",IF($B$4&amp;$B$5="",SUMIFS('المبيعات اليومية'!$H$9:$H$308,'المبيعات اليومية'!$C$9:$C$308,$C102),SUMIFS('المبيعات اليومية'!$H$9:$H$308,'المبيعات اليومية'!$C$9:$C$308,$C102,'المبيعات اليومية'!$A$9:$A$308,"&gt;="&amp;IF($B$4="",0,$B$4),'المبيعات اليومية'!$A$9:$A$308,"&lt;="&amp;IF($B$5="",2958465,$B$5))))</f>
        <v/>
      </c>
      <c r="G102" s="19" t="str">
        <f aca="false">IF($C102="","",IF($B$4&amp;$B$5="",SUMIFS('المبيعات اليومية'!$I$9:$I$308,'المبيعات اليومية'!$C$9:$C$308,$C102),SUMIFS('المبيعات اليومية'!$I$9:$I$308,'المبيعات اليومية'!$C$9:$C$308,$C102,'المبيعات اليومية'!$A$9:$A$308,"&gt;="&amp;IF($B$4="",0,$B$4),'المبيعات اليومية'!$A$9:$A$308,"&lt;="&amp;IF($B$5="",2958465,$B$5))))</f>
        <v/>
      </c>
      <c r="H102" s="20" t="str">
        <f aca="false">IF($C102="","",IF($B$4&amp;$B$5="",SUMIFS('المبيعات اليومية'!$J$9:$J$308,'المبيعات اليومية'!$C$9:$C$308,$C102),SUMIFS('المبيعات اليومية'!$J$9:$J$308,'المبيعات اليومية'!$C$9:$C$308,$C102,'المبيعات اليومية'!$A$9:$A$308,"&gt;="&amp;IF($B$4="",0,$B$4),'المبيعات اليومية'!$A$9:$A$308,"&lt;="&amp;IF($B$5="",2958465,$B$5))))</f>
        <v/>
      </c>
      <c r="I102" s="29" t="str">
        <f aca="false">IF(OR($C102="",$H$208=0),"",H102/$H$208)</f>
        <v/>
      </c>
      <c r="J102" s="19" t="str">
        <f aca="false">IF(OR(C102="",N(E102)=0),"",F102/E102)</f>
        <v/>
      </c>
    </row>
    <row r="103" customFormat="false" ht="15" hidden="false" customHeight="false" outlineLevel="0" collapsed="false">
      <c r="A103" s="21" t="str">
        <f aca="false">IF(C103="","",96)</f>
        <v/>
      </c>
      <c r="B103" s="21" t="str">
        <f aca="false">IF('دليل الأصناف'!$B$99="","",'دليل الأصناف'!$A$99)</f>
        <v/>
      </c>
      <c r="C103" s="4" t="str">
        <f aca="false">IF('دليل الأصناف'!$B$99="","",'دليل الأصناف'!$B$99)</f>
        <v/>
      </c>
      <c r="D103" s="27" t="str">
        <f aca="false">IF($C103="","",IF($B$4&amp;$B$5="",COUNTIFS('المبيعات اليومية'!$C$9:$C$308,$C103),COUNTIFS('المبيعات اليومية'!$C$9:$C$308,$C103,'المبيعات اليومية'!$A$9:$A$308,"&gt;="&amp;IF($B$4="",0,$B$4),'المبيعات اليومية'!$A$9:$A$308,"&lt;="&amp;IF($B$5="",2958465,$B$5))))</f>
        <v/>
      </c>
      <c r="E103" s="28" t="str">
        <f aca="false">IF($C103="","",IF($B$4&amp;$B$5="",SUMIFS('المبيعات اليومية'!$E$9:$E$308,'المبيعات اليومية'!$C$9:$C$308,$C103),SUMIFS('المبيعات اليومية'!$E$9:$E$308,'المبيعات اليومية'!$C$9:$C$308,$C103,'المبيعات اليومية'!$A$9:$A$308,"&gt;="&amp;IF($B$4="",0,$B$4),'المبيعات اليومية'!$A$9:$A$308,"&lt;="&amp;IF($B$5="",2958465,$B$5))))</f>
        <v/>
      </c>
      <c r="F103" s="19" t="str">
        <f aca="false">IF($C103="","",IF($B$4&amp;$B$5="",SUMIFS('المبيعات اليومية'!$H$9:$H$308,'المبيعات اليومية'!$C$9:$C$308,$C103),SUMIFS('المبيعات اليومية'!$H$9:$H$308,'المبيعات اليومية'!$C$9:$C$308,$C103,'المبيعات اليومية'!$A$9:$A$308,"&gt;="&amp;IF($B$4="",0,$B$4),'المبيعات اليومية'!$A$9:$A$308,"&lt;="&amp;IF($B$5="",2958465,$B$5))))</f>
        <v/>
      </c>
      <c r="G103" s="19" t="str">
        <f aca="false">IF($C103="","",IF($B$4&amp;$B$5="",SUMIFS('المبيعات اليومية'!$I$9:$I$308,'المبيعات اليومية'!$C$9:$C$308,$C103),SUMIFS('المبيعات اليومية'!$I$9:$I$308,'المبيعات اليومية'!$C$9:$C$308,$C103,'المبيعات اليومية'!$A$9:$A$308,"&gt;="&amp;IF($B$4="",0,$B$4),'المبيعات اليومية'!$A$9:$A$308,"&lt;="&amp;IF($B$5="",2958465,$B$5))))</f>
        <v/>
      </c>
      <c r="H103" s="20" t="str">
        <f aca="false">IF($C103="","",IF($B$4&amp;$B$5="",SUMIFS('المبيعات اليومية'!$J$9:$J$308,'المبيعات اليومية'!$C$9:$C$308,$C103),SUMIFS('المبيعات اليومية'!$J$9:$J$308,'المبيعات اليومية'!$C$9:$C$308,$C103,'المبيعات اليومية'!$A$9:$A$308,"&gt;="&amp;IF($B$4="",0,$B$4),'المبيعات اليومية'!$A$9:$A$308,"&lt;="&amp;IF($B$5="",2958465,$B$5))))</f>
        <v/>
      </c>
      <c r="I103" s="29" t="str">
        <f aca="false">IF(OR($C103="",$H$208=0),"",H103/$H$208)</f>
        <v/>
      </c>
      <c r="J103" s="19" t="str">
        <f aca="false">IF(OR(C103="",N(E103)=0),"",F103/E103)</f>
        <v/>
      </c>
    </row>
    <row r="104" customFormat="false" ht="15" hidden="false" customHeight="false" outlineLevel="0" collapsed="false">
      <c r="A104" s="21" t="str">
        <f aca="false">IF(C104="","",97)</f>
        <v/>
      </c>
      <c r="B104" s="21" t="str">
        <f aca="false">IF('دليل الأصناف'!$B$100="","",'دليل الأصناف'!$A$100)</f>
        <v/>
      </c>
      <c r="C104" s="4" t="str">
        <f aca="false">IF('دليل الأصناف'!$B$100="","",'دليل الأصناف'!$B$100)</f>
        <v/>
      </c>
      <c r="D104" s="27" t="str">
        <f aca="false">IF($C104="","",IF($B$4&amp;$B$5="",COUNTIFS('المبيعات اليومية'!$C$9:$C$308,$C104),COUNTIFS('المبيعات اليومية'!$C$9:$C$308,$C104,'المبيعات اليومية'!$A$9:$A$308,"&gt;="&amp;IF($B$4="",0,$B$4),'المبيعات اليومية'!$A$9:$A$308,"&lt;="&amp;IF($B$5="",2958465,$B$5))))</f>
        <v/>
      </c>
      <c r="E104" s="28" t="str">
        <f aca="false">IF($C104="","",IF($B$4&amp;$B$5="",SUMIFS('المبيعات اليومية'!$E$9:$E$308,'المبيعات اليومية'!$C$9:$C$308,$C104),SUMIFS('المبيعات اليومية'!$E$9:$E$308,'المبيعات اليومية'!$C$9:$C$308,$C104,'المبيعات اليومية'!$A$9:$A$308,"&gt;="&amp;IF($B$4="",0,$B$4),'المبيعات اليومية'!$A$9:$A$308,"&lt;="&amp;IF($B$5="",2958465,$B$5))))</f>
        <v/>
      </c>
      <c r="F104" s="19" t="str">
        <f aca="false">IF($C104="","",IF($B$4&amp;$B$5="",SUMIFS('المبيعات اليومية'!$H$9:$H$308,'المبيعات اليومية'!$C$9:$C$308,$C104),SUMIFS('المبيعات اليومية'!$H$9:$H$308,'المبيعات اليومية'!$C$9:$C$308,$C104,'المبيعات اليومية'!$A$9:$A$308,"&gt;="&amp;IF($B$4="",0,$B$4),'المبيعات اليومية'!$A$9:$A$308,"&lt;="&amp;IF($B$5="",2958465,$B$5))))</f>
        <v/>
      </c>
      <c r="G104" s="19" t="str">
        <f aca="false">IF($C104="","",IF($B$4&amp;$B$5="",SUMIFS('المبيعات اليومية'!$I$9:$I$308,'المبيعات اليومية'!$C$9:$C$308,$C104),SUMIFS('المبيعات اليومية'!$I$9:$I$308,'المبيعات اليومية'!$C$9:$C$308,$C104,'المبيعات اليومية'!$A$9:$A$308,"&gt;="&amp;IF($B$4="",0,$B$4),'المبيعات اليومية'!$A$9:$A$308,"&lt;="&amp;IF($B$5="",2958465,$B$5))))</f>
        <v/>
      </c>
      <c r="H104" s="20" t="str">
        <f aca="false">IF($C104="","",IF($B$4&amp;$B$5="",SUMIFS('المبيعات اليومية'!$J$9:$J$308,'المبيعات اليومية'!$C$9:$C$308,$C104),SUMIFS('المبيعات اليومية'!$J$9:$J$308,'المبيعات اليومية'!$C$9:$C$308,$C104,'المبيعات اليومية'!$A$9:$A$308,"&gt;="&amp;IF($B$4="",0,$B$4),'المبيعات اليومية'!$A$9:$A$308,"&lt;="&amp;IF($B$5="",2958465,$B$5))))</f>
        <v/>
      </c>
      <c r="I104" s="29" t="str">
        <f aca="false">IF(OR($C104="",$H$208=0),"",H104/$H$208)</f>
        <v/>
      </c>
      <c r="J104" s="19" t="str">
        <f aca="false">IF(OR(C104="",N(E104)=0),"",F104/E104)</f>
        <v/>
      </c>
    </row>
    <row r="105" customFormat="false" ht="15" hidden="false" customHeight="false" outlineLevel="0" collapsed="false">
      <c r="A105" s="21" t="str">
        <f aca="false">IF(C105="","",98)</f>
        <v/>
      </c>
      <c r="B105" s="21" t="str">
        <f aca="false">IF('دليل الأصناف'!$B$101="","",'دليل الأصناف'!$A$101)</f>
        <v/>
      </c>
      <c r="C105" s="4" t="str">
        <f aca="false">IF('دليل الأصناف'!$B$101="","",'دليل الأصناف'!$B$101)</f>
        <v/>
      </c>
      <c r="D105" s="27" t="str">
        <f aca="false">IF($C105="","",IF($B$4&amp;$B$5="",COUNTIFS('المبيعات اليومية'!$C$9:$C$308,$C105),COUNTIFS('المبيعات اليومية'!$C$9:$C$308,$C105,'المبيعات اليومية'!$A$9:$A$308,"&gt;="&amp;IF($B$4="",0,$B$4),'المبيعات اليومية'!$A$9:$A$308,"&lt;="&amp;IF($B$5="",2958465,$B$5))))</f>
        <v/>
      </c>
      <c r="E105" s="28" t="str">
        <f aca="false">IF($C105="","",IF($B$4&amp;$B$5="",SUMIFS('المبيعات اليومية'!$E$9:$E$308,'المبيعات اليومية'!$C$9:$C$308,$C105),SUMIFS('المبيعات اليومية'!$E$9:$E$308,'المبيعات اليومية'!$C$9:$C$308,$C105,'المبيعات اليومية'!$A$9:$A$308,"&gt;="&amp;IF($B$4="",0,$B$4),'المبيعات اليومية'!$A$9:$A$308,"&lt;="&amp;IF($B$5="",2958465,$B$5))))</f>
        <v/>
      </c>
      <c r="F105" s="19" t="str">
        <f aca="false">IF($C105="","",IF($B$4&amp;$B$5="",SUMIFS('المبيعات اليومية'!$H$9:$H$308,'المبيعات اليومية'!$C$9:$C$308,$C105),SUMIFS('المبيعات اليومية'!$H$9:$H$308,'المبيعات اليومية'!$C$9:$C$308,$C105,'المبيعات اليومية'!$A$9:$A$308,"&gt;="&amp;IF($B$4="",0,$B$4),'المبيعات اليومية'!$A$9:$A$308,"&lt;="&amp;IF($B$5="",2958465,$B$5))))</f>
        <v/>
      </c>
      <c r="G105" s="19" t="str">
        <f aca="false">IF($C105="","",IF($B$4&amp;$B$5="",SUMIFS('المبيعات اليومية'!$I$9:$I$308,'المبيعات اليومية'!$C$9:$C$308,$C105),SUMIFS('المبيعات اليومية'!$I$9:$I$308,'المبيعات اليومية'!$C$9:$C$308,$C105,'المبيعات اليومية'!$A$9:$A$308,"&gt;="&amp;IF($B$4="",0,$B$4),'المبيعات اليومية'!$A$9:$A$308,"&lt;="&amp;IF($B$5="",2958465,$B$5))))</f>
        <v/>
      </c>
      <c r="H105" s="20" t="str">
        <f aca="false">IF($C105="","",IF($B$4&amp;$B$5="",SUMIFS('المبيعات اليومية'!$J$9:$J$308,'المبيعات اليومية'!$C$9:$C$308,$C105),SUMIFS('المبيعات اليومية'!$J$9:$J$308,'المبيعات اليومية'!$C$9:$C$308,$C105,'المبيعات اليومية'!$A$9:$A$308,"&gt;="&amp;IF($B$4="",0,$B$4),'المبيعات اليومية'!$A$9:$A$308,"&lt;="&amp;IF($B$5="",2958465,$B$5))))</f>
        <v/>
      </c>
      <c r="I105" s="29" t="str">
        <f aca="false">IF(OR($C105="",$H$208=0),"",H105/$H$208)</f>
        <v/>
      </c>
      <c r="J105" s="19" t="str">
        <f aca="false">IF(OR(C105="",N(E105)=0),"",F105/E105)</f>
        <v/>
      </c>
    </row>
    <row r="106" customFormat="false" ht="15" hidden="false" customHeight="false" outlineLevel="0" collapsed="false">
      <c r="A106" s="21" t="str">
        <f aca="false">IF(C106="","",99)</f>
        <v/>
      </c>
      <c r="B106" s="21" t="str">
        <f aca="false">IF('دليل الأصناف'!$B$102="","",'دليل الأصناف'!$A$102)</f>
        <v/>
      </c>
      <c r="C106" s="4" t="str">
        <f aca="false">IF('دليل الأصناف'!$B$102="","",'دليل الأصناف'!$B$102)</f>
        <v/>
      </c>
      <c r="D106" s="27" t="str">
        <f aca="false">IF($C106="","",IF($B$4&amp;$B$5="",COUNTIFS('المبيعات اليومية'!$C$9:$C$308,$C106),COUNTIFS('المبيعات اليومية'!$C$9:$C$308,$C106,'المبيعات اليومية'!$A$9:$A$308,"&gt;="&amp;IF($B$4="",0,$B$4),'المبيعات اليومية'!$A$9:$A$308,"&lt;="&amp;IF($B$5="",2958465,$B$5))))</f>
        <v/>
      </c>
      <c r="E106" s="28" t="str">
        <f aca="false">IF($C106="","",IF($B$4&amp;$B$5="",SUMIFS('المبيعات اليومية'!$E$9:$E$308,'المبيعات اليومية'!$C$9:$C$308,$C106),SUMIFS('المبيعات اليومية'!$E$9:$E$308,'المبيعات اليومية'!$C$9:$C$308,$C106,'المبيعات اليومية'!$A$9:$A$308,"&gt;="&amp;IF($B$4="",0,$B$4),'المبيعات اليومية'!$A$9:$A$308,"&lt;="&amp;IF($B$5="",2958465,$B$5))))</f>
        <v/>
      </c>
      <c r="F106" s="19" t="str">
        <f aca="false">IF($C106="","",IF($B$4&amp;$B$5="",SUMIFS('المبيعات اليومية'!$H$9:$H$308,'المبيعات اليومية'!$C$9:$C$308,$C106),SUMIFS('المبيعات اليومية'!$H$9:$H$308,'المبيعات اليومية'!$C$9:$C$308,$C106,'المبيعات اليومية'!$A$9:$A$308,"&gt;="&amp;IF($B$4="",0,$B$4),'المبيعات اليومية'!$A$9:$A$308,"&lt;="&amp;IF($B$5="",2958465,$B$5))))</f>
        <v/>
      </c>
      <c r="G106" s="19" t="str">
        <f aca="false">IF($C106="","",IF($B$4&amp;$B$5="",SUMIFS('المبيعات اليومية'!$I$9:$I$308,'المبيعات اليومية'!$C$9:$C$308,$C106),SUMIFS('المبيعات اليومية'!$I$9:$I$308,'المبيعات اليومية'!$C$9:$C$308,$C106,'المبيعات اليومية'!$A$9:$A$308,"&gt;="&amp;IF($B$4="",0,$B$4),'المبيعات اليومية'!$A$9:$A$308,"&lt;="&amp;IF($B$5="",2958465,$B$5))))</f>
        <v/>
      </c>
      <c r="H106" s="20" t="str">
        <f aca="false">IF($C106="","",IF($B$4&amp;$B$5="",SUMIFS('المبيعات اليومية'!$J$9:$J$308,'المبيعات اليومية'!$C$9:$C$308,$C106),SUMIFS('المبيعات اليومية'!$J$9:$J$308,'المبيعات اليومية'!$C$9:$C$308,$C106,'المبيعات اليومية'!$A$9:$A$308,"&gt;="&amp;IF($B$4="",0,$B$4),'المبيعات اليومية'!$A$9:$A$308,"&lt;="&amp;IF($B$5="",2958465,$B$5))))</f>
        <v/>
      </c>
      <c r="I106" s="29" t="str">
        <f aca="false">IF(OR($C106="",$H$208=0),"",H106/$H$208)</f>
        <v/>
      </c>
      <c r="J106" s="19" t="str">
        <f aca="false">IF(OR(C106="",N(E106)=0),"",F106/E106)</f>
        <v/>
      </c>
    </row>
    <row r="107" customFormat="false" ht="15" hidden="false" customHeight="false" outlineLevel="0" collapsed="false">
      <c r="A107" s="21" t="str">
        <f aca="false">IF(C107="","",100)</f>
        <v/>
      </c>
      <c r="B107" s="21" t="str">
        <f aca="false">IF('دليل الأصناف'!$B$103="","",'دليل الأصناف'!$A$103)</f>
        <v/>
      </c>
      <c r="C107" s="4" t="str">
        <f aca="false">IF('دليل الأصناف'!$B$103="","",'دليل الأصناف'!$B$103)</f>
        <v/>
      </c>
      <c r="D107" s="27" t="str">
        <f aca="false">IF($C107="","",IF($B$4&amp;$B$5="",COUNTIFS('المبيعات اليومية'!$C$9:$C$308,$C107),COUNTIFS('المبيعات اليومية'!$C$9:$C$308,$C107,'المبيعات اليومية'!$A$9:$A$308,"&gt;="&amp;IF($B$4="",0,$B$4),'المبيعات اليومية'!$A$9:$A$308,"&lt;="&amp;IF($B$5="",2958465,$B$5))))</f>
        <v/>
      </c>
      <c r="E107" s="28" t="str">
        <f aca="false">IF($C107="","",IF($B$4&amp;$B$5="",SUMIFS('المبيعات اليومية'!$E$9:$E$308,'المبيعات اليومية'!$C$9:$C$308,$C107),SUMIFS('المبيعات اليومية'!$E$9:$E$308,'المبيعات اليومية'!$C$9:$C$308,$C107,'المبيعات اليومية'!$A$9:$A$308,"&gt;="&amp;IF($B$4="",0,$B$4),'المبيعات اليومية'!$A$9:$A$308,"&lt;="&amp;IF($B$5="",2958465,$B$5))))</f>
        <v/>
      </c>
      <c r="F107" s="19" t="str">
        <f aca="false">IF($C107="","",IF($B$4&amp;$B$5="",SUMIFS('المبيعات اليومية'!$H$9:$H$308,'المبيعات اليومية'!$C$9:$C$308,$C107),SUMIFS('المبيعات اليومية'!$H$9:$H$308,'المبيعات اليومية'!$C$9:$C$308,$C107,'المبيعات اليومية'!$A$9:$A$308,"&gt;="&amp;IF($B$4="",0,$B$4),'المبيعات اليومية'!$A$9:$A$308,"&lt;="&amp;IF($B$5="",2958465,$B$5))))</f>
        <v/>
      </c>
      <c r="G107" s="19" t="str">
        <f aca="false">IF($C107="","",IF($B$4&amp;$B$5="",SUMIFS('المبيعات اليومية'!$I$9:$I$308,'المبيعات اليومية'!$C$9:$C$308,$C107),SUMIFS('المبيعات اليومية'!$I$9:$I$308,'المبيعات اليومية'!$C$9:$C$308,$C107,'المبيعات اليومية'!$A$9:$A$308,"&gt;="&amp;IF($B$4="",0,$B$4),'المبيعات اليومية'!$A$9:$A$308,"&lt;="&amp;IF($B$5="",2958465,$B$5))))</f>
        <v/>
      </c>
      <c r="H107" s="20" t="str">
        <f aca="false">IF($C107="","",IF($B$4&amp;$B$5="",SUMIFS('المبيعات اليومية'!$J$9:$J$308,'المبيعات اليومية'!$C$9:$C$308,$C107),SUMIFS('المبيعات اليومية'!$J$9:$J$308,'المبيعات اليومية'!$C$9:$C$308,$C107,'المبيعات اليومية'!$A$9:$A$308,"&gt;="&amp;IF($B$4="",0,$B$4),'المبيعات اليومية'!$A$9:$A$308,"&lt;="&amp;IF($B$5="",2958465,$B$5))))</f>
        <v/>
      </c>
      <c r="I107" s="29" t="str">
        <f aca="false">IF(OR($C107="",$H$208=0),"",H107/$H$208)</f>
        <v/>
      </c>
      <c r="J107" s="19" t="str">
        <f aca="false">IF(OR(C107="",N(E107)=0),"",F107/E107)</f>
        <v/>
      </c>
    </row>
    <row r="108" customFormat="false" ht="15" hidden="false" customHeight="false" outlineLevel="0" collapsed="false">
      <c r="A108" s="21" t="str">
        <f aca="false">IF(C108="","",101)</f>
        <v/>
      </c>
      <c r="B108" s="21" t="str">
        <f aca="false">IF('دليل الأصناف'!$B$104="","",'دليل الأصناف'!$A$104)</f>
        <v/>
      </c>
      <c r="C108" s="4" t="str">
        <f aca="false">IF('دليل الأصناف'!$B$104="","",'دليل الأصناف'!$B$104)</f>
        <v/>
      </c>
      <c r="D108" s="27" t="str">
        <f aca="false">IF($C108="","",IF($B$4&amp;$B$5="",COUNTIFS('المبيعات اليومية'!$C$9:$C$308,$C108),COUNTIFS('المبيعات اليومية'!$C$9:$C$308,$C108,'المبيعات اليومية'!$A$9:$A$308,"&gt;="&amp;IF($B$4="",0,$B$4),'المبيعات اليومية'!$A$9:$A$308,"&lt;="&amp;IF($B$5="",2958465,$B$5))))</f>
        <v/>
      </c>
      <c r="E108" s="28" t="str">
        <f aca="false">IF($C108="","",IF($B$4&amp;$B$5="",SUMIFS('المبيعات اليومية'!$E$9:$E$308,'المبيعات اليومية'!$C$9:$C$308,$C108),SUMIFS('المبيعات اليومية'!$E$9:$E$308,'المبيعات اليومية'!$C$9:$C$308,$C108,'المبيعات اليومية'!$A$9:$A$308,"&gt;="&amp;IF($B$4="",0,$B$4),'المبيعات اليومية'!$A$9:$A$308,"&lt;="&amp;IF($B$5="",2958465,$B$5))))</f>
        <v/>
      </c>
      <c r="F108" s="19" t="str">
        <f aca="false">IF($C108="","",IF($B$4&amp;$B$5="",SUMIFS('المبيعات اليومية'!$H$9:$H$308,'المبيعات اليومية'!$C$9:$C$308,$C108),SUMIFS('المبيعات اليومية'!$H$9:$H$308,'المبيعات اليومية'!$C$9:$C$308,$C108,'المبيعات اليومية'!$A$9:$A$308,"&gt;="&amp;IF($B$4="",0,$B$4),'المبيعات اليومية'!$A$9:$A$308,"&lt;="&amp;IF($B$5="",2958465,$B$5))))</f>
        <v/>
      </c>
      <c r="G108" s="19" t="str">
        <f aca="false">IF($C108="","",IF($B$4&amp;$B$5="",SUMIFS('المبيعات اليومية'!$I$9:$I$308,'المبيعات اليومية'!$C$9:$C$308,$C108),SUMIFS('المبيعات اليومية'!$I$9:$I$308,'المبيعات اليومية'!$C$9:$C$308,$C108,'المبيعات اليومية'!$A$9:$A$308,"&gt;="&amp;IF($B$4="",0,$B$4),'المبيعات اليومية'!$A$9:$A$308,"&lt;="&amp;IF($B$5="",2958465,$B$5))))</f>
        <v/>
      </c>
      <c r="H108" s="20" t="str">
        <f aca="false">IF($C108="","",IF($B$4&amp;$B$5="",SUMIFS('المبيعات اليومية'!$J$9:$J$308,'المبيعات اليومية'!$C$9:$C$308,$C108),SUMIFS('المبيعات اليومية'!$J$9:$J$308,'المبيعات اليومية'!$C$9:$C$308,$C108,'المبيعات اليومية'!$A$9:$A$308,"&gt;="&amp;IF($B$4="",0,$B$4),'المبيعات اليومية'!$A$9:$A$308,"&lt;="&amp;IF($B$5="",2958465,$B$5))))</f>
        <v/>
      </c>
      <c r="I108" s="29" t="str">
        <f aca="false">IF(OR($C108="",$H$208=0),"",H108/$H$208)</f>
        <v/>
      </c>
      <c r="J108" s="19" t="str">
        <f aca="false">IF(OR(C108="",N(E108)=0),"",F108/E108)</f>
        <v/>
      </c>
    </row>
    <row r="109" customFormat="false" ht="15" hidden="false" customHeight="false" outlineLevel="0" collapsed="false">
      <c r="A109" s="21" t="str">
        <f aca="false">IF(C109="","",102)</f>
        <v/>
      </c>
      <c r="B109" s="21" t="str">
        <f aca="false">IF('دليل الأصناف'!$B$105="","",'دليل الأصناف'!$A$105)</f>
        <v/>
      </c>
      <c r="C109" s="4" t="str">
        <f aca="false">IF('دليل الأصناف'!$B$105="","",'دليل الأصناف'!$B$105)</f>
        <v/>
      </c>
      <c r="D109" s="27" t="str">
        <f aca="false">IF($C109="","",IF($B$4&amp;$B$5="",COUNTIFS('المبيعات اليومية'!$C$9:$C$308,$C109),COUNTIFS('المبيعات اليومية'!$C$9:$C$308,$C109,'المبيعات اليومية'!$A$9:$A$308,"&gt;="&amp;IF($B$4="",0,$B$4),'المبيعات اليومية'!$A$9:$A$308,"&lt;="&amp;IF($B$5="",2958465,$B$5))))</f>
        <v/>
      </c>
      <c r="E109" s="28" t="str">
        <f aca="false">IF($C109="","",IF($B$4&amp;$B$5="",SUMIFS('المبيعات اليومية'!$E$9:$E$308,'المبيعات اليومية'!$C$9:$C$308,$C109),SUMIFS('المبيعات اليومية'!$E$9:$E$308,'المبيعات اليومية'!$C$9:$C$308,$C109,'المبيعات اليومية'!$A$9:$A$308,"&gt;="&amp;IF($B$4="",0,$B$4),'المبيعات اليومية'!$A$9:$A$308,"&lt;="&amp;IF($B$5="",2958465,$B$5))))</f>
        <v/>
      </c>
      <c r="F109" s="19" t="str">
        <f aca="false">IF($C109="","",IF($B$4&amp;$B$5="",SUMIFS('المبيعات اليومية'!$H$9:$H$308,'المبيعات اليومية'!$C$9:$C$308,$C109),SUMIFS('المبيعات اليومية'!$H$9:$H$308,'المبيعات اليومية'!$C$9:$C$308,$C109,'المبيعات اليومية'!$A$9:$A$308,"&gt;="&amp;IF($B$4="",0,$B$4),'المبيعات اليومية'!$A$9:$A$308,"&lt;="&amp;IF($B$5="",2958465,$B$5))))</f>
        <v/>
      </c>
      <c r="G109" s="19" t="str">
        <f aca="false">IF($C109="","",IF($B$4&amp;$B$5="",SUMIFS('المبيعات اليومية'!$I$9:$I$308,'المبيعات اليومية'!$C$9:$C$308,$C109),SUMIFS('المبيعات اليومية'!$I$9:$I$308,'المبيعات اليومية'!$C$9:$C$308,$C109,'المبيعات اليومية'!$A$9:$A$308,"&gt;="&amp;IF($B$4="",0,$B$4),'المبيعات اليومية'!$A$9:$A$308,"&lt;="&amp;IF($B$5="",2958465,$B$5))))</f>
        <v/>
      </c>
      <c r="H109" s="20" t="str">
        <f aca="false">IF($C109="","",IF($B$4&amp;$B$5="",SUMIFS('المبيعات اليومية'!$J$9:$J$308,'المبيعات اليومية'!$C$9:$C$308,$C109),SUMIFS('المبيعات اليومية'!$J$9:$J$308,'المبيعات اليومية'!$C$9:$C$308,$C109,'المبيعات اليومية'!$A$9:$A$308,"&gt;="&amp;IF($B$4="",0,$B$4),'المبيعات اليومية'!$A$9:$A$308,"&lt;="&amp;IF($B$5="",2958465,$B$5))))</f>
        <v/>
      </c>
      <c r="I109" s="29" t="str">
        <f aca="false">IF(OR($C109="",$H$208=0),"",H109/$H$208)</f>
        <v/>
      </c>
      <c r="J109" s="19" t="str">
        <f aca="false">IF(OR(C109="",N(E109)=0),"",F109/E109)</f>
        <v/>
      </c>
    </row>
    <row r="110" customFormat="false" ht="15" hidden="false" customHeight="false" outlineLevel="0" collapsed="false">
      <c r="A110" s="21" t="str">
        <f aca="false">IF(C110="","",103)</f>
        <v/>
      </c>
      <c r="B110" s="21" t="str">
        <f aca="false">IF('دليل الأصناف'!$B$106="","",'دليل الأصناف'!$A$106)</f>
        <v/>
      </c>
      <c r="C110" s="4" t="str">
        <f aca="false">IF('دليل الأصناف'!$B$106="","",'دليل الأصناف'!$B$106)</f>
        <v/>
      </c>
      <c r="D110" s="27" t="str">
        <f aca="false">IF($C110="","",IF($B$4&amp;$B$5="",COUNTIFS('المبيعات اليومية'!$C$9:$C$308,$C110),COUNTIFS('المبيعات اليومية'!$C$9:$C$308,$C110,'المبيعات اليومية'!$A$9:$A$308,"&gt;="&amp;IF($B$4="",0,$B$4),'المبيعات اليومية'!$A$9:$A$308,"&lt;="&amp;IF($B$5="",2958465,$B$5))))</f>
        <v/>
      </c>
      <c r="E110" s="28" t="str">
        <f aca="false">IF($C110="","",IF($B$4&amp;$B$5="",SUMIFS('المبيعات اليومية'!$E$9:$E$308,'المبيعات اليومية'!$C$9:$C$308,$C110),SUMIFS('المبيعات اليومية'!$E$9:$E$308,'المبيعات اليومية'!$C$9:$C$308,$C110,'المبيعات اليومية'!$A$9:$A$308,"&gt;="&amp;IF($B$4="",0,$B$4),'المبيعات اليومية'!$A$9:$A$308,"&lt;="&amp;IF($B$5="",2958465,$B$5))))</f>
        <v/>
      </c>
      <c r="F110" s="19" t="str">
        <f aca="false">IF($C110="","",IF($B$4&amp;$B$5="",SUMIFS('المبيعات اليومية'!$H$9:$H$308,'المبيعات اليومية'!$C$9:$C$308,$C110),SUMIFS('المبيعات اليومية'!$H$9:$H$308,'المبيعات اليومية'!$C$9:$C$308,$C110,'المبيعات اليومية'!$A$9:$A$308,"&gt;="&amp;IF($B$4="",0,$B$4),'المبيعات اليومية'!$A$9:$A$308,"&lt;="&amp;IF($B$5="",2958465,$B$5))))</f>
        <v/>
      </c>
      <c r="G110" s="19" t="str">
        <f aca="false">IF($C110="","",IF($B$4&amp;$B$5="",SUMIFS('المبيعات اليومية'!$I$9:$I$308,'المبيعات اليومية'!$C$9:$C$308,$C110),SUMIFS('المبيعات اليومية'!$I$9:$I$308,'المبيعات اليومية'!$C$9:$C$308,$C110,'المبيعات اليومية'!$A$9:$A$308,"&gt;="&amp;IF($B$4="",0,$B$4),'المبيعات اليومية'!$A$9:$A$308,"&lt;="&amp;IF($B$5="",2958465,$B$5))))</f>
        <v/>
      </c>
      <c r="H110" s="20" t="str">
        <f aca="false">IF($C110="","",IF($B$4&amp;$B$5="",SUMIFS('المبيعات اليومية'!$J$9:$J$308,'المبيعات اليومية'!$C$9:$C$308,$C110),SUMIFS('المبيعات اليومية'!$J$9:$J$308,'المبيعات اليومية'!$C$9:$C$308,$C110,'المبيعات اليومية'!$A$9:$A$308,"&gt;="&amp;IF($B$4="",0,$B$4),'المبيعات اليومية'!$A$9:$A$308,"&lt;="&amp;IF($B$5="",2958465,$B$5))))</f>
        <v/>
      </c>
      <c r="I110" s="29" t="str">
        <f aca="false">IF(OR($C110="",$H$208=0),"",H110/$H$208)</f>
        <v/>
      </c>
      <c r="J110" s="19" t="str">
        <f aca="false">IF(OR(C110="",N(E110)=0),"",F110/E110)</f>
        <v/>
      </c>
    </row>
    <row r="111" customFormat="false" ht="15" hidden="false" customHeight="false" outlineLevel="0" collapsed="false">
      <c r="A111" s="21" t="str">
        <f aca="false">IF(C111="","",104)</f>
        <v/>
      </c>
      <c r="B111" s="21" t="str">
        <f aca="false">IF('دليل الأصناف'!$B$107="","",'دليل الأصناف'!$A$107)</f>
        <v/>
      </c>
      <c r="C111" s="4" t="str">
        <f aca="false">IF('دليل الأصناف'!$B$107="","",'دليل الأصناف'!$B$107)</f>
        <v/>
      </c>
      <c r="D111" s="27" t="str">
        <f aca="false">IF($C111="","",IF($B$4&amp;$B$5="",COUNTIFS('المبيعات اليومية'!$C$9:$C$308,$C111),COUNTIFS('المبيعات اليومية'!$C$9:$C$308,$C111,'المبيعات اليومية'!$A$9:$A$308,"&gt;="&amp;IF($B$4="",0,$B$4),'المبيعات اليومية'!$A$9:$A$308,"&lt;="&amp;IF($B$5="",2958465,$B$5))))</f>
        <v/>
      </c>
      <c r="E111" s="28" t="str">
        <f aca="false">IF($C111="","",IF($B$4&amp;$B$5="",SUMIFS('المبيعات اليومية'!$E$9:$E$308,'المبيعات اليومية'!$C$9:$C$308,$C111),SUMIFS('المبيعات اليومية'!$E$9:$E$308,'المبيعات اليومية'!$C$9:$C$308,$C111,'المبيعات اليومية'!$A$9:$A$308,"&gt;="&amp;IF($B$4="",0,$B$4),'المبيعات اليومية'!$A$9:$A$308,"&lt;="&amp;IF($B$5="",2958465,$B$5))))</f>
        <v/>
      </c>
      <c r="F111" s="19" t="str">
        <f aca="false">IF($C111="","",IF($B$4&amp;$B$5="",SUMIFS('المبيعات اليومية'!$H$9:$H$308,'المبيعات اليومية'!$C$9:$C$308,$C111),SUMIFS('المبيعات اليومية'!$H$9:$H$308,'المبيعات اليومية'!$C$9:$C$308,$C111,'المبيعات اليومية'!$A$9:$A$308,"&gt;="&amp;IF($B$4="",0,$B$4),'المبيعات اليومية'!$A$9:$A$308,"&lt;="&amp;IF($B$5="",2958465,$B$5))))</f>
        <v/>
      </c>
      <c r="G111" s="19" t="str">
        <f aca="false">IF($C111="","",IF($B$4&amp;$B$5="",SUMIFS('المبيعات اليومية'!$I$9:$I$308,'المبيعات اليومية'!$C$9:$C$308,$C111),SUMIFS('المبيعات اليومية'!$I$9:$I$308,'المبيعات اليومية'!$C$9:$C$308,$C111,'المبيعات اليومية'!$A$9:$A$308,"&gt;="&amp;IF($B$4="",0,$B$4),'المبيعات اليومية'!$A$9:$A$308,"&lt;="&amp;IF($B$5="",2958465,$B$5))))</f>
        <v/>
      </c>
      <c r="H111" s="20" t="str">
        <f aca="false">IF($C111="","",IF($B$4&amp;$B$5="",SUMIFS('المبيعات اليومية'!$J$9:$J$308,'المبيعات اليومية'!$C$9:$C$308,$C111),SUMIFS('المبيعات اليومية'!$J$9:$J$308,'المبيعات اليومية'!$C$9:$C$308,$C111,'المبيعات اليومية'!$A$9:$A$308,"&gt;="&amp;IF($B$4="",0,$B$4),'المبيعات اليومية'!$A$9:$A$308,"&lt;="&amp;IF($B$5="",2958465,$B$5))))</f>
        <v/>
      </c>
      <c r="I111" s="29" t="str">
        <f aca="false">IF(OR($C111="",$H$208=0),"",H111/$H$208)</f>
        <v/>
      </c>
      <c r="J111" s="19" t="str">
        <f aca="false">IF(OR(C111="",N(E111)=0),"",F111/E111)</f>
        <v/>
      </c>
    </row>
    <row r="112" customFormat="false" ht="15" hidden="false" customHeight="false" outlineLevel="0" collapsed="false">
      <c r="A112" s="21" t="str">
        <f aca="false">IF(C112="","",105)</f>
        <v/>
      </c>
      <c r="B112" s="21" t="str">
        <f aca="false">IF('دليل الأصناف'!$B$108="","",'دليل الأصناف'!$A$108)</f>
        <v/>
      </c>
      <c r="C112" s="4" t="str">
        <f aca="false">IF('دليل الأصناف'!$B$108="","",'دليل الأصناف'!$B$108)</f>
        <v/>
      </c>
      <c r="D112" s="27" t="str">
        <f aca="false">IF($C112="","",IF($B$4&amp;$B$5="",COUNTIFS('المبيعات اليومية'!$C$9:$C$308,$C112),COUNTIFS('المبيعات اليومية'!$C$9:$C$308,$C112,'المبيعات اليومية'!$A$9:$A$308,"&gt;="&amp;IF($B$4="",0,$B$4),'المبيعات اليومية'!$A$9:$A$308,"&lt;="&amp;IF($B$5="",2958465,$B$5))))</f>
        <v/>
      </c>
      <c r="E112" s="28" t="str">
        <f aca="false">IF($C112="","",IF($B$4&amp;$B$5="",SUMIFS('المبيعات اليومية'!$E$9:$E$308,'المبيعات اليومية'!$C$9:$C$308,$C112),SUMIFS('المبيعات اليومية'!$E$9:$E$308,'المبيعات اليومية'!$C$9:$C$308,$C112,'المبيعات اليومية'!$A$9:$A$308,"&gt;="&amp;IF($B$4="",0,$B$4),'المبيعات اليومية'!$A$9:$A$308,"&lt;="&amp;IF($B$5="",2958465,$B$5))))</f>
        <v/>
      </c>
      <c r="F112" s="19" t="str">
        <f aca="false">IF($C112="","",IF($B$4&amp;$B$5="",SUMIFS('المبيعات اليومية'!$H$9:$H$308,'المبيعات اليومية'!$C$9:$C$308,$C112),SUMIFS('المبيعات اليومية'!$H$9:$H$308,'المبيعات اليومية'!$C$9:$C$308,$C112,'المبيعات اليومية'!$A$9:$A$308,"&gt;="&amp;IF($B$4="",0,$B$4),'المبيعات اليومية'!$A$9:$A$308,"&lt;="&amp;IF($B$5="",2958465,$B$5))))</f>
        <v/>
      </c>
      <c r="G112" s="19" t="str">
        <f aca="false">IF($C112="","",IF($B$4&amp;$B$5="",SUMIFS('المبيعات اليومية'!$I$9:$I$308,'المبيعات اليومية'!$C$9:$C$308,$C112),SUMIFS('المبيعات اليومية'!$I$9:$I$308,'المبيعات اليومية'!$C$9:$C$308,$C112,'المبيعات اليومية'!$A$9:$A$308,"&gt;="&amp;IF($B$4="",0,$B$4),'المبيعات اليومية'!$A$9:$A$308,"&lt;="&amp;IF($B$5="",2958465,$B$5))))</f>
        <v/>
      </c>
      <c r="H112" s="20" t="str">
        <f aca="false">IF($C112="","",IF($B$4&amp;$B$5="",SUMIFS('المبيعات اليومية'!$J$9:$J$308,'المبيعات اليومية'!$C$9:$C$308,$C112),SUMIFS('المبيعات اليومية'!$J$9:$J$308,'المبيعات اليومية'!$C$9:$C$308,$C112,'المبيعات اليومية'!$A$9:$A$308,"&gt;="&amp;IF($B$4="",0,$B$4),'المبيعات اليومية'!$A$9:$A$308,"&lt;="&amp;IF($B$5="",2958465,$B$5))))</f>
        <v/>
      </c>
      <c r="I112" s="29" t="str">
        <f aca="false">IF(OR($C112="",$H$208=0),"",H112/$H$208)</f>
        <v/>
      </c>
      <c r="J112" s="19" t="str">
        <f aca="false">IF(OR(C112="",N(E112)=0),"",F112/E112)</f>
        <v/>
      </c>
    </row>
    <row r="113" customFormat="false" ht="15" hidden="false" customHeight="false" outlineLevel="0" collapsed="false">
      <c r="A113" s="21" t="str">
        <f aca="false">IF(C113="","",106)</f>
        <v/>
      </c>
      <c r="B113" s="21" t="str">
        <f aca="false">IF('دليل الأصناف'!$B$109="","",'دليل الأصناف'!$A$109)</f>
        <v/>
      </c>
      <c r="C113" s="4" t="str">
        <f aca="false">IF('دليل الأصناف'!$B$109="","",'دليل الأصناف'!$B$109)</f>
        <v/>
      </c>
      <c r="D113" s="27" t="str">
        <f aca="false">IF($C113="","",IF($B$4&amp;$B$5="",COUNTIFS('المبيعات اليومية'!$C$9:$C$308,$C113),COUNTIFS('المبيعات اليومية'!$C$9:$C$308,$C113,'المبيعات اليومية'!$A$9:$A$308,"&gt;="&amp;IF($B$4="",0,$B$4),'المبيعات اليومية'!$A$9:$A$308,"&lt;="&amp;IF($B$5="",2958465,$B$5))))</f>
        <v/>
      </c>
      <c r="E113" s="28" t="str">
        <f aca="false">IF($C113="","",IF($B$4&amp;$B$5="",SUMIFS('المبيعات اليومية'!$E$9:$E$308,'المبيعات اليومية'!$C$9:$C$308,$C113),SUMIFS('المبيعات اليومية'!$E$9:$E$308,'المبيعات اليومية'!$C$9:$C$308,$C113,'المبيعات اليومية'!$A$9:$A$308,"&gt;="&amp;IF($B$4="",0,$B$4),'المبيعات اليومية'!$A$9:$A$308,"&lt;="&amp;IF($B$5="",2958465,$B$5))))</f>
        <v/>
      </c>
      <c r="F113" s="19" t="str">
        <f aca="false">IF($C113="","",IF($B$4&amp;$B$5="",SUMIFS('المبيعات اليومية'!$H$9:$H$308,'المبيعات اليومية'!$C$9:$C$308,$C113),SUMIFS('المبيعات اليومية'!$H$9:$H$308,'المبيعات اليومية'!$C$9:$C$308,$C113,'المبيعات اليومية'!$A$9:$A$308,"&gt;="&amp;IF($B$4="",0,$B$4),'المبيعات اليومية'!$A$9:$A$308,"&lt;="&amp;IF($B$5="",2958465,$B$5))))</f>
        <v/>
      </c>
      <c r="G113" s="19" t="str">
        <f aca="false">IF($C113="","",IF($B$4&amp;$B$5="",SUMIFS('المبيعات اليومية'!$I$9:$I$308,'المبيعات اليومية'!$C$9:$C$308,$C113),SUMIFS('المبيعات اليومية'!$I$9:$I$308,'المبيعات اليومية'!$C$9:$C$308,$C113,'المبيعات اليومية'!$A$9:$A$308,"&gt;="&amp;IF($B$4="",0,$B$4),'المبيعات اليومية'!$A$9:$A$308,"&lt;="&amp;IF($B$5="",2958465,$B$5))))</f>
        <v/>
      </c>
      <c r="H113" s="20" t="str">
        <f aca="false">IF($C113="","",IF($B$4&amp;$B$5="",SUMIFS('المبيعات اليومية'!$J$9:$J$308,'المبيعات اليومية'!$C$9:$C$308,$C113),SUMIFS('المبيعات اليومية'!$J$9:$J$308,'المبيعات اليومية'!$C$9:$C$308,$C113,'المبيعات اليومية'!$A$9:$A$308,"&gt;="&amp;IF($B$4="",0,$B$4),'المبيعات اليومية'!$A$9:$A$308,"&lt;="&amp;IF($B$5="",2958465,$B$5))))</f>
        <v/>
      </c>
      <c r="I113" s="29" t="str">
        <f aca="false">IF(OR($C113="",$H$208=0),"",H113/$H$208)</f>
        <v/>
      </c>
      <c r="J113" s="19" t="str">
        <f aca="false">IF(OR(C113="",N(E113)=0),"",F113/E113)</f>
        <v/>
      </c>
    </row>
    <row r="114" customFormat="false" ht="15" hidden="false" customHeight="false" outlineLevel="0" collapsed="false">
      <c r="A114" s="21" t="str">
        <f aca="false">IF(C114="","",107)</f>
        <v/>
      </c>
      <c r="B114" s="21" t="str">
        <f aca="false">IF('دليل الأصناف'!$B$110="","",'دليل الأصناف'!$A$110)</f>
        <v/>
      </c>
      <c r="C114" s="4" t="str">
        <f aca="false">IF('دليل الأصناف'!$B$110="","",'دليل الأصناف'!$B$110)</f>
        <v/>
      </c>
      <c r="D114" s="27" t="str">
        <f aca="false">IF($C114="","",IF($B$4&amp;$B$5="",COUNTIFS('المبيعات اليومية'!$C$9:$C$308,$C114),COUNTIFS('المبيعات اليومية'!$C$9:$C$308,$C114,'المبيعات اليومية'!$A$9:$A$308,"&gt;="&amp;IF($B$4="",0,$B$4),'المبيعات اليومية'!$A$9:$A$308,"&lt;="&amp;IF($B$5="",2958465,$B$5))))</f>
        <v/>
      </c>
      <c r="E114" s="28" t="str">
        <f aca="false">IF($C114="","",IF($B$4&amp;$B$5="",SUMIFS('المبيعات اليومية'!$E$9:$E$308,'المبيعات اليومية'!$C$9:$C$308,$C114),SUMIFS('المبيعات اليومية'!$E$9:$E$308,'المبيعات اليومية'!$C$9:$C$308,$C114,'المبيعات اليومية'!$A$9:$A$308,"&gt;="&amp;IF($B$4="",0,$B$4),'المبيعات اليومية'!$A$9:$A$308,"&lt;="&amp;IF($B$5="",2958465,$B$5))))</f>
        <v/>
      </c>
      <c r="F114" s="19" t="str">
        <f aca="false">IF($C114="","",IF($B$4&amp;$B$5="",SUMIFS('المبيعات اليومية'!$H$9:$H$308,'المبيعات اليومية'!$C$9:$C$308,$C114),SUMIFS('المبيعات اليومية'!$H$9:$H$308,'المبيعات اليومية'!$C$9:$C$308,$C114,'المبيعات اليومية'!$A$9:$A$308,"&gt;="&amp;IF($B$4="",0,$B$4),'المبيعات اليومية'!$A$9:$A$308,"&lt;="&amp;IF($B$5="",2958465,$B$5))))</f>
        <v/>
      </c>
      <c r="G114" s="19" t="str">
        <f aca="false">IF($C114="","",IF($B$4&amp;$B$5="",SUMIFS('المبيعات اليومية'!$I$9:$I$308,'المبيعات اليومية'!$C$9:$C$308,$C114),SUMIFS('المبيعات اليومية'!$I$9:$I$308,'المبيعات اليومية'!$C$9:$C$308,$C114,'المبيعات اليومية'!$A$9:$A$308,"&gt;="&amp;IF($B$4="",0,$B$4),'المبيعات اليومية'!$A$9:$A$308,"&lt;="&amp;IF($B$5="",2958465,$B$5))))</f>
        <v/>
      </c>
      <c r="H114" s="20" t="str">
        <f aca="false">IF($C114="","",IF($B$4&amp;$B$5="",SUMIFS('المبيعات اليومية'!$J$9:$J$308,'المبيعات اليومية'!$C$9:$C$308,$C114),SUMIFS('المبيعات اليومية'!$J$9:$J$308,'المبيعات اليومية'!$C$9:$C$308,$C114,'المبيعات اليومية'!$A$9:$A$308,"&gt;="&amp;IF($B$4="",0,$B$4),'المبيعات اليومية'!$A$9:$A$308,"&lt;="&amp;IF($B$5="",2958465,$B$5))))</f>
        <v/>
      </c>
      <c r="I114" s="29" t="str">
        <f aca="false">IF(OR($C114="",$H$208=0),"",H114/$H$208)</f>
        <v/>
      </c>
      <c r="J114" s="19" t="str">
        <f aca="false">IF(OR(C114="",N(E114)=0),"",F114/E114)</f>
        <v/>
      </c>
    </row>
    <row r="115" customFormat="false" ht="15" hidden="false" customHeight="false" outlineLevel="0" collapsed="false">
      <c r="A115" s="21" t="str">
        <f aca="false">IF(C115="","",108)</f>
        <v/>
      </c>
      <c r="B115" s="21" t="str">
        <f aca="false">IF('دليل الأصناف'!$B$111="","",'دليل الأصناف'!$A$111)</f>
        <v/>
      </c>
      <c r="C115" s="4" t="str">
        <f aca="false">IF('دليل الأصناف'!$B$111="","",'دليل الأصناف'!$B$111)</f>
        <v/>
      </c>
      <c r="D115" s="27" t="str">
        <f aca="false">IF($C115="","",IF($B$4&amp;$B$5="",COUNTIFS('المبيعات اليومية'!$C$9:$C$308,$C115),COUNTIFS('المبيعات اليومية'!$C$9:$C$308,$C115,'المبيعات اليومية'!$A$9:$A$308,"&gt;="&amp;IF($B$4="",0,$B$4),'المبيعات اليومية'!$A$9:$A$308,"&lt;="&amp;IF($B$5="",2958465,$B$5))))</f>
        <v/>
      </c>
      <c r="E115" s="28" t="str">
        <f aca="false">IF($C115="","",IF($B$4&amp;$B$5="",SUMIFS('المبيعات اليومية'!$E$9:$E$308,'المبيعات اليومية'!$C$9:$C$308,$C115),SUMIFS('المبيعات اليومية'!$E$9:$E$308,'المبيعات اليومية'!$C$9:$C$308,$C115,'المبيعات اليومية'!$A$9:$A$308,"&gt;="&amp;IF($B$4="",0,$B$4),'المبيعات اليومية'!$A$9:$A$308,"&lt;="&amp;IF($B$5="",2958465,$B$5))))</f>
        <v/>
      </c>
      <c r="F115" s="19" t="str">
        <f aca="false">IF($C115="","",IF($B$4&amp;$B$5="",SUMIFS('المبيعات اليومية'!$H$9:$H$308,'المبيعات اليومية'!$C$9:$C$308,$C115),SUMIFS('المبيعات اليومية'!$H$9:$H$308,'المبيعات اليومية'!$C$9:$C$308,$C115,'المبيعات اليومية'!$A$9:$A$308,"&gt;="&amp;IF($B$4="",0,$B$4),'المبيعات اليومية'!$A$9:$A$308,"&lt;="&amp;IF($B$5="",2958465,$B$5))))</f>
        <v/>
      </c>
      <c r="G115" s="19" t="str">
        <f aca="false">IF($C115="","",IF($B$4&amp;$B$5="",SUMIFS('المبيعات اليومية'!$I$9:$I$308,'المبيعات اليومية'!$C$9:$C$308,$C115),SUMIFS('المبيعات اليومية'!$I$9:$I$308,'المبيعات اليومية'!$C$9:$C$308,$C115,'المبيعات اليومية'!$A$9:$A$308,"&gt;="&amp;IF($B$4="",0,$B$4),'المبيعات اليومية'!$A$9:$A$308,"&lt;="&amp;IF($B$5="",2958465,$B$5))))</f>
        <v/>
      </c>
      <c r="H115" s="20" t="str">
        <f aca="false">IF($C115="","",IF($B$4&amp;$B$5="",SUMIFS('المبيعات اليومية'!$J$9:$J$308,'المبيعات اليومية'!$C$9:$C$308,$C115),SUMIFS('المبيعات اليومية'!$J$9:$J$308,'المبيعات اليومية'!$C$9:$C$308,$C115,'المبيعات اليومية'!$A$9:$A$308,"&gt;="&amp;IF($B$4="",0,$B$4),'المبيعات اليومية'!$A$9:$A$308,"&lt;="&amp;IF($B$5="",2958465,$B$5))))</f>
        <v/>
      </c>
      <c r="I115" s="29" t="str">
        <f aca="false">IF(OR($C115="",$H$208=0),"",H115/$H$208)</f>
        <v/>
      </c>
      <c r="J115" s="19" t="str">
        <f aca="false">IF(OR(C115="",N(E115)=0),"",F115/E115)</f>
        <v/>
      </c>
    </row>
    <row r="116" customFormat="false" ht="15" hidden="false" customHeight="false" outlineLevel="0" collapsed="false">
      <c r="A116" s="21" t="str">
        <f aca="false">IF(C116="","",109)</f>
        <v/>
      </c>
      <c r="B116" s="21" t="str">
        <f aca="false">IF('دليل الأصناف'!$B$112="","",'دليل الأصناف'!$A$112)</f>
        <v/>
      </c>
      <c r="C116" s="4" t="str">
        <f aca="false">IF('دليل الأصناف'!$B$112="","",'دليل الأصناف'!$B$112)</f>
        <v/>
      </c>
      <c r="D116" s="27" t="str">
        <f aca="false">IF($C116="","",IF($B$4&amp;$B$5="",COUNTIFS('المبيعات اليومية'!$C$9:$C$308,$C116),COUNTIFS('المبيعات اليومية'!$C$9:$C$308,$C116,'المبيعات اليومية'!$A$9:$A$308,"&gt;="&amp;IF($B$4="",0,$B$4),'المبيعات اليومية'!$A$9:$A$308,"&lt;="&amp;IF($B$5="",2958465,$B$5))))</f>
        <v/>
      </c>
      <c r="E116" s="28" t="str">
        <f aca="false">IF($C116="","",IF($B$4&amp;$B$5="",SUMIFS('المبيعات اليومية'!$E$9:$E$308,'المبيعات اليومية'!$C$9:$C$308,$C116),SUMIFS('المبيعات اليومية'!$E$9:$E$308,'المبيعات اليومية'!$C$9:$C$308,$C116,'المبيعات اليومية'!$A$9:$A$308,"&gt;="&amp;IF($B$4="",0,$B$4),'المبيعات اليومية'!$A$9:$A$308,"&lt;="&amp;IF($B$5="",2958465,$B$5))))</f>
        <v/>
      </c>
      <c r="F116" s="19" t="str">
        <f aca="false">IF($C116="","",IF($B$4&amp;$B$5="",SUMIFS('المبيعات اليومية'!$H$9:$H$308,'المبيعات اليومية'!$C$9:$C$308,$C116),SUMIFS('المبيعات اليومية'!$H$9:$H$308,'المبيعات اليومية'!$C$9:$C$308,$C116,'المبيعات اليومية'!$A$9:$A$308,"&gt;="&amp;IF($B$4="",0,$B$4),'المبيعات اليومية'!$A$9:$A$308,"&lt;="&amp;IF($B$5="",2958465,$B$5))))</f>
        <v/>
      </c>
      <c r="G116" s="19" t="str">
        <f aca="false">IF($C116="","",IF($B$4&amp;$B$5="",SUMIFS('المبيعات اليومية'!$I$9:$I$308,'المبيعات اليومية'!$C$9:$C$308,$C116),SUMIFS('المبيعات اليومية'!$I$9:$I$308,'المبيعات اليومية'!$C$9:$C$308,$C116,'المبيعات اليومية'!$A$9:$A$308,"&gt;="&amp;IF($B$4="",0,$B$4),'المبيعات اليومية'!$A$9:$A$308,"&lt;="&amp;IF($B$5="",2958465,$B$5))))</f>
        <v/>
      </c>
      <c r="H116" s="20" t="str">
        <f aca="false">IF($C116="","",IF($B$4&amp;$B$5="",SUMIFS('المبيعات اليومية'!$J$9:$J$308,'المبيعات اليومية'!$C$9:$C$308,$C116),SUMIFS('المبيعات اليومية'!$J$9:$J$308,'المبيعات اليومية'!$C$9:$C$308,$C116,'المبيعات اليومية'!$A$9:$A$308,"&gt;="&amp;IF($B$4="",0,$B$4),'المبيعات اليومية'!$A$9:$A$308,"&lt;="&amp;IF($B$5="",2958465,$B$5))))</f>
        <v/>
      </c>
      <c r="I116" s="29" t="str">
        <f aca="false">IF(OR($C116="",$H$208=0),"",H116/$H$208)</f>
        <v/>
      </c>
      <c r="J116" s="19" t="str">
        <f aca="false">IF(OR(C116="",N(E116)=0),"",F116/E116)</f>
        <v/>
      </c>
    </row>
    <row r="117" customFormat="false" ht="15" hidden="false" customHeight="false" outlineLevel="0" collapsed="false">
      <c r="A117" s="21" t="str">
        <f aca="false">IF(C117="","",110)</f>
        <v/>
      </c>
      <c r="B117" s="21" t="str">
        <f aca="false">IF('دليل الأصناف'!$B$113="","",'دليل الأصناف'!$A$113)</f>
        <v/>
      </c>
      <c r="C117" s="4" t="str">
        <f aca="false">IF('دليل الأصناف'!$B$113="","",'دليل الأصناف'!$B$113)</f>
        <v/>
      </c>
      <c r="D117" s="27" t="str">
        <f aca="false">IF($C117="","",IF($B$4&amp;$B$5="",COUNTIFS('المبيعات اليومية'!$C$9:$C$308,$C117),COUNTIFS('المبيعات اليومية'!$C$9:$C$308,$C117,'المبيعات اليومية'!$A$9:$A$308,"&gt;="&amp;IF($B$4="",0,$B$4),'المبيعات اليومية'!$A$9:$A$308,"&lt;="&amp;IF($B$5="",2958465,$B$5))))</f>
        <v/>
      </c>
      <c r="E117" s="28" t="str">
        <f aca="false">IF($C117="","",IF($B$4&amp;$B$5="",SUMIFS('المبيعات اليومية'!$E$9:$E$308,'المبيعات اليومية'!$C$9:$C$308,$C117),SUMIFS('المبيعات اليومية'!$E$9:$E$308,'المبيعات اليومية'!$C$9:$C$308,$C117,'المبيعات اليومية'!$A$9:$A$308,"&gt;="&amp;IF($B$4="",0,$B$4),'المبيعات اليومية'!$A$9:$A$308,"&lt;="&amp;IF($B$5="",2958465,$B$5))))</f>
        <v/>
      </c>
      <c r="F117" s="19" t="str">
        <f aca="false">IF($C117="","",IF($B$4&amp;$B$5="",SUMIFS('المبيعات اليومية'!$H$9:$H$308,'المبيعات اليومية'!$C$9:$C$308,$C117),SUMIFS('المبيعات اليومية'!$H$9:$H$308,'المبيعات اليومية'!$C$9:$C$308,$C117,'المبيعات اليومية'!$A$9:$A$308,"&gt;="&amp;IF($B$4="",0,$B$4),'المبيعات اليومية'!$A$9:$A$308,"&lt;="&amp;IF($B$5="",2958465,$B$5))))</f>
        <v/>
      </c>
      <c r="G117" s="19" t="str">
        <f aca="false">IF($C117="","",IF($B$4&amp;$B$5="",SUMIFS('المبيعات اليومية'!$I$9:$I$308,'المبيعات اليومية'!$C$9:$C$308,$C117),SUMIFS('المبيعات اليومية'!$I$9:$I$308,'المبيعات اليومية'!$C$9:$C$308,$C117,'المبيعات اليومية'!$A$9:$A$308,"&gt;="&amp;IF($B$4="",0,$B$4),'المبيعات اليومية'!$A$9:$A$308,"&lt;="&amp;IF($B$5="",2958465,$B$5))))</f>
        <v/>
      </c>
      <c r="H117" s="20" t="str">
        <f aca="false">IF($C117="","",IF($B$4&amp;$B$5="",SUMIFS('المبيعات اليومية'!$J$9:$J$308,'المبيعات اليومية'!$C$9:$C$308,$C117),SUMIFS('المبيعات اليومية'!$J$9:$J$308,'المبيعات اليومية'!$C$9:$C$308,$C117,'المبيعات اليومية'!$A$9:$A$308,"&gt;="&amp;IF($B$4="",0,$B$4),'المبيعات اليومية'!$A$9:$A$308,"&lt;="&amp;IF($B$5="",2958465,$B$5))))</f>
        <v/>
      </c>
      <c r="I117" s="29" t="str">
        <f aca="false">IF(OR($C117="",$H$208=0),"",H117/$H$208)</f>
        <v/>
      </c>
      <c r="J117" s="19" t="str">
        <f aca="false">IF(OR(C117="",N(E117)=0),"",F117/E117)</f>
        <v/>
      </c>
    </row>
    <row r="118" customFormat="false" ht="15" hidden="false" customHeight="false" outlineLevel="0" collapsed="false">
      <c r="A118" s="21" t="str">
        <f aca="false">IF(C118="","",111)</f>
        <v/>
      </c>
      <c r="B118" s="21" t="str">
        <f aca="false">IF('دليل الأصناف'!$B$114="","",'دليل الأصناف'!$A$114)</f>
        <v/>
      </c>
      <c r="C118" s="4" t="str">
        <f aca="false">IF('دليل الأصناف'!$B$114="","",'دليل الأصناف'!$B$114)</f>
        <v/>
      </c>
      <c r="D118" s="27" t="str">
        <f aca="false">IF($C118="","",IF($B$4&amp;$B$5="",COUNTIFS('المبيعات اليومية'!$C$9:$C$308,$C118),COUNTIFS('المبيعات اليومية'!$C$9:$C$308,$C118,'المبيعات اليومية'!$A$9:$A$308,"&gt;="&amp;IF($B$4="",0,$B$4),'المبيعات اليومية'!$A$9:$A$308,"&lt;="&amp;IF($B$5="",2958465,$B$5))))</f>
        <v/>
      </c>
      <c r="E118" s="28" t="str">
        <f aca="false">IF($C118="","",IF($B$4&amp;$B$5="",SUMIFS('المبيعات اليومية'!$E$9:$E$308,'المبيعات اليومية'!$C$9:$C$308,$C118),SUMIFS('المبيعات اليومية'!$E$9:$E$308,'المبيعات اليومية'!$C$9:$C$308,$C118,'المبيعات اليومية'!$A$9:$A$308,"&gt;="&amp;IF($B$4="",0,$B$4),'المبيعات اليومية'!$A$9:$A$308,"&lt;="&amp;IF($B$5="",2958465,$B$5))))</f>
        <v/>
      </c>
      <c r="F118" s="19" t="str">
        <f aca="false">IF($C118="","",IF($B$4&amp;$B$5="",SUMIFS('المبيعات اليومية'!$H$9:$H$308,'المبيعات اليومية'!$C$9:$C$308,$C118),SUMIFS('المبيعات اليومية'!$H$9:$H$308,'المبيعات اليومية'!$C$9:$C$308,$C118,'المبيعات اليومية'!$A$9:$A$308,"&gt;="&amp;IF($B$4="",0,$B$4),'المبيعات اليومية'!$A$9:$A$308,"&lt;="&amp;IF($B$5="",2958465,$B$5))))</f>
        <v/>
      </c>
      <c r="G118" s="19" t="str">
        <f aca="false">IF($C118="","",IF($B$4&amp;$B$5="",SUMIFS('المبيعات اليومية'!$I$9:$I$308,'المبيعات اليومية'!$C$9:$C$308,$C118),SUMIFS('المبيعات اليومية'!$I$9:$I$308,'المبيعات اليومية'!$C$9:$C$308,$C118,'المبيعات اليومية'!$A$9:$A$308,"&gt;="&amp;IF($B$4="",0,$B$4),'المبيعات اليومية'!$A$9:$A$308,"&lt;="&amp;IF($B$5="",2958465,$B$5))))</f>
        <v/>
      </c>
      <c r="H118" s="20" t="str">
        <f aca="false">IF($C118="","",IF($B$4&amp;$B$5="",SUMIFS('المبيعات اليومية'!$J$9:$J$308,'المبيعات اليومية'!$C$9:$C$308,$C118),SUMIFS('المبيعات اليومية'!$J$9:$J$308,'المبيعات اليومية'!$C$9:$C$308,$C118,'المبيعات اليومية'!$A$9:$A$308,"&gt;="&amp;IF($B$4="",0,$B$4),'المبيعات اليومية'!$A$9:$A$308,"&lt;="&amp;IF($B$5="",2958465,$B$5))))</f>
        <v/>
      </c>
      <c r="I118" s="29" t="str">
        <f aca="false">IF(OR($C118="",$H$208=0),"",H118/$H$208)</f>
        <v/>
      </c>
      <c r="J118" s="19" t="str">
        <f aca="false">IF(OR(C118="",N(E118)=0),"",F118/E118)</f>
        <v/>
      </c>
    </row>
    <row r="119" customFormat="false" ht="15" hidden="false" customHeight="false" outlineLevel="0" collapsed="false">
      <c r="A119" s="21" t="str">
        <f aca="false">IF(C119="","",112)</f>
        <v/>
      </c>
      <c r="B119" s="21" t="str">
        <f aca="false">IF('دليل الأصناف'!$B$115="","",'دليل الأصناف'!$A$115)</f>
        <v/>
      </c>
      <c r="C119" s="4" t="str">
        <f aca="false">IF('دليل الأصناف'!$B$115="","",'دليل الأصناف'!$B$115)</f>
        <v/>
      </c>
      <c r="D119" s="27" t="str">
        <f aca="false">IF($C119="","",IF($B$4&amp;$B$5="",COUNTIFS('المبيعات اليومية'!$C$9:$C$308,$C119),COUNTIFS('المبيعات اليومية'!$C$9:$C$308,$C119,'المبيعات اليومية'!$A$9:$A$308,"&gt;="&amp;IF($B$4="",0,$B$4),'المبيعات اليومية'!$A$9:$A$308,"&lt;="&amp;IF($B$5="",2958465,$B$5))))</f>
        <v/>
      </c>
      <c r="E119" s="28" t="str">
        <f aca="false">IF($C119="","",IF($B$4&amp;$B$5="",SUMIFS('المبيعات اليومية'!$E$9:$E$308,'المبيعات اليومية'!$C$9:$C$308,$C119),SUMIFS('المبيعات اليومية'!$E$9:$E$308,'المبيعات اليومية'!$C$9:$C$308,$C119,'المبيعات اليومية'!$A$9:$A$308,"&gt;="&amp;IF($B$4="",0,$B$4),'المبيعات اليومية'!$A$9:$A$308,"&lt;="&amp;IF($B$5="",2958465,$B$5))))</f>
        <v/>
      </c>
      <c r="F119" s="19" t="str">
        <f aca="false">IF($C119="","",IF($B$4&amp;$B$5="",SUMIFS('المبيعات اليومية'!$H$9:$H$308,'المبيعات اليومية'!$C$9:$C$308,$C119),SUMIFS('المبيعات اليومية'!$H$9:$H$308,'المبيعات اليومية'!$C$9:$C$308,$C119,'المبيعات اليومية'!$A$9:$A$308,"&gt;="&amp;IF($B$4="",0,$B$4),'المبيعات اليومية'!$A$9:$A$308,"&lt;="&amp;IF($B$5="",2958465,$B$5))))</f>
        <v/>
      </c>
      <c r="G119" s="19" t="str">
        <f aca="false">IF($C119="","",IF($B$4&amp;$B$5="",SUMIFS('المبيعات اليومية'!$I$9:$I$308,'المبيعات اليومية'!$C$9:$C$308,$C119),SUMIFS('المبيعات اليومية'!$I$9:$I$308,'المبيعات اليومية'!$C$9:$C$308,$C119,'المبيعات اليومية'!$A$9:$A$308,"&gt;="&amp;IF($B$4="",0,$B$4),'المبيعات اليومية'!$A$9:$A$308,"&lt;="&amp;IF($B$5="",2958465,$B$5))))</f>
        <v/>
      </c>
      <c r="H119" s="20" t="str">
        <f aca="false">IF($C119="","",IF($B$4&amp;$B$5="",SUMIFS('المبيعات اليومية'!$J$9:$J$308,'المبيعات اليومية'!$C$9:$C$308,$C119),SUMIFS('المبيعات اليومية'!$J$9:$J$308,'المبيعات اليومية'!$C$9:$C$308,$C119,'المبيعات اليومية'!$A$9:$A$308,"&gt;="&amp;IF($B$4="",0,$B$4),'المبيعات اليومية'!$A$9:$A$308,"&lt;="&amp;IF($B$5="",2958465,$B$5))))</f>
        <v/>
      </c>
      <c r="I119" s="29" t="str">
        <f aca="false">IF(OR($C119="",$H$208=0),"",H119/$H$208)</f>
        <v/>
      </c>
      <c r="J119" s="19" t="str">
        <f aca="false">IF(OR(C119="",N(E119)=0),"",F119/E119)</f>
        <v/>
      </c>
    </row>
    <row r="120" customFormat="false" ht="15" hidden="false" customHeight="false" outlineLevel="0" collapsed="false">
      <c r="A120" s="21" t="str">
        <f aca="false">IF(C120="","",113)</f>
        <v/>
      </c>
      <c r="B120" s="21" t="str">
        <f aca="false">IF('دليل الأصناف'!$B$116="","",'دليل الأصناف'!$A$116)</f>
        <v/>
      </c>
      <c r="C120" s="4" t="str">
        <f aca="false">IF('دليل الأصناف'!$B$116="","",'دليل الأصناف'!$B$116)</f>
        <v/>
      </c>
      <c r="D120" s="27" t="str">
        <f aca="false">IF($C120="","",IF($B$4&amp;$B$5="",COUNTIFS('المبيعات اليومية'!$C$9:$C$308,$C120),COUNTIFS('المبيعات اليومية'!$C$9:$C$308,$C120,'المبيعات اليومية'!$A$9:$A$308,"&gt;="&amp;IF($B$4="",0,$B$4),'المبيعات اليومية'!$A$9:$A$308,"&lt;="&amp;IF($B$5="",2958465,$B$5))))</f>
        <v/>
      </c>
      <c r="E120" s="28" t="str">
        <f aca="false">IF($C120="","",IF($B$4&amp;$B$5="",SUMIFS('المبيعات اليومية'!$E$9:$E$308,'المبيعات اليومية'!$C$9:$C$308,$C120),SUMIFS('المبيعات اليومية'!$E$9:$E$308,'المبيعات اليومية'!$C$9:$C$308,$C120,'المبيعات اليومية'!$A$9:$A$308,"&gt;="&amp;IF($B$4="",0,$B$4),'المبيعات اليومية'!$A$9:$A$308,"&lt;="&amp;IF($B$5="",2958465,$B$5))))</f>
        <v/>
      </c>
      <c r="F120" s="19" t="str">
        <f aca="false">IF($C120="","",IF($B$4&amp;$B$5="",SUMIFS('المبيعات اليومية'!$H$9:$H$308,'المبيعات اليومية'!$C$9:$C$308,$C120),SUMIFS('المبيعات اليومية'!$H$9:$H$308,'المبيعات اليومية'!$C$9:$C$308,$C120,'المبيعات اليومية'!$A$9:$A$308,"&gt;="&amp;IF($B$4="",0,$B$4),'المبيعات اليومية'!$A$9:$A$308,"&lt;="&amp;IF($B$5="",2958465,$B$5))))</f>
        <v/>
      </c>
      <c r="G120" s="19" t="str">
        <f aca="false">IF($C120="","",IF($B$4&amp;$B$5="",SUMIFS('المبيعات اليومية'!$I$9:$I$308,'المبيعات اليومية'!$C$9:$C$308,$C120),SUMIFS('المبيعات اليومية'!$I$9:$I$308,'المبيعات اليومية'!$C$9:$C$308,$C120,'المبيعات اليومية'!$A$9:$A$308,"&gt;="&amp;IF($B$4="",0,$B$4),'المبيعات اليومية'!$A$9:$A$308,"&lt;="&amp;IF($B$5="",2958465,$B$5))))</f>
        <v/>
      </c>
      <c r="H120" s="20" t="str">
        <f aca="false">IF($C120="","",IF($B$4&amp;$B$5="",SUMIFS('المبيعات اليومية'!$J$9:$J$308,'المبيعات اليومية'!$C$9:$C$308,$C120),SUMIFS('المبيعات اليومية'!$J$9:$J$308,'المبيعات اليومية'!$C$9:$C$308,$C120,'المبيعات اليومية'!$A$9:$A$308,"&gt;="&amp;IF($B$4="",0,$B$4),'المبيعات اليومية'!$A$9:$A$308,"&lt;="&amp;IF($B$5="",2958465,$B$5))))</f>
        <v/>
      </c>
      <c r="I120" s="29" t="str">
        <f aca="false">IF(OR($C120="",$H$208=0),"",H120/$H$208)</f>
        <v/>
      </c>
      <c r="J120" s="19" t="str">
        <f aca="false">IF(OR(C120="",N(E120)=0),"",F120/E120)</f>
        <v/>
      </c>
    </row>
    <row r="121" customFormat="false" ht="15" hidden="false" customHeight="false" outlineLevel="0" collapsed="false">
      <c r="A121" s="21" t="str">
        <f aca="false">IF(C121="","",114)</f>
        <v/>
      </c>
      <c r="B121" s="21" t="str">
        <f aca="false">IF('دليل الأصناف'!$B$117="","",'دليل الأصناف'!$A$117)</f>
        <v/>
      </c>
      <c r="C121" s="4" t="str">
        <f aca="false">IF('دليل الأصناف'!$B$117="","",'دليل الأصناف'!$B$117)</f>
        <v/>
      </c>
      <c r="D121" s="27" t="str">
        <f aca="false">IF($C121="","",IF($B$4&amp;$B$5="",COUNTIFS('المبيعات اليومية'!$C$9:$C$308,$C121),COUNTIFS('المبيعات اليومية'!$C$9:$C$308,$C121,'المبيعات اليومية'!$A$9:$A$308,"&gt;="&amp;IF($B$4="",0,$B$4),'المبيعات اليومية'!$A$9:$A$308,"&lt;="&amp;IF($B$5="",2958465,$B$5))))</f>
        <v/>
      </c>
      <c r="E121" s="28" t="str">
        <f aca="false">IF($C121="","",IF($B$4&amp;$B$5="",SUMIFS('المبيعات اليومية'!$E$9:$E$308,'المبيعات اليومية'!$C$9:$C$308,$C121),SUMIFS('المبيعات اليومية'!$E$9:$E$308,'المبيعات اليومية'!$C$9:$C$308,$C121,'المبيعات اليومية'!$A$9:$A$308,"&gt;="&amp;IF($B$4="",0,$B$4),'المبيعات اليومية'!$A$9:$A$308,"&lt;="&amp;IF($B$5="",2958465,$B$5))))</f>
        <v/>
      </c>
      <c r="F121" s="19" t="str">
        <f aca="false">IF($C121="","",IF($B$4&amp;$B$5="",SUMIFS('المبيعات اليومية'!$H$9:$H$308,'المبيعات اليومية'!$C$9:$C$308,$C121),SUMIFS('المبيعات اليومية'!$H$9:$H$308,'المبيعات اليومية'!$C$9:$C$308,$C121,'المبيعات اليومية'!$A$9:$A$308,"&gt;="&amp;IF($B$4="",0,$B$4),'المبيعات اليومية'!$A$9:$A$308,"&lt;="&amp;IF($B$5="",2958465,$B$5))))</f>
        <v/>
      </c>
      <c r="G121" s="19" t="str">
        <f aca="false">IF($C121="","",IF($B$4&amp;$B$5="",SUMIFS('المبيعات اليومية'!$I$9:$I$308,'المبيعات اليومية'!$C$9:$C$308,$C121),SUMIFS('المبيعات اليومية'!$I$9:$I$308,'المبيعات اليومية'!$C$9:$C$308,$C121,'المبيعات اليومية'!$A$9:$A$308,"&gt;="&amp;IF($B$4="",0,$B$4),'المبيعات اليومية'!$A$9:$A$308,"&lt;="&amp;IF($B$5="",2958465,$B$5))))</f>
        <v/>
      </c>
      <c r="H121" s="20" t="str">
        <f aca="false">IF($C121="","",IF($B$4&amp;$B$5="",SUMIFS('المبيعات اليومية'!$J$9:$J$308,'المبيعات اليومية'!$C$9:$C$308,$C121),SUMIFS('المبيعات اليومية'!$J$9:$J$308,'المبيعات اليومية'!$C$9:$C$308,$C121,'المبيعات اليومية'!$A$9:$A$308,"&gt;="&amp;IF($B$4="",0,$B$4),'المبيعات اليومية'!$A$9:$A$308,"&lt;="&amp;IF($B$5="",2958465,$B$5))))</f>
        <v/>
      </c>
      <c r="I121" s="29" t="str">
        <f aca="false">IF(OR($C121="",$H$208=0),"",H121/$H$208)</f>
        <v/>
      </c>
      <c r="J121" s="19" t="str">
        <f aca="false">IF(OR(C121="",N(E121)=0),"",F121/E121)</f>
        <v/>
      </c>
    </row>
    <row r="122" customFormat="false" ht="15" hidden="false" customHeight="false" outlineLevel="0" collapsed="false">
      <c r="A122" s="21" t="str">
        <f aca="false">IF(C122="","",115)</f>
        <v/>
      </c>
      <c r="B122" s="21" t="str">
        <f aca="false">IF('دليل الأصناف'!$B$118="","",'دليل الأصناف'!$A$118)</f>
        <v/>
      </c>
      <c r="C122" s="4" t="str">
        <f aca="false">IF('دليل الأصناف'!$B$118="","",'دليل الأصناف'!$B$118)</f>
        <v/>
      </c>
      <c r="D122" s="27" t="str">
        <f aca="false">IF($C122="","",IF($B$4&amp;$B$5="",COUNTIFS('المبيعات اليومية'!$C$9:$C$308,$C122),COUNTIFS('المبيعات اليومية'!$C$9:$C$308,$C122,'المبيعات اليومية'!$A$9:$A$308,"&gt;="&amp;IF($B$4="",0,$B$4),'المبيعات اليومية'!$A$9:$A$308,"&lt;="&amp;IF($B$5="",2958465,$B$5))))</f>
        <v/>
      </c>
      <c r="E122" s="28" t="str">
        <f aca="false">IF($C122="","",IF($B$4&amp;$B$5="",SUMIFS('المبيعات اليومية'!$E$9:$E$308,'المبيعات اليومية'!$C$9:$C$308,$C122),SUMIFS('المبيعات اليومية'!$E$9:$E$308,'المبيعات اليومية'!$C$9:$C$308,$C122,'المبيعات اليومية'!$A$9:$A$308,"&gt;="&amp;IF($B$4="",0,$B$4),'المبيعات اليومية'!$A$9:$A$308,"&lt;="&amp;IF($B$5="",2958465,$B$5))))</f>
        <v/>
      </c>
      <c r="F122" s="19" t="str">
        <f aca="false">IF($C122="","",IF($B$4&amp;$B$5="",SUMIFS('المبيعات اليومية'!$H$9:$H$308,'المبيعات اليومية'!$C$9:$C$308,$C122),SUMIFS('المبيعات اليومية'!$H$9:$H$308,'المبيعات اليومية'!$C$9:$C$308,$C122,'المبيعات اليومية'!$A$9:$A$308,"&gt;="&amp;IF($B$4="",0,$B$4),'المبيعات اليومية'!$A$9:$A$308,"&lt;="&amp;IF($B$5="",2958465,$B$5))))</f>
        <v/>
      </c>
      <c r="G122" s="19" t="str">
        <f aca="false">IF($C122="","",IF($B$4&amp;$B$5="",SUMIFS('المبيعات اليومية'!$I$9:$I$308,'المبيعات اليومية'!$C$9:$C$308,$C122),SUMIFS('المبيعات اليومية'!$I$9:$I$308,'المبيعات اليومية'!$C$9:$C$308,$C122,'المبيعات اليومية'!$A$9:$A$308,"&gt;="&amp;IF($B$4="",0,$B$4),'المبيعات اليومية'!$A$9:$A$308,"&lt;="&amp;IF($B$5="",2958465,$B$5))))</f>
        <v/>
      </c>
      <c r="H122" s="20" t="str">
        <f aca="false">IF($C122="","",IF($B$4&amp;$B$5="",SUMIFS('المبيعات اليومية'!$J$9:$J$308,'المبيعات اليومية'!$C$9:$C$308,$C122),SUMIFS('المبيعات اليومية'!$J$9:$J$308,'المبيعات اليومية'!$C$9:$C$308,$C122,'المبيعات اليومية'!$A$9:$A$308,"&gt;="&amp;IF($B$4="",0,$B$4),'المبيعات اليومية'!$A$9:$A$308,"&lt;="&amp;IF($B$5="",2958465,$B$5))))</f>
        <v/>
      </c>
      <c r="I122" s="29" t="str">
        <f aca="false">IF(OR($C122="",$H$208=0),"",H122/$H$208)</f>
        <v/>
      </c>
      <c r="J122" s="19" t="str">
        <f aca="false">IF(OR(C122="",N(E122)=0),"",F122/E122)</f>
        <v/>
      </c>
    </row>
    <row r="123" customFormat="false" ht="15" hidden="false" customHeight="false" outlineLevel="0" collapsed="false">
      <c r="A123" s="21" t="str">
        <f aca="false">IF(C123="","",116)</f>
        <v/>
      </c>
      <c r="B123" s="21" t="str">
        <f aca="false">IF('دليل الأصناف'!$B$119="","",'دليل الأصناف'!$A$119)</f>
        <v/>
      </c>
      <c r="C123" s="4" t="str">
        <f aca="false">IF('دليل الأصناف'!$B$119="","",'دليل الأصناف'!$B$119)</f>
        <v/>
      </c>
      <c r="D123" s="27" t="str">
        <f aca="false">IF($C123="","",IF($B$4&amp;$B$5="",COUNTIFS('المبيعات اليومية'!$C$9:$C$308,$C123),COUNTIFS('المبيعات اليومية'!$C$9:$C$308,$C123,'المبيعات اليومية'!$A$9:$A$308,"&gt;="&amp;IF($B$4="",0,$B$4),'المبيعات اليومية'!$A$9:$A$308,"&lt;="&amp;IF($B$5="",2958465,$B$5))))</f>
        <v/>
      </c>
      <c r="E123" s="28" t="str">
        <f aca="false">IF($C123="","",IF($B$4&amp;$B$5="",SUMIFS('المبيعات اليومية'!$E$9:$E$308,'المبيعات اليومية'!$C$9:$C$308,$C123),SUMIFS('المبيعات اليومية'!$E$9:$E$308,'المبيعات اليومية'!$C$9:$C$308,$C123,'المبيعات اليومية'!$A$9:$A$308,"&gt;="&amp;IF($B$4="",0,$B$4),'المبيعات اليومية'!$A$9:$A$308,"&lt;="&amp;IF($B$5="",2958465,$B$5))))</f>
        <v/>
      </c>
      <c r="F123" s="19" t="str">
        <f aca="false">IF($C123="","",IF($B$4&amp;$B$5="",SUMIFS('المبيعات اليومية'!$H$9:$H$308,'المبيعات اليومية'!$C$9:$C$308,$C123),SUMIFS('المبيعات اليومية'!$H$9:$H$308,'المبيعات اليومية'!$C$9:$C$308,$C123,'المبيعات اليومية'!$A$9:$A$308,"&gt;="&amp;IF($B$4="",0,$B$4),'المبيعات اليومية'!$A$9:$A$308,"&lt;="&amp;IF($B$5="",2958465,$B$5))))</f>
        <v/>
      </c>
      <c r="G123" s="19" t="str">
        <f aca="false">IF($C123="","",IF($B$4&amp;$B$5="",SUMIFS('المبيعات اليومية'!$I$9:$I$308,'المبيعات اليومية'!$C$9:$C$308,$C123),SUMIFS('المبيعات اليومية'!$I$9:$I$308,'المبيعات اليومية'!$C$9:$C$308,$C123,'المبيعات اليومية'!$A$9:$A$308,"&gt;="&amp;IF($B$4="",0,$B$4),'المبيعات اليومية'!$A$9:$A$308,"&lt;="&amp;IF($B$5="",2958465,$B$5))))</f>
        <v/>
      </c>
      <c r="H123" s="20" t="str">
        <f aca="false">IF($C123="","",IF($B$4&amp;$B$5="",SUMIFS('المبيعات اليومية'!$J$9:$J$308,'المبيعات اليومية'!$C$9:$C$308,$C123),SUMIFS('المبيعات اليومية'!$J$9:$J$308,'المبيعات اليومية'!$C$9:$C$308,$C123,'المبيعات اليومية'!$A$9:$A$308,"&gt;="&amp;IF($B$4="",0,$B$4),'المبيعات اليومية'!$A$9:$A$308,"&lt;="&amp;IF($B$5="",2958465,$B$5))))</f>
        <v/>
      </c>
      <c r="I123" s="29" t="str">
        <f aca="false">IF(OR($C123="",$H$208=0),"",H123/$H$208)</f>
        <v/>
      </c>
      <c r="J123" s="19" t="str">
        <f aca="false">IF(OR(C123="",N(E123)=0),"",F123/E123)</f>
        <v/>
      </c>
    </row>
    <row r="124" customFormat="false" ht="15" hidden="false" customHeight="false" outlineLevel="0" collapsed="false">
      <c r="A124" s="21" t="str">
        <f aca="false">IF(C124="","",117)</f>
        <v/>
      </c>
      <c r="B124" s="21" t="str">
        <f aca="false">IF('دليل الأصناف'!$B$120="","",'دليل الأصناف'!$A$120)</f>
        <v/>
      </c>
      <c r="C124" s="4" t="str">
        <f aca="false">IF('دليل الأصناف'!$B$120="","",'دليل الأصناف'!$B$120)</f>
        <v/>
      </c>
      <c r="D124" s="27" t="str">
        <f aca="false">IF($C124="","",IF($B$4&amp;$B$5="",COUNTIFS('المبيعات اليومية'!$C$9:$C$308,$C124),COUNTIFS('المبيعات اليومية'!$C$9:$C$308,$C124,'المبيعات اليومية'!$A$9:$A$308,"&gt;="&amp;IF($B$4="",0,$B$4),'المبيعات اليومية'!$A$9:$A$308,"&lt;="&amp;IF($B$5="",2958465,$B$5))))</f>
        <v/>
      </c>
      <c r="E124" s="28" t="str">
        <f aca="false">IF($C124="","",IF($B$4&amp;$B$5="",SUMIFS('المبيعات اليومية'!$E$9:$E$308,'المبيعات اليومية'!$C$9:$C$308,$C124),SUMIFS('المبيعات اليومية'!$E$9:$E$308,'المبيعات اليومية'!$C$9:$C$308,$C124,'المبيعات اليومية'!$A$9:$A$308,"&gt;="&amp;IF($B$4="",0,$B$4),'المبيعات اليومية'!$A$9:$A$308,"&lt;="&amp;IF($B$5="",2958465,$B$5))))</f>
        <v/>
      </c>
      <c r="F124" s="19" t="str">
        <f aca="false">IF($C124="","",IF($B$4&amp;$B$5="",SUMIFS('المبيعات اليومية'!$H$9:$H$308,'المبيعات اليومية'!$C$9:$C$308,$C124),SUMIFS('المبيعات اليومية'!$H$9:$H$308,'المبيعات اليومية'!$C$9:$C$308,$C124,'المبيعات اليومية'!$A$9:$A$308,"&gt;="&amp;IF($B$4="",0,$B$4),'المبيعات اليومية'!$A$9:$A$308,"&lt;="&amp;IF($B$5="",2958465,$B$5))))</f>
        <v/>
      </c>
      <c r="G124" s="19" t="str">
        <f aca="false">IF($C124="","",IF($B$4&amp;$B$5="",SUMIFS('المبيعات اليومية'!$I$9:$I$308,'المبيعات اليومية'!$C$9:$C$308,$C124),SUMIFS('المبيعات اليومية'!$I$9:$I$308,'المبيعات اليومية'!$C$9:$C$308,$C124,'المبيعات اليومية'!$A$9:$A$308,"&gt;="&amp;IF($B$4="",0,$B$4),'المبيعات اليومية'!$A$9:$A$308,"&lt;="&amp;IF($B$5="",2958465,$B$5))))</f>
        <v/>
      </c>
      <c r="H124" s="20" t="str">
        <f aca="false">IF($C124="","",IF($B$4&amp;$B$5="",SUMIFS('المبيعات اليومية'!$J$9:$J$308,'المبيعات اليومية'!$C$9:$C$308,$C124),SUMIFS('المبيعات اليومية'!$J$9:$J$308,'المبيعات اليومية'!$C$9:$C$308,$C124,'المبيعات اليومية'!$A$9:$A$308,"&gt;="&amp;IF($B$4="",0,$B$4),'المبيعات اليومية'!$A$9:$A$308,"&lt;="&amp;IF($B$5="",2958465,$B$5))))</f>
        <v/>
      </c>
      <c r="I124" s="29" t="str">
        <f aca="false">IF(OR($C124="",$H$208=0),"",H124/$H$208)</f>
        <v/>
      </c>
      <c r="J124" s="19" t="str">
        <f aca="false">IF(OR(C124="",N(E124)=0),"",F124/E124)</f>
        <v/>
      </c>
    </row>
    <row r="125" customFormat="false" ht="15" hidden="false" customHeight="false" outlineLevel="0" collapsed="false">
      <c r="A125" s="21" t="str">
        <f aca="false">IF(C125="","",118)</f>
        <v/>
      </c>
      <c r="B125" s="21" t="str">
        <f aca="false">IF('دليل الأصناف'!$B$121="","",'دليل الأصناف'!$A$121)</f>
        <v/>
      </c>
      <c r="C125" s="4" t="str">
        <f aca="false">IF('دليل الأصناف'!$B$121="","",'دليل الأصناف'!$B$121)</f>
        <v/>
      </c>
      <c r="D125" s="27" t="str">
        <f aca="false">IF($C125="","",IF($B$4&amp;$B$5="",COUNTIFS('المبيعات اليومية'!$C$9:$C$308,$C125),COUNTIFS('المبيعات اليومية'!$C$9:$C$308,$C125,'المبيعات اليومية'!$A$9:$A$308,"&gt;="&amp;IF($B$4="",0,$B$4),'المبيعات اليومية'!$A$9:$A$308,"&lt;="&amp;IF($B$5="",2958465,$B$5))))</f>
        <v/>
      </c>
      <c r="E125" s="28" t="str">
        <f aca="false">IF($C125="","",IF($B$4&amp;$B$5="",SUMIFS('المبيعات اليومية'!$E$9:$E$308,'المبيعات اليومية'!$C$9:$C$308,$C125),SUMIFS('المبيعات اليومية'!$E$9:$E$308,'المبيعات اليومية'!$C$9:$C$308,$C125,'المبيعات اليومية'!$A$9:$A$308,"&gt;="&amp;IF($B$4="",0,$B$4),'المبيعات اليومية'!$A$9:$A$308,"&lt;="&amp;IF($B$5="",2958465,$B$5))))</f>
        <v/>
      </c>
      <c r="F125" s="19" t="str">
        <f aca="false">IF($C125="","",IF($B$4&amp;$B$5="",SUMIFS('المبيعات اليومية'!$H$9:$H$308,'المبيعات اليومية'!$C$9:$C$308,$C125),SUMIFS('المبيعات اليومية'!$H$9:$H$308,'المبيعات اليومية'!$C$9:$C$308,$C125,'المبيعات اليومية'!$A$9:$A$308,"&gt;="&amp;IF($B$4="",0,$B$4),'المبيعات اليومية'!$A$9:$A$308,"&lt;="&amp;IF($B$5="",2958465,$B$5))))</f>
        <v/>
      </c>
      <c r="G125" s="19" t="str">
        <f aca="false">IF($C125="","",IF($B$4&amp;$B$5="",SUMIFS('المبيعات اليومية'!$I$9:$I$308,'المبيعات اليومية'!$C$9:$C$308,$C125),SUMIFS('المبيعات اليومية'!$I$9:$I$308,'المبيعات اليومية'!$C$9:$C$308,$C125,'المبيعات اليومية'!$A$9:$A$308,"&gt;="&amp;IF($B$4="",0,$B$4),'المبيعات اليومية'!$A$9:$A$308,"&lt;="&amp;IF($B$5="",2958465,$B$5))))</f>
        <v/>
      </c>
      <c r="H125" s="20" t="str">
        <f aca="false">IF($C125="","",IF($B$4&amp;$B$5="",SUMIFS('المبيعات اليومية'!$J$9:$J$308,'المبيعات اليومية'!$C$9:$C$308,$C125),SUMIFS('المبيعات اليومية'!$J$9:$J$308,'المبيعات اليومية'!$C$9:$C$308,$C125,'المبيعات اليومية'!$A$9:$A$308,"&gt;="&amp;IF($B$4="",0,$B$4),'المبيعات اليومية'!$A$9:$A$308,"&lt;="&amp;IF($B$5="",2958465,$B$5))))</f>
        <v/>
      </c>
      <c r="I125" s="29" t="str">
        <f aca="false">IF(OR($C125="",$H$208=0),"",H125/$H$208)</f>
        <v/>
      </c>
      <c r="J125" s="19" t="str">
        <f aca="false">IF(OR(C125="",N(E125)=0),"",F125/E125)</f>
        <v/>
      </c>
    </row>
    <row r="126" customFormat="false" ht="15" hidden="false" customHeight="false" outlineLevel="0" collapsed="false">
      <c r="A126" s="21" t="str">
        <f aca="false">IF(C126="","",119)</f>
        <v/>
      </c>
      <c r="B126" s="21" t="str">
        <f aca="false">IF('دليل الأصناف'!$B$122="","",'دليل الأصناف'!$A$122)</f>
        <v/>
      </c>
      <c r="C126" s="4" t="str">
        <f aca="false">IF('دليل الأصناف'!$B$122="","",'دليل الأصناف'!$B$122)</f>
        <v/>
      </c>
      <c r="D126" s="27" t="str">
        <f aca="false">IF($C126="","",IF($B$4&amp;$B$5="",COUNTIFS('المبيعات اليومية'!$C$9:$C$308,$C126),COUNTIFS('المبيعات اليومية'!$C$9:$C$308,$C126,'المبيعات اليومية'!$A$9:$A$308,"&gt;="&amp;IF($B$4="",0,$B$4),'المبيعات اليومية'!$A$9:$A$308,"&lt;="&amp;IF($B$5="",2958465,$B$5))))</f>
        <v/>
      </c>
      <c r="E126" s="28" t="str">
        <f aca="false">IF($C126="","",IF($B$4&amp;$B$5="",SUMIFS('المبيعات اليومية'!$E$9:$E$308,'المبيعات اليومية'!$C$9:$C$308,$C126),SUMIFS('المبيعات اليومية'!$E$9:$E$308,'المبيعات اليومية'!$C$9:$C$308,$C126,'المبيعات اليومية'!$A$9:$A$308,"&gt;="&amp;IF($B$4="",0,$B$4),'المبيعات اليومية'!$A$9:$A$308,"&lt;="&amp;IF($B$5="",2958465,$B$5))))</f>
        <v/>
      </c>
      <c r="F126" s="19" t="str">
        <f aca="false">IF($C126="","",IF($B$4&amp;$B$5="",SUMIFS('المبيعات اليومية'!$H$9:$H$308,'المبيعات اليومية'!$C$9:$C$308,$C126),SUMIFS('المبيعات اليومية'!$H$9:$H$308,'المبيعات اليومية'!$C$9:$C$308,$C126,'المبيعات اليومية'!$A$9:$A$308,"&gt;="&amp;IF($B$4="",0,$B$4),'المبيعات اليومية'!$A$9:$A$308,"&lt;="&amp;IF($B$5="",2958465,$B$5))))</f>
        <v/>
      </c>
      <c r="G126" s="19" t="str">
        <f aca="false">IF($C126="","",IF($B$4&amp;$B$5="",SUMIFS('المبيعات اليومية'!$I$9:$I$308,'المبيعات اليومية'!$C$9:$C$308,$C126),SUMIFS('المبيعات اليومية'!$I$9:$I$308,'المبيعات اليومية'!$C$9:$C$308,$C126,'المبيعات اليومية'!$A$9:$A$308,"&gt;="&amp;IF($B$4="",0,$B$4),'المبيعات اليومية'!$A$9:$A$308,"&lt;="&amp;IF($B$5="",2958465,$B$5))))</f>
        <v/>
      </c>
      <c r="H126" s="20" t="str">
        <f aca="false">IF($C126="","",IF($B$4&amp;$B$5="",SUMIFS('المبيعات اليومية'!$J$9:$J$308,'المبيعات اليومية'!$C$9:$C$308,$C126),SUMIFS('المبيعات اليومية'!$J$9:$J$308,'المبيعات اليومية'!$C$9:$C$308,$C126,'المبيعات اليومية'!$A$9:$A$308,"&gt;="&amp;IF($B$4="",0,$B$4),'المبيعات اليومية'!$A$9:$A$308,"&lt;="&amp;IF($B$5="",2958465,$B$5))))</f>
        <v/>
      </c>
      <c r="I126" s="29" t="str">
        <f aca="false">IF(OR($C126="",$H$208=0),"",H126/$H$208)</f>
        <v/>
      </c>
      <c r="J126" s="19" t="str">
        <f aca="false">IF(OR(C126="",N(E126)=0),"",F126/E126)</f>
        <v/>
      </c>
    </row>
    <row r="127" customFormat="false" ht="15" hidden="false" customHeight="false" outlineLevel="0" collapsed="false">
      <c r="A127" s="21" t="str">
        <f aca="false">IF(C127="","",120)</f>
        <v/>
      </c>
      <c r="B127" s="21" t="str">
        <f aca="false">IF('دليل الأصناف'!$B$123="","",'دليل الأصناف'!$A$123)</f>
        <v/>
      </c>
      <c r="C127" s="4" t="str">
        <f aca="false">IF('دليل الأصناف'!$B$123="","",'دليل الأصناف'!$B$123)</f>
        <v/>
      </c>
      <c r="D127" s="27" t="str">
        <f aca="false">IF($C127="","",IF($B$4&amp;$B$5="",COUNTIFS('المبيعات اليومية'!$C$9:$C$308,$C127),COUNTIFS('المبيعات اليومية'!$C$9:$C$308,$C127,'المبيعات اليومية'!$A$9:$A$308,"&gt;="&amp;IF($B$4="",0,$B$4),'المبيعات اليومية'!$A$9:$A$308,"&lt;="&amp;IF($B$5="",2958465,$B$5))))</f>
        <v/>
      </c>
      <c r="E127" s="28" t="str">
        <f aca="false">IF($C127="","",IF($B$4&amp;$B$5="",SUMIFS('المبيعات اليومية'!$E$9:$E$308,'المبيعات اليومية'!$C$9:$C$308,$C127),SUMIFS('المبيعات اليومية'!$E$9:$E$308,'المبيعات اليومية'!$C$9:$C$308,$C127,'المبيعات اليومية'!$A$9:$A$308,"&gt;="&amp;IF($B$4="",0,$B$4),'المبيعات اليومية'!$A$9:$A$308,"&lt;="&amp;IF($B$5="",2958465,$B$5))))</f>
        <v/>
      </c>
      <c r="F127" s="19" t="str">
        <f aca="false">IF($C127="","",IF($B$4&amp;$B$5="",SUMIFS('المبيعات اليومية'!$H$9:$H$308,'المبيعات اليومية'!$C$9:$C$308,$C127),SUMIFS('المبيعات اليومية'!$H$9:$H$308,'المبيعات اليومية'!$C$9:$C$308,$C127,'المبيعات اليومية'!$A$9:$A$308,"&gt;="&amp;IF($B$4="",0,$B$4),'المبيعات اليومية'!$A$9:$A$308,"&lt;="&amp;IF($B$5="",2958465,$B$5))))</f>
        <v/>
      </c>
      <c r="G127" s="19" t="str">
        <f aca="false">IF($C127="","",IF($B$4&amp;$B$5="",SUMIFS('المبيعات اليومية'!$I$9:$I$308,'المبيعات اليومية'!$C$9:$C$308,$C127),SUMIFS('المبيعات اليومية'!$I$9:$I$308,'المبيعات اليومية'!$C$9:$C$308,$C127,'المبيعات اليومية'!$A$9:$A$308,"&gt;="&amp;IF($B$4="",0,$B$4),'المبيعات اليومية'!$A$9:$A$308,"&lt;="&amp;IF($B$5="",2958465,$B$5))))</f>
        <v/>
      </c>
      <c r="H127" s="20" t="str">
        <f aca="false">IF($C127="","",IF($B$4&amp;$B$5="",SUMIFS('المبيعات اليومية'!$J$9:$J$308,'المبيعات اليومية'!$C$9:$C$308,$C127),SUMIFS('المبيعات اليومية'!$J$9:$J$308,'المبيعات اليومية'!$C$9:$C$308,$C127,'المبيعات اليومية'!$A$9:$A$308,"&gt;="&amp;IF($B$4="",0,$B$4),'المبيعات اليومية'!$A$9:$A$308,"&lt;="&amp;IF($B$5="",2958465,$B$5))))</f>
        <v/>
      </c>
      <c r="I127" s="29" t="str">
        <f aca="false">IF(OR($C127="",$H$208=0),"",H127/$H$208)</f>
        <v/>
      </c>
      <c r="J127" s="19" t="str">
        <f aca="false">IF(OR(C127="",N(E127)=0),"",F127/E127)</f>
        <v/>
      </c>
    </row>
    <row r="128" customFormat="false" ht="15" hidden="false" customHeight="false" outlineLevel="0" collapsed="false">
      <c r="A128" s="21" t="str">
        <f aca="false">IF(C128="","",121)</f>
        <v/>
      </c>
      <c r="B128" s="21" t="str">
        <f aca="false">IF('دليل الأصناف'!$B$124="","",'دليل الأصناف'!$A$124)</f>
        <v/>
      </c>
      <c r="C128" s="4" t="str">
        <f aca="false">IF('دليل الأصناف'!$B$124="","",'دليل الأصناف'!$B$124)</f>
        <v/>
      </c>
      <c r="D128" s="27" t="str">
        <f aca="false">IF($C128="","",IF($B$4&amp;$B$5="",COUNTIFS('المبيعات اليومية'!$C$9:$C$308,$C128),COUNTIFS('المبيعات اليومية'!$C$9:$C$308,$C128,'المبيعات اليومية'!$A$9:$A$308,"&gt;="&amp;IF($B$4="",0,$B$4),'المبيعات اليومية'!$A$9:$A$308,"&lt;="&amp;IF($B$5="",2958465,$B$5))))</f>
        <v/>
      </c>
      <c r="E128" s="28" t="str">
        <f aca="false">IF($C128="","",IF($B$4&amp;$B$5="",SUMIFS('المبيعات اليومية'!$E$9:$E$308,'المبيعات اليومية'!$C$9:$C$308,$C128),SUMIFS('المبيعات اليومية'!$E$9:$E$308,'المبيعات اليومية'!$C$9:$C$308,$C128,'المبيعات اليومية'!$A$9:$A$308,"&gt;="&amp;IF($B$4="",0,$B$4),'المبيعات اليومية'!$A$9:$A$308,"&lt;="&amp;IF($B$5="",2958465,$B$5))))</f>
        <v/>
      </c>
      <c r="F128" s="19" t="str">
        <f aca="false">IF($C128="","",IF($B$4&amp;$B$5="",SUMIFS('المبيعات اليومية'!$H$9:$H$308,'المبيعات اليومية'!$C$9:$C$308,$C128),SUMIFS('المبيعات اليومية'!$H$9:$H$308,'المبيعات اليومية'!$C$9:$C$308,$C128,'المبيعات اليومية'!$A$9:$A$308,"&gt;="&amp;IF($B$4="",0,$B$4),'المبيعات اليومية'!$A$9:$A$308,"&lt;="&amp;IF($B$5="",2958465,$B$5))))</f>
        <v/>
      </c>
      <c r="G128" s="19" t="str">
        <f aca="false">IF($C128="","",IF($B$4&amp;$B$5="",SUMIFS('المبيعات اليومية'!$I$9:$I$308,'المبيعات اليومية'!$C$9:$C$308,$C128),SUMIFS('المبيعات اليومية'!$I$9:$I$308,'المبيعات اليومية'!$C$9:$C$308,$C128,'المبيعات اليومية'!$A$9:$A$308,"&gt;="&amp;IF($B$4="",0,$B$4),'المبيعات اليومية'!$A$9:$A$308,"&lt;="&amp;IF($B$5="",2958465,$B$5))))</f>
        <v/>
      </c>
      <c r="H128" s="20" t="str">
        <f aca="false">IF($C128="","",IF($B$4&amp;$B$5="",SUMIFS('المبيعات اليومية'!$J$9:$J$308,'المبيعات اليومية'!$C$9:$C$308,$C128),SUMIFS('المبيعات اليومية'!$J$9:$J$308,'المبيعات اليومية'!$C$9:$C$308,$C128,'المبيعات اليومية'!$A$9:$A$308,"&gt;="&amp;IF($B$4="",0,$B$4),'المبيعات اليومية'!$A$9:$A$308,"&lt;="&amp;IF($B$5="",2958465,$B$5))))</f>
        <v/>
      </c>
      <c r="I128" s="29" t="str">
        <f aca="false">IF(OR($C128="",$H$208=0),"",H128/$H$208)</f>
        <v/>
      </c>
      <c r="J128" s="19" t="str">
        <f aca="false">IF(OR(C128="",N(E128)=0),"",F128/E128)</f>
        <v/>
      </c>
    </row>
    <row r="129" customFormat="false" ht="15" hidden="false" customHeight="false" outlineLevel="0" collapsed="false">
      <c r="A129" s="21" t="str">
        <f aca="false">IF(C129="","",122)</f>
        <v/>
      </c>
      <c r="B129" s="21" t="str">
        <f aca="false">IF('دليل الأصناف'!$B$125="","",'دليل الأصناف'!$A$125)</f>
        <v/>
      </c>
      <c r="C129" s="4" t="str">
        <f aca="false">IF('دليل الأصناف'!$B$125="","",'دليل الأصناف'!$B$125)</f>
        <v/>
      </c>
      <c r="D129" s="27" t="str">
        <f aca="false">IF($C129="","",IF($B$4&amp;$B$5="",COUNTIFS('المبيعات اليومية'!$C$9:$C$308,$C129),COUNTIFS('المبيعات اليومية'!$C$9:$C$308,$C129,'المبيعات اليومية'!$A$9:$A$308,"&gt;="&amp;IF($B$4="",0,$B$4),'المبيعات اليومية'!$A$9:$A$308,"&lt;="&amp;IF($B$5="",2958465,$B$5))))</f>
        <v/>
      </c>
      <c r="E129" s="28" t="str">
        <f aca="false">IF($C129="","",IF($B$4&amp;$B$5="",SUMIFS('المبيعات اليومية'!$E$9:$E$308,'المبيعات اليومية'!$C$9:$C$308,$C129),SUMIFS('المبيعات اليومية'!$E$9:$E$308,'المبيعات اليومية'!$C$9:$C$308,$C129,'المبيعات اليومية'!$A$9:$A$308,"&gt;="&amp;IF($B$4="",0,$B$4),'المبيعات اليومية'!$A$9:$A$308,"&lt;="&amp;IF($B$5="",2958465,$B$5))))</f>
        <v/>
      </c>
      <c r="F129" s="19" t="str">
        <f aca="false">IF($C129="","",IF($B$4&amp;$B$5="",SUMIFS('المبيعات اليومية'!$H$9:$H$308,'المبيعات اليومية'!$C$9:$C$308,$C129),SUMIFS('المبيعات اليومية'!$H$9:$H$308,'المبيعات اليومية'!$C$9:$C$308,$C129,'المبيعات اليومية'!$A$9:$A$308,"&gt;="&amp;IF($B$4="",0,$B$4),'المبيعات اليومية'!$A$9:$A$308,"&lt;="&amp;IF($B$5="",2958465,$B$5))))</f>
        <v/>
      </c>
      <c r="G129" s="19" t="str">
        <f aca="false">IF($C129="","",IF($B$4&amp;$B$5="",SUMIFS('المبيعات اليومية'!$I$9:$I$308,'المبيعات اليومية'!$C$9:$C$308,$C129),SUMIFS('المبيعات اليومية'!$I$9:$I$308,'المبيعات اليومية'!$C$9:$C$308,$C129,'المبيعات اليومية'!$A$9:$A$308,"&gt;="&amp;IF($B$4="",0,$B$4),'المبيعات اليومية'!$A$9:$A$308,"&lt;="&amp;IF($B$5="",2958465,$B$5))))</f>
        <v/>
      </c>
      <c r="H129" s="20" t="str">
        <f aca="false">IF($C129="","",IF($B$4&amp;$B$5="",SUMIFS('المبيعات اليومية'!$J$9:$J$308,'المبيعات اليومية'!$C$9:$C$308,$C129),SUMIFS('المبيعات اليومية'!$J$9:$J$308,'المبيعات اليومية'!$C$9:$C$308,$C129,'المبيعات اليومية'!$A$9:$A$308,"&gt;="&amp;IF($B$4="",0,$B$4),'المبيعات اليومية'!$A$9:$A$308,"&lt;="&amp;IF($B$5="",2958465,$B$5))))</f>
        <v/>
      </c>
      <c r="I129" s="29" t="str">
        <f aca="false">IF(OR($C129="",$H$208=0),"",H129/$H$208)</f>
        <v/>
      </c>
      <c r="J129" s="19" t="str">
        <f aca="false">IF(OR(C129="",N(E129)=0),"",F129/E129)</f>
        <v/>
      </c>
    </row>
    <row r="130" customFormat="false" ht="15" hidden="false" customHeight="false" outlineLevel="0" collapsed="false">
      <c r="A130" s="21" t="str">
        <f aca="false">IF(C130="","",123)</f>
        <v/>
      </c>
      <c r="B130" s="21" t="str">
        <f aca="false">IF('دليل الأصناف'!$B$126="","",'دليل الأصناف'!$A$126)</f>
        <v/>
      </c>
      <c r="C130" s="4" t="str">
        <f aca="false">IF('دليل الأصناف'!$B$126="","",'دليل الأصناف'!$B$126)</f>
        <v/>
      </c>
      <c r="D130" s="27" t="str">
        <f aca="false">IF($C130="","",IF($B$4&amp;$B$5="",COUNTIFS('المبيعات اليومية'!$C$9:$C$308,$C130),COUNTIFS('المبيعات اليومية'!$C$9:$C$308,$C130,'المبيعات اليومية'!$A$9:$A$308,"&gt;="&amp;IF($B$4="",0,$B$4),'المبيعات اليومية'!$A$9:$A$308,"&lt;="&amp;IF($B$5="",2958465,$B$5))))</f>
        <v/>
      </c>
      <c r="E130" s="28" t="str">
        <f aca="false">IF($C130="","",IF($B$4&amp;$B$5="",SUMIFS('المبيعات اليومية'!$E$9:$E$308,'المبيعات اليومية'!$C$9:$C$308,$C130),SUMIFS('المبيعات اليومية'!$E$9:$E$308,'المبيعات اليومية'!$C$9:$C$308,$C130,'المبيعات اليومية'!$A$9:$A$308,"&gt;="&amp;IF($B$4="",0,$B$4),'المبيعات اليومية'!$A$9:$A$308,"&lt;="&amp;IF($B$5="",2958465,$B$5))))</f>
        <v/>
      </c>
      <c r="F130" s="19" t="str">
        <f aca="false">IF($C130="","",IF($B$4&amp;$B$5="",SUMIFS('المبيعات اليومية'!$H$9:$H$308,'المبيعات اليومية'!$C$9:$C$308,$C130),SUMIFS('المبيعات اليومية'!$H$9:$H$308,'المبيعات اليومية'!$C$9:$C$308,$C130,'المبيعات اليومية'!$A$9:$A$308,"&gt;="&amp;IF($B$4="",0,$B$4),'المبيعات اليومية'!$A$9:$A$308,"&lt;="&amp;IF($B$5="",2958465,$B$5))))</f>
        <v/>
      </c>
      <c r="G130" s="19" t="str">
        <f aca="false">IF($C130="","",IF($B$4&amp;$B$5="",SUMIFS('المبيعات اليومية'!$I$9:$I$308,'المبيعات اليومية'!$C$9:$C$308,$C130),SUMIFS('المبيعات اليومية'!$I$9:$I$308,'المبيعات اليومية'!$C$9:$C$308,$C130,'المبيعات اليومية'!$A$9:$A$308,"&gt;="&amp;IF($B$4="",0,$B$4),'المبيعات اليومية'!$A$9:$A$308,"&lt;="&amp;IF($B$5="",2958465,$B$5))))</f>
        <v/>
      </c>
      <c r="H130" s="20" t="str">
        <f aca="false">IF($C130="","",IF($B$4&amp;$B$5="",SUMIFS('المبيعات اليومية'!$J$9:$J$308,'المبيعات اليومية'!$C$9:$C$308,$C130),SUMIFS('المبيعات اليومية'!$J$9:$J$308,'المبيعات اليومية'!$C$9:$C$308,$C130,'المبيعات اليومية'!$A$9:$A$308,"&gt;="&amp;IF($B$4="",0,$B$4),'المبيعات اليومية'!$A$9:$A$308,"&lt;="&amp;IF($B$5="",2958465,$B$5))))</f>
        <v/>
      </c>
      <c r="I130" s="29" t="str">
        <f aca="false">IF(OR($C130="",$H$208=0),"",H130/$H$208)</f>
        <v/>
      </c>
      <c r="J130" s="19" t="str">
        <f aca="false">IF(OR(C130="",N(E130)=0),"",F130/E130)</f>
        <v/>
      </c>
    </row>
    <row r="131" customFormat="false" ht="15" hidden="false" customHeight="false" outlineLevel="0" collapsed="false">
      <c r="A131" s="21" t="str">
        <f aca="false">IF(C131="","",124)</f>
        <v/>
      </c>
      <c r="B131" s="21" t="str">
        <f aca="false">IF('دليل الأصناف'!$B$127="","",'دليل الأصناف'!$A$127)</f>
        <v/>
      </c>
      <c r="C131" s="4" t="str">
        <f aca="false">IF('دليل الأصناف'!$B$127="","",'دليل الأصناف'!$B$127)</f>
        <v/>
      </c>
      <c r="D131" s="27" t="str">
        <f aca="false">IF($C131="","",IF($B$4&amp;$B$5="",COUNTIFS('المبيعات اليومية'!$C$9:$C$308,$C131),COUNTIFS('المبيعات اليومية'!$C$9:$C$308,$C131,'المبيعات اليومية'!$A$9:$A$308,"&gt;="&amp;IF($B$4="",0,$B$4),'المبيعات اليومية'!$A$9:$A$308,"&lt;="&amp;IF($B$5="",2958465,$B$5))))</f>
        <v/>
      </c>
      <c r="E131" s="28" t="str">
        <f aca="false">IF($C131="","",IF($B$4&amp;$B$5="",SUMIFS('المبيعات اليومية'!$E$9:$E$308,'المبيعات اليومية'!$C$9:$C$308,$C131),SUMIFS('المبيعات اليومية'!$E$9:$E$308,'المبيعات اليومية'!$C$9:$C$308,$C131,'المبيعات اليومية'!$A$9:$A$308,"&gt;="&amp;IF($B$4="",0,$B$4),'المبيعات اليومية'!$A$9:$A$308,"&lt;="&amp;IF($B$5="",2958465,$B$5))))</f>
        <v/>
      </c>
      <c r="F131" s="19" t="str">
        <f aca="false">IF($C131="","",IF($B$4&amp;$B$5="",SUMIFS('المبيعات اليومية'!$H$9:$H$308,'المبيعات اليومية'!$C$9:$C$308,$C131),SUMIFS('المبيعات اليومية'!$H$9:$H$308,'المبيعات اليومية'!$C$9:$C$308,$C131,'المبيعات اليومية'!$A$9:$A$308,"&gt;="&amp;IF($B$4="",0,$B$4),'المبيعات اليومية'!$A$9:$A$308,"&lt;="&amp;IF($B$5="",2958465,$B$5))))</f>
        <v/>
      </c>
      <c r="G131" s="19" t="str">
        <f aca="false">IF($C131="","",IF($B$4&amp;$B$5="",SUMIFS('المبيعات اليومية'!$I$9:$I$308,'المبيعات اليومية'!$C$9:$C$308,$C131),SUMIFS('المبيعات اليومية'!$I$9:$I$308,'المبيعات اليومية'!$C$9:$C$308,$C131,'المبيعات اليومية'!$A$9:$A$308,"&gt;="&amp;IF($B$4="",0,$B$4),'المبيعات اليومية'!$A$9:$A$308,"&lt;="&amp;IF($B$5="",2958465,$B$5))))</f>
        <v/>
      </c>
      <c r="H131" s="20" t="str">
        <f aca="false">IF($C131="","",IF($B$4&amp;$B$5="",SUMIFS('المبيعات اليومية'!$J$9:$J$308,'المبيعات اليومية'!$C$9:$C$308,$C131),SUMIFS('المبيعات اليومية'!$J$9:$J$308,'المبيعات اليومية'!$C$9:$C$308,$C131,'المبيعات اليومية'!$A$9:$A$308,"&gt;="&amp;IF($B$4="",0,$B$4),'المبيعات اليومية'!$A$9:$A$308,"&lt;="&amp;IF($B$5="",2958465,$B$5))))</f>
        <v/>
      </c>
      <c r="I131" s="29" t="str">
        <f aca="false">IF(OR($C131="",$H$208=0),"",H131/$H$208)</f>
        <v/>
      </c>
      <c r="J131" s="19" t="str">
        <f aca="false">IF(OR(C131="",N(E131)=0),"",F131/E131)</f>
        <v/>
      </c>
    </row>
    <row r="132" customFormat="false" ht="15" hidden="false" customHeight="false" outlineLevel="0" collapsed="false">
      <c r="A132" s="21" t="str">
        <f aca="false">IF(C132="","",125)</f>
        <v/>
      </c>
      <c r="B132" s="21" t="str">
        <f aca="false">IF('دليل الأصناف'!$B$128="","",'دليل الأصناف'!$A$128)</f>
        <v/>
      </c>
      <c r="C132" s="4" t="str">
        <f aca="false">IF('دليل الأصناف'!$B$128="","",'دليل الأصناف'!$B$128)</f>
        <v/>
      </c>
      <c r="D132" s="27" t="str">
        <f aca="false">IF($C132="","",IF($B$4&amp;$B$5="",COUNTIFS('المبيعات اليومية'!$C$9:$C$308,$C132),COUNTIFS('المبيعات اليومية'!$C$9:$C$308,$C132,'المبيعات اليومية'!$A$9:$A$308,"&gt;="&amp;IF($B$4="",0,$B$4),'المبيعات اليومية'!$A$9:$A$308,"&lt;="&amp;IF($B$5="",2958465,$B$5))))</f>
        <v/>
      </c>
      <c r="E132" s="28" t="str">
        <f aca="false">IF($C132="","",IF($B$4&amp;$B$5="",SUMIFS('المبيعات اليومية'!$E$9:$E$308,'المبيعات اليومية'!$C$9:$C$308,$C132),SUMIFS('المبيعات اليومية'!$E$9:$E$308,'المبيعات اليومية'!$C$9:$C$308,$C132,'المبيعات اليومية'!$A$9:$A$308,"&gt;="&amp;IF($B$4="",0,$B$4),'المبيعات اليومية'!$A$9:$A$308,"&lt;="&amp;IF($B$5="",2958465,$B$5))))</f>
        <v/>
      </c>
      <c r="F132" s="19" t="str">
        <f aca="false">IF($C132="","",IF($B$4&amp;$B$5="",SUMIFS('المبيعات اليومية'!$H$9:$H$308,'المبيعات اليومية'!$C$9:$C$308,$C132),SUMIFS('المبيعات اليومية'!$H$9:$H$308,'المبيعات اليومية'!$C$9:$C$308,$C132,'المبيعات اليومية'!$A$9:$A$308,"&gt;="&amp;IF($B$4="",0,$B$4),'المبيعات اليومية'!$A$9:$A$308,"&lt;="&amp;IF($B$5="",2958465,$B$5))))</f>
        <v/>
      </c>
      <c r="G132" s="19" t="str">
        <f aca="false">IF($C132="","",IF($B$4&amp;$B$5="",SUMIFS('المبيعات اليومية'!$I$9:$I$308,'المبيعات اليومية'!$C$9:$C$308,$C132),SUMIFS('المبيعات اليومية'!$I$9:$I$308,'المبيعات اليومية'!$C$9:$C$308,$C132,'المبيعات اليومية'!$A$9:$A$308,"&gt;="&amp;IF($B$4="",0,$B$4),'المبيعات اليومية'!$A$9:$A$308,"&lt;="&amp;IF($B$5="",2958465,$B$5))))</f>
        <v/>
      </c>
      <c r="H132" s="20" t="str">
        <f aca="false">IF($C132="","",IF($B$4&amp;$B$5="",SUMIFS('المبيعات اليومية'!$J$9:$J$308,'المبيعات اليومية'!$C$9:$C$308,$C132),SUMIFS('المبيعات اليومية'!$J$9:$J$308,'المبيعات اليومية'!$C$9:$C$308,$C132,'المبيعات اليومية'!$A$9:$A$308,"&gt;="&amp;IF($B$4="",0,$B$4),'المبيعات اليومية'!$A$9:$A$308,"&lt;="&amp;IF($B$5="",2958465,$B$5))))</f>
        <v/>
      </c>
      <c r="I132" s="29" t="str">
        <f aca="false">IF(OR($C132="",$H$208=0),"",H132/$H$208)</f>
        <v/>
      </c>
      <c r="J132" s="19" t="str">
        <f aca="false">IF(OR(C132="",N(E132)=0),"",F132/E132)</f>
        <v/>
      </c>
    </row>
    <row r="133" customFormat="false" ht="15" hidden="false" customHeight="false" outlineLevel="0" collapsed="false">
      <c r="A133" s="21" t="str">
        <f aca="false">IF(C133="","",126)</f>
        <v/>
      </c>
      <c r="B133" s="21" t="str">
        <f aca="false">IF('دليل الأصناف'!$B$129="","",'دليل الأصناف'!$A$129)</f>
        <v/>
      </c>
      <c r="C133" s="4" t="str">
        <f aca="false">IF('دليل الأصناف'!$B$129="","",'دليل الأصناف'!$B$129)</f>
        <v/>
      </c>
      <c r="D133" s="27" t="str">
        <f aca="false">IF($C133="","",IF($B$4&amp;$B$5="",COUNTIFS('المبيعات اليومية'!$C$9:$C$308,$C133),COUNTIFS('المبيعات اليومية'!$C$9:$C$308,$C133,'المبيعات اليومية'!$A$9:$A$308,"&gt;="&amp;IF($B$4="",0,$B$4),'المبيعات اليومية'!$A$9:$A$308,"&lt;="&amp;IF($B$5="",2958465,$B$5))))</f>
        <v/>
      </c>
      <c r="E133" s="28" t="str">
        <f aca="false">IF($C133="","",IF($B$4&amp;$B$5="",SUMIFS('المبيعات اليومية'!$E$9:$E$308,'المبيعات اليومية'!$C$9:$C$308,$C133),SUMIFS('المبيعات اليومية'!$E$9:$E$308,'المبيعات اليومية'!$C$9:$C$308,$C133,'المبيعات اليومية'!$A$9:$A$308,"&gt;="&amp;IF($B$4="",0,$B$4),'المبيعات اليومية'!$A$9:$A$308,"&lt;="&amp;IF($B$5="",2958465,$B$5))))</f>
        <v/>
      </c>
      <c r="F133" s="19" t="str">
        <f aca="false">IF($C133="","",IF($B$4&amp;$B$5="",SUMIFS('المبيعات اليومية'!$H$9:$H$308,'المبيعات اليومية'!$C$9:$C$308,$C133),SUMIFS('المبيعات اليومية'!$H$9:$H$308,'المبيعات اليومية'!$C$9:$C$308,$C133,'المبيعات اليومية'!$A$9:$A$308,"&gt;="&amp;IF($B$4="",0,$B$4),'المبيعات اليومية'!$A$9:$A$308,"&lt;="&amp;IF($B$5="",2958465,$B$5))))</f>
        <v/>
      </c>
      <c r="G133" s="19" t="str">
        <f aca="false">IF($C133="","",IF($B$4&amp;$B$5="",SUMIFS('المبيعات اليومية'!$I$9:$I$308,'المبيعات اليومية'!$C$9:$C$308,$C133),SUMIFS('المبيعات اليومية'!$I$9:$I$308,'المبيعات اليومية'!$C$9:$C$308,$C133,'المبيعات اليومية'!$A$9:$A$308,"&gt;="&amp;IF($B$4="",0,$B$4),'المبيعات اليومية'!$A$9:$A$308,"&lt;="&amp;IF($B$5="",2958465,$B$5))))</f>
        <v/>
      </c>
      <c r="H133" s="20" t="str">
        <f aca="false">IF($C133="","",IF($B$4&amp;$B$5="",SUMIFS('المبيعات اليومية'!$J$9:$J$308,'المبيعات اليومية'!$C$9:$C$308,$C133),SUMIFS('المبيعات اليومية'!$J$9:$J$308,'المبيعات اليومية'!$C$9:$C$308,$C133,'المبيعات اليومية'!$A$9:$A$308,"&gt;="&amp;IF($B$4="",0,$B$4),'المبيعات اليومية'!$A$9:$A$308,"&lt;="&amp;IF($B$5="",2958465,$B$5))))</f>
        <v/>
      </c>
      <c r="I133" s="29" t="str">
        <f aca="false">IF(OR($C133="",$H$208=0),"",H133/$H$208)</f>
        <v/>
      </c>
      <c r="J133" s="19" t="str">
        <f aca="false">IF(OR(C133="",N(E133)=0),"",F133/E133)</f>
        <v/>
      </c>
    </row>
    <row r="134" customFormat="false" ht="15" hidden="false" customHeight="false" outlineLevel="0" collapsed="false">
      <c r="A134" s="21" t="str">
        <f aca="false">IF(C134="","",127)</f>
        <v/>
      </c>
      <c r="B134" s="21" t="str">
        <f aca="false">IF('دليل الأصناف'!$B$130="","",'دليل الأصناف'!$A$130)</f>
        <v/>
      </c>
      <c r="C134" s="4" t="str">
        <f aca="false">IF('دليل الأصناف'!$B$130="","",'دليل الأصناف'!$B$130)</f>
        <v/>
      </c>
      <c r="D134" s="27" t="str">
        <f aca="false">IF($C134="","",IF($B$4&amp;$B$5="",COUNTIFS('المبيعات اليومية'!$C$9:$C$308,$C134),COUNTIFS('المبيعات اليومية'!$C$9:$C$308,$C134,'المبيعات اليومية'!$A$9:$A$308,"&gt;="&amp;IF($B$4="",0,$B$4),'المبيعات اليومية'!$A$9:$A$308,"&lt;="&amp;IF($B$5="",2958465,$B$5))))</f>
        <v/>
      </c>
      <c r="E134" s="28" t="str">
        <f aca="false">IF($C134="","",IF($B$4&amp;$B$5="",SUMIFS('المبيعات اليومية'!$E$9:$E$308,'المبيعات اليومية'!$C$9:$C$308,$C134),SUMIFS('المبيعات اليومية'!$E$9:$E$308,'المبيعات اليومية'!$C$9:$C$308,$C134,'المبيعات اليومية'!$A$9:$A$308,"&gt;="&amp;IF($B$4="",0,$B$4),'المبيعات اليومية'!$A$9:$A$308,"&lt;="&amp;IF($B$5="",2958465,$B$5))))</f>
        <v/>
      </c>
      <c r="F134" s="19" t="str">
        <f aca="false">IF($C134="","",IF($B$4&amp;$B$5="",SUMIFS('المبيعات اليومية'!$H$9:$H$308,'المبيعات اليومية'!$C$9:$C$308,$C134),SUMIFS('المبيعات اليومية'!$H$9:$H$308,'المبيعات اليومية'!$C$9:$C$308,$C134,'المبيعات اليومية'!$A$9:$A$308,"&gt;="&amp;IF($B$4="",0,$B$4),'المبيعات اليومية'!$A$9:$A$308,"&lt;="&amp;IF($B$5="",2958465,$B$5))))</f>
        <v/>
      </c>
      <c r="G134" s="19" t="str">
        <f aca="false">IF($C134="","",IF($B$4&amp;$B$5="",SUMIFS('المبيعات اليومية'!$I$9:$I$308,'المبيعات اليومية'!$C$9:$C$308,$C134),SUMIFS('المبيعات اليومية'!$I$9:$I$308,'المبيعات اليومية'!$C$9:$C$308,$C134,'المبيعات اليومية'!$A$9:$A$308,"&gt;="&amp;IF($B$4="",0,$B$4),'المبيعات اليومية'!$A$9:$A$308,"&lt;="&amp;IF($B$5="",2958465,$B$5))))</f>
        <v/>
      </c>
      <c r="H134" s="20" t="str">
        <f aca="false">IF($C134="","",IF($B$4&amp;$B$5="",SUMIFS('المبيعات اليومية'!$J$9:$J$308,'المبيعات اليومية'!$C$9:$C$308,$C134),SUMIFS('المبيعات اليومية'!$J$9:$J$308,'المبيعات اليومية'!$C$9:$C$308,$C134,'المبيعات اليومية'!$A$9:$A$308,"&gt;="&amp;IF($B$4="",0,$B$4),'المبيعات اليومية'!$A$9:$A$308,"&lt;="&amp;IF($B$5="",2958465,$B$5))))</f>
        <v/>
      </c>
      <c r="I134" s="29" t="str">
        <f aca="false">IF(OR($C134="",$H$208=0),"",H134/$H$208)</f>
        <v/>
      </c>
      <c r="J134" s="19" t="str">
        <f aca="false">IF(OR(C134="",N(E134)=0),"",F134/E134)</f>
        <v/>
      </c>
    </row>
    <row r="135" customFormat="false" ht="15" hidden="false" customHeight="false" outlineLevel="0" collapsed="false">
      <c r="A135" s="21" t="str">
        <f aca="false">IF(C135="","",128)</f>
        <v/>
      </c>
      <c r="B135" s="21" t="str">
        <f aca="false">IF('دليل الأصناف'!$B$131="","",'دليل الأصناف'!$A$131)</f>
        <v/>
      </c>
      <c r="C135" s="4" t="str">
        <f aca="false">IF('دليل الأصناف'!$B$131="","",'دليل الأصناف'!$B$131)</f>
        <v/>
      </c>
      <c r="D135" s="27" t="str">
        <f aca="false">IF($C135="","",IF($B$4&amp;$B$5="",COUNTIFS('المبيعات اليومية'!$C$9:$C$308,$C135),COUNTIFS('المبيعات اليومية'!$C$9:$C$308,$C135,'المبيعات اليومية'!$A$9:$A$308,"&gt;="&amp;IF($B$4="",0,$B$4),'المبيعات اليومية'!$A$9:$A$308,"&lt;="&amp;IF($B$5="",2958465,$B$5))))</f>
        <v/>
      </c>
      <c r="E135" s="28" t="str">
        <f aca="false">IF($C135="","",IF($B$4&amp;$B$5="",SUMIFS('المبيعات اليومية'!$E$9:$E$308,'المبيعات اليومية'!$C$9:$C$308,$C135),SUMIFS('المبيعات اليومية'!$E$9:$E$308,'المبيعات اليومية'!$C$9:$C$308,$C135,'المبيعات اليومية'!$A$9:$A$308,"&gt;="&amp;IF($B$4="",0,$B$4),'المبيعات اليومية'!$A$9:$A$308,"&lt;="&amp;IF($B$5="",2958465,$B$5))))</f>
        <v/>
      </c>
      <c r="F135" s="19" t="str">
        <f aca="false">IF($C135="","",IF($B$4&amp;$B$5="",SUMIFS('المبيعات اليومية'!$H$9:$H$308,'المبيعات اليومية'!$C$9:$C$308,$C135),SUMIFS('المبيعات اليومية'!$H$9:$H$308,'المبيعات اليومية'!$C$9:$C$308,$C135,'المبيعات اليومية'!$A$9:$A$308,"&gt;="&amp;IF($B$4="",0,$B$4),'المبيعات اليومية'!$A$9:$A$308,"&lt;="&amp;IF($B$5="",2958465,$B$5))))</f>
        <v/>
      </c>
      <c r="G135" s="19" t="str">
        <f aca="false">IF($C135="","",IF($B$4&amp;$B$5="",SUMIFS('المبيعات اليومية'!$I$9:$I$308,'المبيعات اليومية'!$C$9:$C$308,$C135),SUMIFS('المبيعات اليومية'!$I$9:$I$308,'المبيعات اليومية'!$C$9:$C$308,$C135,'المبيعات اليومية'!$A$9:$A$308,"&gt;="&amp;IF($B$4="",0,$B$4),'المبيعات اليومية'!$A$9:$A$308,"&lt;="&amp;IF($B$5="",2958465,$B$5))))</f>
        <v/>
      </c>
      <c r="H135" s="20" t="str">
        <f aca="false">IF($C135="","",IF($B$4&amp;$B$5="",SUMIFS('المبيعات اليومية'!$J$9:$J$308,'المبيعات اليومية'!$C$9:$C$308,$C135),SUMIFS('المبيعات اليومية'!$J$9:$J$308,'المبيعات اليومية'!$C$9:$C$308,$C135,'المبيعات اليومية'!$A$9:$A$308,"&gt;="&amp;IF($B$4="",0,$B$4),'المبيعات اليومية'!$A$9:$A$308,"&lt;="&amp;IF($B$5="",2958465,$B$5))))</f>
        <v/>
      </c>
      <c r="I135" s="29" t="str">
        <f aca="false">IF(OR($C135="",$H$208=0),"",H135/$H$208)</f>
        <v/>
      </c>
      <c r="J135" s="19" t="str">
        <f aca="false">IF(OR(C135="",N(E135)=0),"",F135/E135)</f>
        <v/>
      </c>
    </row>
    <row r="136" customFormat="false" ht="15" hidden="false" customHeight="false" outlineLevel="0" collapsed="false">
      <c r="A136" s="21" t="str">
        <f aca="false">IF(C136="","",129)</f>
        <v/>
      </c>
      <c r="B136" s="21" t="str">
        <f aca="false">IF('دليل الأصناف'!$B$132="","",'دليل الأصناف'!$A$132)</f>
        <v/>
      </c>
      <c r="C136" s="4" t="str">
        <f aca="false">IF('دليل الأصناف'!$B$132="","",'دليل الأصناف'!$B$132)</f>
        <v/>
      </c>
      <c r="D136" s="27" t="str">
        <f aca="false">IF($C136="","",IF($B$4&amp;$B$5="",COUNTIFS('المبيعات اليومية'!$C$9:$C$308,$C136),COUNTIFS('المبيعات اليومية'!$C$9:$C$308,$C136,'المبيعات اليومية'!$A$9:$A$308,"&gt;="&amp;IF($B$4="",0,$B$4),'المبيعات اليومية'!$A$9:$A$308,"&lt;="&amp;IF($B$5="",2958465,$B$5))))</f>
        <v/>
      </c>
      <c r="E136" s="28" t="str">
        <f aca="false">IF($C136="","",IF($B$4&amp;$B$5="",SUMIFS('المبيعات اليومية'!$E$9:$E$308,'المبيعات اليومية'!$C$9:$C$308,$C136),SUMIFS('المبيعات اليومية'!$E$9:$E$308,'المبيعات اليومية'!$C$9:$C$308,$C136,'المبيعات اليومية'!$A$9:$A$308,"&gt;="&amp;IF($B$4="",0,$B$4),'المبيعات اليومية'!$A$9:$A$308,"&lt;="&amp;IF($B$5="",2958465,$B$5))))</f>
        <v/>
      </c>
      <c r="F136" s="19" t="str">
        <f aca="false">IF($C136="","",IF($B$4&amp;$B$5="",SUMIFS('المبيعات اليومية'!$H$9:$H$308,'المبيعات اليومية'!$C$9:$C$308,$C136),SUMIFS('المبيعات اليومية'!$H$9:$H$308,'المبيعات اليومية'!$C$9:$C$308,$C136,'المبيعات اليومية'!$A$9:$A$308,"&gt;="&amp;IF($B$4="",0,$B$4),'المبيعات اليومية'!$A$9:$A$308,"&lt;="&amp;IF($B$5="",2958465,$B$5))))</f>
        <v/>
      </c>
      <c r="G136" s="19" t="str">
        <f aca="false">IF($C136="","",IF($B$4&amp;$B$5="",SUMIFS('المبيعات اليومية'!$I$9:$I$308,'المبيعات اليومية'!$C$9:$C$308,$C136),SUMIFS('المبيعات اليومية'!$I$9:$I$308,'المبيعات اليومية'!$C$9:$C$308,$C136,'المبيعات اليومية'!$A$9:$A$308,"&gt;="&amp;IF($B$4="",0,$B$4),'المبيعات اليومية'!$A$9:$A$308,"&lt;="&amp;IF($B$5="",2958465,$B$5))))</f>
        <v/>
      </c>
      <c r="H136" s="20" t="str">
        <f aca="false">IF($C136="","",IF($B$4&amp;$B$5="",SUMIFS('المبيعات اليومية'!$J$9:$J$308,'المبيعات اليومية'!$C$9:$C$308,$C136),SUMIFS('المبيعات اليومية'!$J$9:$J$308,'المبيعات اليومية'!$C$9:$C$308,$C136,'المبيعات اليومية'!$A$9:$A$308,"&gt;="&amp;IF($B$4="",0,$B$4),'المبيعات اليومية'!$A$9:$A$308,"&lt;="&amp;IF($B$5="",2958465,$B$5))))</f>
        <v/>
      </c>
      <c r="I136" s="29" t="str">
        <f aca="false">IF(OR($C136="",$H$208=0),"",H136/$H$208)</f>
        <v/>
      </c>
      <c r="J136" s="19" t="str">
        <f aca="false">IF(OR(C136="",N(E136)=0),"",F136/E136)</f>
        <v/>
      </c>
    </row>
    <row r="137" customFormat="false" ht="15" hidden="false" customHeight="false" outlineLevel="0" collapsed="false">
      <c r="A137" s="21" t="str">
        <f aca="false">IF(C137="","",130)</f>
        <v/>
      </c>
      <c r="B137" s="21" t="str">
        <f aca="false">IF('دليل الأصناف'!$B$133="","",'دليل الأصناف'!$A$133)</f>
        <v/>
      </c>
      <c r="C137" s="4" t="str">
        <f aca="false">IF('دليل الأصناف'!$B$133="","",'دليل الأصناف'!$B$133)</f>
        <v/>
      </c>
      <c r="D137" s="27" t="str">
        <f aca="false">IF($C137="","",IF($B$4&amp;$B$5="",COUNTIFS('المبيعات اليومية'!$C$9:$C$308,$C137),COUNTIFS('المبيعات اليومية'!$C$9:$C$308,$C137,'المبيعات اليومية'!$A$9:$A$308,"&gt;="&amp;IF($B$4="",0,$B$4),'المبيعات اليومية'!$A$9:$A$308,"&lt;="&amp;IF($B$5="",2958465,$B$5))))</f>
        <v/>
      </c>
      <c r="E137" s="28" t="str">
        <f aca="false">IF($C137="","",IF($B$4&amp;$B$5="",SUMIFS('المبيعات اليومية'!$E$9:$E$308,'المبيعات اليومية'!$C$9:$C$308,$C137),SUMIFS('المبيعات اليومية'!$E$9:$E$308,'المبيعات اليومية'!$C$9:$C$308,$C137,'المبيعات اليومية'!$A$9:$A$308,"&gt;="&amp;IF($B$4="",0,$B$4),'المبيعات اليومية'!$A$9:$A$308,"&lt;="&amp;IF($B$5="",2958465,$B$5))))</f>
        <v/>
      </c>
      <c r="F137" s="19" t="str">
        <f aca="false">IF($C137="","",IF($B$4&amp;$B$5="",SUMIFS('المبيعات اليومية'!$H$9:$H$308,'المبيعات اليومية'!$C$9:$C$308,$C137),SUMIFS('المبيعات اليومية'!$H$9:$H$308,'المبيعات اليومية'!$C$9:$C$308,$C137,'المبيعات اليومية'!$A$9:$A$308,"&gt;="&amp;IF($B$4="",0,$B$4),'المبيعات اليومية'!$A$9:$A$308,"&lt;="&amp;IF($B$5="",2958465,$B$5))))</f>
        <v/>
      </c>
      <c r="G137" s="19" t="str">
        <f aca="false">IF($C137="","",IF($B$4&amp;$B$5="",SUMIFS('المبيعات اليومية'!$I$9:$I$308,'المبيعات اليومية'!$C$9:$C$308,$C137),SUMIFS('المبيعات اليومية'!$I$9:$I$308,'المبيعات اليومية'!$C$9:$C$308,$C137,'المبيعات اليومية'!$A$9:$A$308,"&gt;="&amp;IF($B$4="",0,$B$4),'المبيعات اليومية'!$A$9:$A$308,"&lt;="&amp;IF($B$5="",2958465,$B$5))))</f>
        <v/>
      </c>
      <c r="H137" s="20" t="str">
        <f aca="false">IF($C137="","",IF($B$4&amp;$B$5="",SUMIFS('المبيعات اليومية'!$J$9:$J$308,'المبيعات اليومية'!$C$9:$C$308,$C137),SUMIFS('المبيعات اليومية'!$J$9:$J$308,'المبيعات اليومية'!$C$9:$C$308,$C137,'المبيعات اليومية'!$A$9:$A$308,"&gt;="&amp;IF($B$4="",0,$B$4),'المبيعات اليومية'!$A$9:$A$308,"&lt;="&amp;IF($B$5="",2958465,$B$5))))</f>
        <v/>
      </c>
      <c r="I137" s="29" t="str">
        <f aca="false">IF(OR($C137="",$H$208=0),"",H137/$H$208)</f>
        <v/>
      </c>
      <c r="J137" s="19" t="str">
        <f aca="false">IF(OR(C137="",N(E137)=0),"",F137/E137)</f>
        <v/>
      </c>
    </row>
    <row r="138" customFormat="false" ht="15" hidden="false" customHeight="false" outlineLevel="0" collapsed="false">
      <c r="A138" s="21" t="str">
        <f aca="false">IF(C138="","",131)</f>
        <v/>
      </c>
      <c r="B138" s="21" t="str">
        <f aca="false">IF('دليل الأصناف'!$B$134="","",'دليل الأصناف'!$A$134)</f>
        <v/>
      </c>
      <c r="C138" s="4" t="str">
        <f aca="false">IF('دليل الأصناف'!$B$134="","",'دليل الأصناف'!$B$134)</f>
        <v/>
      </c>
      <c r="D138" s="27" t="str">
        <f aca="false">IF($C138="","",IF($B$4&amp;$B$5="",COUNTIFS('المبيعات اليومية'!$C$9:$C$308,$C138),COUNTIFS('المبيعات اليومية'!$C$9:$C$308,$C138,'المبيعات اليومية'!$A$9:$A$308,"&gt;="&amp;IF($B$4="",0,$B$4),'المبيعات اليومية'!$A$9:$A$308,"&lt;="&amp;IF($B$5="",2958465,$B$5))))</f>
        <v/>
      </c>
      <c r="E138" s="28" t="str">
        <f aca="false">IF($C138="","",IF($B$4&amp;$B$5="",SUMIFS('المبيعات اليومية'!$E$9:$E$308,'المبيعات اليومية'!$C$9:$C$308,$C138),SUMIFS('المبيعات اليومية'!$E$9:$E$308,'المبيعات اليومية'!$C$9:$C$308,$C138,'المبيعات اليومية'!$A$9:$A$308,"&gt;="&amp;IF($B$4="",0,$B$4),'المبيعات اليومية'!$A$9:$A$308,"&lt;="&amp;IF($B$5="",2958465,$B$5))))</f>
        <v/>
      </c>
      <c r="F138" s="19" t="str">
        <f aca="false">IF($C138="","",IF($B$4&amp;$B$5="",SUMIFS('المبيعات اليومية'!$H$9:$H$308,'المبيعات اليومية'!$C$9:$C$308,$C138),SUMIFS('المبيعات اليومية'!$H$9:$H$308,'المبيعات اليومية'!$C$9:$C$308,$C138,'المبيعات اليومية'!$A$9:$A$308,"&gt;="&amp;IF($B$4="",0,$B$4),'المبيعات اليومية'!$A$9:$A$308,"&lt;="&amp;IF($B$5="",2958465,$B$5))))</f>
        <v/>
      </c>
      <c r="G138" s="19" t="str">
        <f aca="false">IF($C138="","",IF($B$4&amp;$B$5="",SUMIFS('المبيعات اليومية'!$I$9:$I$308,'المبيعات اليومية'!$C$9:$C$308,$C138),SUMIFS('المبيعات اليومية'!$I$9:$I$308,'المبيعات اليومية'!$C$9:$C$308,$C138,'المبيعات اليومية'!$A$9:$A$308,"&gt;="&amp;IF($B$4="",0,$B$4),'المبيعات اليومية'!$A$9:$A$308,"&lt;="&amp;IF($B$5="",2958465,$B$5))))</f>
        <v/>
      </c>
      <c r="H138" s="20" t="str">
        <f aca="false">IF($C138="","",IF($B$4&amp;$B$5="",SUMIFS('المبيعات اليومية'!$J$9:$J$308,'المبيعات اليومية'!$C$9:$C$308,$C138),SUMIFS('المبيعات اليومية'!$J$9:$J$308,'المبيعات اليومية'!$C$9:$C$308,$C138,'المبيعات اليومية'!$A$9:$A$308,"&gt;="&amp;IF($B$4="",0,$B$4),'المبيعات اليومية'!$A$9:$A$308,"&lt;="&amp;IF($B$5="",2958465,$B$5))))</f>
        <v/>
      </c>
      <c r="I138" s="29" t="str">
        <f aca="false">IF(OR($C138="",$H$208=0),"",H138/$H$208)</f>
        <v/>
      </c>
      <c r="J138" s="19" t="str">
        <f aca="false">IF(OR(C138="",N(E138)=0),"",F138/E138)</f>
        <v/>
      </c>
    </row>
    <row r="139" customFormat="false" ht="15" hidden="false" customHeight="false" outlineLevel="0" collapsed="false">
      <c r="A139" s="21" t="str">
        <f aca="false">IF(C139="","",132)</f>
        <v/>
      </c>
      <c r="B139" s="21" t="str">
        <f aca="false">IF('دليل الأصناف'!$B$135="","",'دليل الأصناف'!$A$135)</f>
        <v/>
      </c>
      <c r="C139" s="4" t="str">
        <f aca="false">IF('دليل الأصناف'!$B$135="","",'دليل الأصناف'!$B$135)</f>
        <v/>
      </c>
      <c r="D139" s="27" t="str">
        <f aca="false">IF($C139="","",IF($B$4&amp;$B$5="",COUNTIFS('المبيعات اليومية'!$C$9:$C$308,$C139),COUNTIFS('المبيعات اليومية'!$C$9:$C$308,$C139,'المبيعات اليومية'!$A$9:$A$308,"&gt;="&amp;IF($B$4="",0,$B$4),'المبيعات اليومية'!$A$9:$A$308,"&lt;="&amp;IF($B$5="",2958465,$B$5))))</f>
        <v/>
      </c>
      <c r="E139" s="28" t="str">
        <f aca="false">IF($C139="","",IF($B$4&amp;$B$5="",SUMIFS('المبيعات اليومية'!$E$9:$E$308,'المبيعات اليومية'!$C$9:$C$308,$C139),SUMIFS('المبيعات اليومية'!$E$9:$E$308,'المبيعات اليومية'!$C$9:$C$308,$C139,'المبيعات اليومية'!$A$9:$A$308,"&gt;="&amp;IF($B$4="",0,$B$4),'المبيعات اليومية'!$A$9:$A$308,"&lt;="&amp;IF($B$5="",2958465,$B$5))))</f>
        <v/>
      </c>
      <c r="F139" s="19" t="str">
        <f aca="false">IF($C139="","",IF($B$4&amp;$B$5="",SUMIFS('المبيعات اليومية'!$H$9:$H$308,'المبيعات اليومية'!$C$9:$C$308,$C139),SUMIFS('المبيعات اليومية'!$H$9:$H$308,'المبيعات اليومية'!$C$9:$C$308,$C139,'المبيعات اليومية'!$A$9:$A$308,"&gt;="&amp;IF($B$4="",0,$B$4),'المبيعات اليومية'!$A$9:$A$308,"&lt;="&amp;IF($B$5="",2958465,$B$5))))</f>
        <v/>
      </c>
      <c r="G139" s="19" t="str">
        <f aca="false">IF($C139="","",IF($B$4&amp;$B$5="",SUMIFS('المبيعات اليومية'!$I$9:$I$308,'المبيعات اليومية'!$C$9:$C$308,$C139),SUMIFS('المبيعات اليومية'!$I$9:$I$308,'المبيعات اليومية'!$C$9:$C$308,$C139,'المبيعات اليومية'!$A$9:$A$308,"&gt;="&amp;IF($B$4="",0,$B$4),'المبيعات اليومية'!$A$9:$A$308,"&lt;="&amp;IF($B$5="",2958465,$B$5))))</f>
        <v/>
      </c>
      <c r="H139" s="20" t="str">
        <f aca="false">IF($C139="","",IF($B$4&amp;$B$5="",SUMIFS('المبيعات اليومية'!$J$9:$J$308,'المبيعات اليومية'!$C$9:$C$308,$C139),SUMIFS('المبيعات اليومية'!$J$9:$J$308,'المبيعات اليومية'!$C$9:$C$308,$C139,'المبيعات اليومية'!$A$9:$A$308,"&gt;="&amp;IF($B$4="",0,$B$4),'المبيعات اليومية'!$A$9:$A$308,"&lt;="&amp;IF($B$5="",2958465,$B$5))))</f>
        <v/>
      </c>
      <c r="I139" s="29" t="str">
        <f aca="false">IF(OR($C139="",$H$208=0),"",H139/$H$208)</f>
        <v/>
      </c>
      <c r="J139" s="19" t="str">
        <f aca="false">IF(OR(C139="",N(E139)=0),"",F139/E139)</f>
        <v/>
      </c>
    </row>
    <row r="140" customFormat="false" ht="15" hidden="false" customHeight="false" outlineLevel="0" collapsed="false">
      <c r="A140" s="21" t="str">
        <f aca="false">IF(C140="","",133)</f>
        <v/>
      </c>
      <c r="B140" s="21" t="str">
        <f aca="false">IF('دليل الأصناف'!$B$136="","",'دليل الأصناف'!$A$136)</f>
        <v/>
      </c>
      <c r="C140" s="4" t="str">
        <f aca="false">IF('دليل الأصناف'!$B$136="","",'دليل الأصناف'!$B$136)</f>
        <v/>
      </c>
      <c r="D140" s="27" t="str">
        <f aca="false">IF($C140="","",IF($B$4&amp;$B$5="",COUNTIFS('المبيعات اليومية'!$C$9:$C$308,$C140),COUNTIFS('المبيعات اليومية'!$C$9:$C$308,$C140,'المبيعات اليومية'!$A$9:$A$308,"&gt;="&amp;IF($B$4="",0,$B$4),'المبيعات اليومية'!$A$9:$A$308,"&lt;="&amp;IF($B$5="",2958465,$B$5))))</f>
        <v/>
      </c>
      <c r="E140" s="28" t="str">
        <f aca="false">IF($C140="","",IF($B$4&amp;$B$5="",SUMIFS('المبيعات اليومية'!$E$9:$E$308,'المبيعات اليومية'!$C$9:$C$308,$C140),SUMIFS('المبيعات اليومية'!$E$9:$E$308,'المبيعات اليومية'!$C$9:$C$308,$C140,'المبيعات اليومية'!$A$9:$A$308,"&gt;="&amp;IF($B$4="",0,$B$4),'المبيعات اليومية'!$A$9:$A$308,"&lt;="&amp;IF($B$5="",2958465,$B$5))))</f>
        <v/>
      </c>
      <c r="F140" s="19" t="str">
        <f aca="false">IF($C140="","",IF($B$4&amp;$B$5="",SUMIFS('المبيعات اليومية'!$H$9:$H$308,'المبيعات اليومية'!$C$9:$C$308,$C140),SUMIFS('المبيعات اليومية'!$H$9:$H$308,'المبيعات اليومية'!$C$9:$C$308,$C140,'المبيعات اليومية'!$A$9:$A$308,"&gt;="&amp;IF($B$4="",0,$B$4),'المبيعات اليومية'!$A$9:$A$308,"&lt;="&amp;IF($B$5="",2958465,$B$5))))</f>
        <v/>
      </c>
      <c r="G140" s="19" t="str">
        <f aca="false">IF($C140="","",IF($B$4&amp;$B$5="",SUMIFS('المبيعات اليومية'!$I$9:$I$308,'المبيعات اليومية'!$C$9:$C$308,$C140),SUMIFS('المبيعات اليومية'!$I$9:$I$308,'المبيعات اليومية'!$C$9:$C$308,$C140,'المبيعات اليومية'!$A$9:$A$308,"&gt;="&amp;IF($B$4="",0,$B$4),'المبيعات اليومية'!$A$9:$A$308,"&lt;="&amp;IF($B$5="",2958465,$B$5))))</f>
        <v/>
      </c>
      <c r="H140" s="20" t="str">
        <f aca="false">IF($C140="","",IF($B$4&amp;$B$5="",SUMIFS('المبيعات اليومية'!$J$9:$J$308,'المبيعات اليومية'!$C$9:$C$308,$C140),SUMIFS('المبيعات اليومية'!$J$9:$J$308,'المبيعات اليومية'!$C$9:$C$308,$C140,'المبيعات اليومية'!$A$9:$A$308,"&gt;="&amp;IF($B$4="",0,$B$4),'المبيعات اليومية'!$A$9:$A$308,"&lt;="&amp;IF($B$5="",2958465,$B$5))))</f>
        <v/>
      </c>
      <c r="I140" s="29" t="str">
        <f aca="false">IF(OR($C140="",$H$208=0),"",H140/$H$208)</f>
        <v/>
      </c>
      <c r="J140" s="19" t="str">
        <f aca="false">IF(OR(C140="",N(E140)=0),"",F140/E140)</f>
        <v/>
      </c>
    </row>
    <row r="141" customFormat="false" ht="15" hidden="false" customHeight="false" outlineLevel="0" collapsed="false">
      <c r="A141" s="21" t="str">
        <f aca="false">IF(C141="","",134)</f>
        <v/>
      </c>
      <c r="B141" s="21" t="str">
        <f aca="false">IF('دليل الأصناف'!$B$137="","",'دليل الأصناف'!$A$137)</f>
        <v/>
      </c>
      <c r="C141" s="4" t="str">
        <f aca="false">IF('دليل الأصناف'!$B$137="","",'دليل الأصناف'!$B$137)</f>
        <v/>
      </c>
      <c r="D141" s="27" t="str">
        <f aca="false">IF($C141="","",IF($B$4&amp;$B$5="",COUNTIFS('المبيعات اليومية'!$C$9:$C$308,$C141),COUNTIFS('المبيعات اليومية'!$C$9:$C$308,$C141,'المبيعات اليومية'!$A$9:$A$308,"&gt;="&amp;IF($B$4="",0,$B$4),'المبيعات اليومية'!$A$9:$A$308,"&lt;="&amp;IF($B$5="",2958465,$B$5))))</f>
        <v/>
      </c>
      <c r="E141" s="28" t="str">
        <f aca="false">IF($C141="","",IF($B$4&amp;$B$5="",SUMIFS('المبيعات اليومية'!$E$9:$E$308,'المبيعات اليومية'!$C$9:$C$308,$C141),SUMIFS('المبيعات اليومية'!$E$9:$E$308,'المبيعات اليومية'!$C$9:$C$308,$C141,'المبيعات اليومية'!$A$9:$A$308,"&gt;="&amp;IF($B$4="",0,$B$4),'المبيعات اليومية'!$A$9:$A$308,"&lt;="&amp;IF($B$5="",2958465,$B$5))))</f>
        <v/>
      </c>
      <c r="F141" s="19" t="str">
        <f aca="false">IF($C141="","",IF($B$4&amp;$B$5="",SUMIFS('المبيعات اليومية'!$H$9:$H$308,'المبيعات اليومية'!$C$9:$C$308,$C141),SUMIFS('المبيعات اليومية'!$H$9:$H$308,'المبيعات اليومية'!$C$9:$C$308,$C141,'المبيعات اليومية'!$A$9:$A$308,"&gt;="&amp;IF($B$4="",0,$B$4),'المبيعات اليومية'!$A$9:$A$308,"&lt;="&amp;IF($B$5="",2958465,$B$5))))</f>
        <v/>
      </c>
      <c r="G141" s="19" t="str">
        <f aca="false">IF($C141="","",IF($B$4&amp;$B$5="",SUMIFS('المبيعات اليومية'!$I$9:$I$308,'المبيعات اليومية'!$C$9:$C$308,$C141),SUMIFS('المبيعات اليومية'!$I$9:$I$308,'المبيعات اليومية'!$C$9:$C$308,$C141,'المبيعات اليومية'!$A$9:$A$308,"&gt;="&amp;IF($B$4="",0,$B$4),'المبيعات اليومية'!$A$9:$A$308,"&lt;="&amp;IF($B$5="",2958465,$B$5))))</f>
        <v/>
      </c>
      <c r="H141" s="20" t="str">
        <f aca="false">IF($C141="","",IF($B$4&amp;$B$5="",SUMIFS('المبيعات اليومية'!$J$9:$J$308,'المبيعات اليومية'!$C$9:$C$308,$C141),SUMIFS('المبيعات اليومية'!$J$9:$J$308,'المبيعات اليومية'!$C$9:$C$308,$C141,'المبيعات اليومية'!$A$9:$A$308,"&gt;="&amp;IF($B$4="",0,$B$4),'المبيعات اليومية'!$A$9:$A$308,"&lt;="&amp;IF($B$5="",2958465,$B$5))))</f>
        <v/>
      </c>
      <c r="I141" s="29" t="str">
        <f aca="false">IF(OR($C141="",$H$208=0),"",H141/$H$208)</f>
        <v/>
      </c>
      <c r="J141" s="19" t="str">
        <f aca="false">IF(OR(C141="",N(E141)=0),"",F141/E141)</f>
        <v/>
      </c>
    </row>
    <row r="142" customFormat="false" ht="15" hidden="false" customHeight="false" outlineLevel="0" collapsed="false">
      <c r="A142" s="21" t="str">
        <f aca="false">IF(C142="","",135)</f>
        <v/>
      </c>
      <c r="B142" s="21" t="str">
        <f aca="false">IF('دليل الأصناف'!$B$138="","",'دليل الأصناف'!$A$138)</f>
        <v/>
      </c>
      <c r="C142" s="4" t="str">
        <f aca="false">IF('دليل الأصناف'!$B$138="","",'دليل الأصناف'!$B$138)</f>
        <v/>
      </c>
      <c r="D142" s="27" t="str">
        <f aca="false">IF($C142="","",IF($B$4&amp;$B$5="",COUNTIFS('المبيعات اليومية'!$C$9:$C$308,$C142),COUNTIFS('المبيعات اليومية'!$C$9:$C$308,$C142,'المبيعات اليومية'!$A$9:$A$308,"&gt;="&amp;IF($B$4="",0,$B$4),'المبيعات اليومية'!$A$9:$A$308,"&lt;="&amp;IF($B$5="",2958465,$B$5))))</f>
        <v/>
      </c>
      <c r="E142" s="28" t="str">
        <f aca="false">IF($C142="","",IF($B$4&amp;$B$5="",SUMIFS('المبيعات اليومية'!$E$9:$E$308,'المبيعات اليومية'!$C$9:$C$308,$C142),SUMIFS('المبيعات اليومية'!$E$9:$E$308,'المبيعات اليومية'!$C$9:$C$308,$C142,'المبيعات اليومية'!$A$9:$A$308,"&gt;="&amp;IF($B$4="",0,$B$4),'المبيعات اليومية'!$A$9:$A$308,"&lt;="&amp;IF($B$5="",2958465,$B$5))))</f>
        <v/>
      </c>
      <c r="F142" s="19" t="str">
        <f aca="false">IF($C142="","",IF($B$4&amp;$B$5="",SUMIFS('المبيعات اليومية'!$H$9:$H$308,'المبيعات اليومية'!$C$9:$C$308,$C142),SUMIFS('المبيعات اليومية'!$H$9:$H$308,'المبيعات اليومية'!$C$9:$C$308,$C142,'المبيعات اليومية'!$A$9:$A$308,"&gt;="&amp;IF($B$4="",0,$B$4),'المبيعات اليومية'!$A$9:$A$308,"&lt;="&amp;IF($B$5="",2958465,$B$5))))</f>
        <v/>
      </c>
      <c r="G142" s="19" t="str">
        <f aca="false">IF($C142="","",IF($B$4&amp;$B$5="",SUMIFS('المبيعات اليومية'!$I$9:$I$308,'المبيعات اليومية'!$C$9:$C$308,$C142),SUMIFS('المبيعات اليومية'!$I$9:$I$308,'المبيعات اليومية'!$C$9:$C$308,$C142,'المبيعات اليومية'!$A$9:$A$308,"&gt;="&amp;IF($B$4="",0,$B$4),'المبيعات اليومية'!$A$9:$A$308,"&lt;="&amp;IF($B$5="",2958465,$B$5))))</f>
        <v/>
      </c>
      <c r="H142" s="20" t="str">
        <f aca="false">IF($C142="","",IF($B$4&amp;$B$5="",SUMIFS('المبيعات اليومية'!$J$9:$J$308,'المبيعات اليومية'!$C$9:$C$308,$C142),SUMIFS('المبيعات اليومية'!$J$9:$J$308,'المبيعات اليومية'!$C$9:$C$308,$C142,'المبيعات اليومية'!$A$9:$A$308,"&gt;="&amp;IF($B$4="",0,$B$4),'المبيعات اليومية'!$A$9:$A$308,"&lt;="&amp;IF($B$5="",2958465,$B$5))))</f>
        <v/>
      </c>
      <c r="I142" s="29" t="str">
        <f aca="false">IF(OR($C142="",$H$208=0),"",H142/$H$208)</f>
        <v/>
      </c>
      <c r="J142" s="19" t="str">
        <f aca="false">IF(OR(C142="",N(E142)=0),"",F142/E142)</f>
        <v/>
      </c>
    </row>
    <row r="143" customFormat="false" ht="15" hidden="false" customHeight="false" outlineLevel="0" collapsed="false">
      <c r="A143" s="21" t="str">
        <f aca="false">IF(C143="","",136)</f>
        <v/>
      </c>
      <c r="B143" s="21" t="str">
        <f aca="false">IF('دليل الأصناف'!$B$139="","",'دليل الأصناف'!$A$139)</f>
        <v/>
      </c>
      <c r="C143" s="4" t="str">
        <f aca="false">IF('دليل الأصناف'!$B$139="","",'دليل الأصناف'!$B$139)</f>
        <v/>
      </c>
      <c r="D143" s="27" t="str">
        <f aca="false">IF($C143="","",IF($B$4&amp;$B$5="",COUNTIFS('المبيعات اليومية'!$C$9:$C$308,$C143),COUNTIFS('المبيعات اليومية'!$C$9:$C$308,$C143,'المبيعات اليومية'!$A$9:$A$308,"&gt;="&amp;IF($B$4="",0,$B$4),'المبيعات اليومية'!$A$9:$A$308,"&lt;="&amp;IF($B$5="",2958465,$B$5))))</f>
        <v/>
      </c>
      <c r="E143" s="28" t="str">
        <f aca="false">IF($C143="","",IF($B$4&amp;$B$5="",SUMIFS('المبيعات اليومية'!$E$9:$E$308,'المبيعات اليومية'!$C$9:$C$308,$C143),SUMIFS('المبيعات اليومية'!$E$9:$E$308,'المبيعات اليومية'!$C$9:$C$308,$C143,'المبيعات اليومية'!$A$9:$A$308,"&gt;="&amp;IF($B$4="",0,$B$4),'المبيعات اليومية'!$A$9:$A$308,"&lt;="&amp;IF($B$5="",2958465,$B$5))))</f>
        <v/>
      </c>
      <c r="F143" s="19" t="str">
        <f aca="false">IF($C143="","",IF($B$4&amp;$B$5="",SUMIFS('المبيعات اليومية'!$H$9:$H$308,'المبيعات اليومية'!$C$9:$C$308,$C143),SUMIFS('المبيعات اليومية'!$H$9:$H$308,'المبيعات اليومية'!$C$9:$C$308,$C143,'المبيعات اليومية'!$A$9:$A$308,"&gt;="&amp;IF($B$4="",0,$B$4),'المبيعات اليومية'!$A$9:$A$308,"&lt;="&amp;IF($B$5="",2958465,$B$5))))</f>
        <v/>
      </c>
      <c r="G143" s="19" t="str">
        <f aca="false">IF($C143="","",IF($B$4&amp;$B$5="",SUMIFS('المبيعات اليومية'!$I$9:$I$308,'المبيعات اليومية'!$C$9:$C$308,$C143),SUMIFS('المبيعات اليومية'!$I$9:$I$308,'المبيعات اليومية'!$C$9:$C$308,$C143,'المبيعات اليومية'!$A$9:$A$308,"&gt;="&amp;IF($B$4="",0,$B$4),'المبيعات اليومية'!$A$9:$A$308,"&lt;="&amp;IF($B$5="",2958465,$B$5))))</f>
        <v/>
      </c>
      <c r="H143" s="20" t="str">
        <f aca="false">IF($C143="","",IF($B$4&amp;$B$5="",SUMIFS('المبيعات اليومية'!$J$9:$J$308,'المبيعات اليومية'!$C$9:$C$308,$C143),SUMIFS('المبيعات اليومية'!$J$9:$J$308,'المبيعات اليومية'!$C$9:$C$308,$C143,'المبيعات اليومية'!$A$9:$A$308,"&gt;="&amp;IF($B$4="",0,$B$4),'المبيعات اليومية'!$A$9:$A$308,"&lt;="&amp;IF($B$5="",2958465,$B$5))))</f>
        <v/>
      </c>
      <c r="I143" s="29" t="str">
        <f aca="false">IF(OR($C143="",$H$208=0),"",H143/$H$208)</f>
        <v/>
      </c>
      <c r="J143" s="19" t="str">
        <f aca="false">IF(OR(C143="",N(E143)=0),"",F143/E143)</f>
        <v/>
      </c>
    </row>
    <row r="144" customFormat="false" ht="15" hidden="false" customHeight="false" outlineLevel="0" collapsed="false">
      <c r="A144" s="21" t="str">
        <f aca="false">IF(C144="","",137)</f>
        <v/>
      </c>
      <c r="B144" s="21" t="str">
        <f aca="false">IF('دليل الأصناف'!$B$140="","",'دليل الأصناف'!$A$140)</f>
        <v/>
      </c>
      <c r="C144" s="4" t="str">
        <f aca="false">IF('دليل الأصناف'!$B$140="","",'دليل الأصناف'!$B$140)</f>
        <v/>
      </c>
      <c r="D144" s="27" t="str">
        <f aca="false">IF($C144="","",IF($B$4&amp;$B$5="",COUNTIFS('المبيعات اليومية'!$C$9:$C$308,$C144),COUNTIFS('المبيعات اليومية'!$C$9:$C$308,$C144,'المبيعات اليومية'!$A$9:$A$308,"&gt;="&amp;IF($B$4="",0,$B$4),'المبيعات اليومية'!$A$9:$A$308,"&lt;="&amp;IF($B$5="",2958465,$B$5))))</f>
        <v/>
      </c>
      <c r="E144" s="28" t="str">
        <f aca="false">IF($C144="","",IF($B$4&amp;$B$5="",SUMIFS('المبيعات اليومية'!$E$9:$E$308,'المبيعات اليومية'!$C$9:$C$308,$C144),SUMIFS('المبيعات اليومية'!$E$9:$E$308,'المبيعات اليومية'!$C$9:$C$308,$C144,'المبيعات اليومية'!$A$9:$A$308,"&gt;="&amp;IF($B$4="",0,$B$4),'المبيعات اليومية'!$A$9:$A$308,"&lt;="&amp;IF($B$5="",2958465,$B$5))))</f>
        <v/>
      </c>
      <c r="F144" s="19" t="str">
        <f aca="false">IF($C144="","",IF($B$4&amp;$B$5="",SUMIFS('المبيعات اليومية'!$H$9:$H$308,'المبيعات اليومية'!$C$9:$C$308,$C144),SUMIFS('المبيعات اليومية'!$H$9:$H$308,'المبيعات اليومية'!$C$9:$C$308,$C144,'المبيعات اليومية'!$A$9:$A$308,"&gt;="&amp;IF($B$4="",0,$B$4),'المبيعات اليومية'!$A$9:$A$308,"&lt;="&amp;IF($B$5="",2958465,$B$5))))</f>
        <v/>
      </c>
      <c r="G144" s="19" t="str">
        <f aca="false">IF($C144="","",IF($B$4&amp;$B$5="",SUMIFS('المبيعات اليومية'!$I$9:$I$308,'المبيعات اليومية'!$C$9:$C$308,$C144),SUMIFS('المبيعات اليومية'!$I$9:$I$308,'المبيعات اليومية'!$C$9:$C$308,$C144,'المبيعات اليومية'!$A$9:$A$308,"&gt;="&amp;IF($B$4="",0,$B$4),'المبيعات اليومية'!$A$9:$A$308,"&lt;="&amp;IF($B$5="",2958465,$B$5))))</f>
        <v/>
      </c>
      <c r="H144" s="20" t="str">
        <f aca="false">IF($C144="","",IF($B$4&amp;$B$5="",SUMIFS('المبيعات اليومية'!$J$9:$J$308,'المبيعات اليومية'!$C$9:$C$308,$C144),SUMIFS('المبيعات اليومية'!$J$9:$J$308,'المبيعات اليومية'!$C$9:$C$308,$C144,'المبيعات اليومية'!$A$9:$A$308,"&gt;="&amp;IF($B$4="",0,$B$4),'المبيعات اليومية'!$A$9:$A$308,"&lt;="&amp;IF($B$5="",2958465,$B$5))))</f>
        <v/>
      </c>
      <c r="I144" s="29" t="str">
        <f aca="false">IF(OR($C144="",$H$208=0),"",H144/$H$208)</f>
        <v/>
      </c>
      <c r="J144" s="19" t="str">
        <f aca="false">IF(OR(C144="",N(E144)=0),"",F144/E144)</f>
        <v/>
      </c>
    </row>
    <row r="145" customFormat="false" ht="15" hidden="false" customHeight="false" outlineLevel="0" collapsed="false">
      <c r="A145" s="21" t="str">
        <f aca="false">IF(C145="","",138)</f>
        <v/>
      </c>
      <c r="B145" s="21" t="str">
        <f aca="false">IF('دليل الأصناف'!$B$141="","",'دليل الأصناف'!$A$141)</f>
        <v/>
      </c>
      <c r="C145" s="4" t="str">
        <f aca="false">IF('دليل الأصناف'!$B$141="","",'دليل الأصناف'!$B$141)</f>
        <v/>
      </c>
      <c r="D145" s="27" t="str">
        <f aca="false">IF($C145="","",IF($B$4&amp;$B$5="",COUNTIFS('المبيعات اليومية'!$C$9:$C$308,$C145),COUNTIFS('المبيعات اليومية'!$C$9:$C$308,$C145,'المبيعات اليومية'!$A$9:$A$308,"&gt;="&amp;IF($B$4="",0,$B$4),'المبيعات اليومية'!$A$9:$A$308,"&lt;="&amp;IF($B$5="",2958465,$B$5))))</f>
        <v/>
      </c>
      <c r="E145" s="28" t="str">
        <f aca="false">IF($C145="","",IF($B$4&amp;$B$5="",SUMIFS('المبيعات اليومية'!$E$9:$E$308,'المبيعات اليومية'!$C$9:$C$308,$C145),SUMIFS('المبيعات اليومية'!$E$9:$E$308,'المبيعات اليومية'!$C$9:$C$308,$C145,'المبيعات اليومية'!$A$9:$A$308,"&gt;="&amp;IF($B$4="",0,$B$4),'المبيعات اليومية'!$A$9:$A$308,"&lt;="&amp;IF($B$5="",2958465,$B$5))))</f>
        <v/>
      </c>
      <c r="F145" s="19" t="str">
        <f aca="false">IF($C145="","",IF($B$4&amp;$B$5="",SUMIFS('المبيعات اليومية'!$H$9:$H$308,'المبيعات اليومية'!$C$9:$C$308,$C145),SUMIFS('المبيعات اليومية'!$H$9:$H$308,'المبيعات اليومية'!$C$9:$C$308,$C145,'المبيعات اليومية'!$A$9:$A$308,"&gt;="&amp;IF($B$4="",0,$B$4),'المبيعات اليومية'!$A$9:$A$308,"&lt;="&amp;IF($B$5="",2958465,$B$5))))</f>
        <v/>
      </c>
      <c r="G145" s="19" t="str">
        <f aca="false">IF($C145="","",IF($B$4&amp;$B$5="",SUMIFS('المبيعات اليومية'!$I$9:$I$308,'المبيعات اليومية'!$C$9:$C$308,$C145),SUMIFS('المبيعات اليومية'!$I$9:$I$308,'المبيعات اليومية'!$C$9:$C$308,$C145,'المبيعات اليومية'!$A$9:$A$308,"&gt;="&amp;IF($B$4="",0,$B$4),'المبيعات اليومية'!$A$9:$A$308,"&lt;="&amp;IF($B$5="",2958465,$B$5))))</f>
        <v/>
      </c>
      <c r="H145" s="20" t="str">
        <f aca="false">IF($C145="","",IF($B$4&amp;$B$5="",SUMIFS('المبيعات اليومية'!$J$9:$J$308,'المبيعات اليومية'!$C$9:$C$308,$C145),SUMIFS('المبيعات اليومية'!$J$9:$J$308,'المبيعات اليومية'!$C$9:$C$308,$C145,'المبيعات اليومية'!$A$9:$A$308,"&gt;="&amp;IF($B$4="",0,$B$4),'المبيعات اليومية'!$A$9:$A$308,"&lt;="&amp;IF($B$5="",2958465,$B$5))))</f>
        <v/>
      </c>
      <c r="I145" s="29" t="str">
        <f aca="false">IF(OR($C145="",$H$208=0),"",H145/$H$208)</f>
        <v/>
      </c>
      <c r="J145" s="19" t="str">
        <f aca="false">IF(OR(C145="",N(E145)=0),"",F145/E145)</f>
        <v/>
      </c>
    </row>
    <row r="146" customFormat="false" ht="15" hidden="false" customHeight="false" outlineLevel="0" collapsed="false">
      <c r="A146" s="21" t="str">
        <f aca="false">IF(C146="","",139)</f>
        <v/>
      </c>
      <c r="B146" s="21" t="str">
        <f aca="false">IF('دليل الأصناف'!$B$142="","",'دليل الأصناف'!$A$142)</f>
        <v/>
      </c>
      <c r="C146" s="4" t="str">
        <f aca="false">IF('دليل الأصناف'!$B$142="","",'دليل الأصناف'!$B$142)</f>
        <v/>
      </c>
      <c r="D146" s="27" t="str">
        <f aca="false">IF($C146="","",IF($B$4&amp;$B$5="",COUNTIFS('المبيعات اليومية'!$C$9:$C$308,$C146),COUNTIFS('المبيعات اليومية'!$C$9:$C$308,$C146,'المبيعات اليومية'!$A$9:$A$308,"&gt;="&amp;IF($B$4="",0,$B$4),'المبيعات اليومية'!$A$9:$A$308,"&lt;="&amp;IF($B$5="",2958465,$B$5))))</f>
        <v/>
      </c>
      <c r="E146" s="28" t="str">
        <f aca="false">IF($C146="","",IF($B$4&amp;$B$5="",SUMIFS('المبيعات اليومية'!$E$9:$E$308,'المبيعات اليومية'!$C$9:$C$308,$C146),SUMIFS('المبيعات اليومية'!$E$9:$E$308,'المبيعات اليومية'!$C$9:$C$308,$C146,'المبيعات اليومية'!$A$9:$A$308,"&gt;="&amp;IF($B$4="",0,$B$4),'المبيعات اليومية'!$A$9:$A$308,"&lt;="&amp;IF($B$5="",2958465,$B$5))))</f>
        <v/>
      </c>
      <c r="F146" s="19" t="str">
        <f aca="false">IF($C146="","",IF($B$4&amp;$B$5="",SUMIFS('المبيعات اليومية'!$H$9:$H$308,'المبيعات اليومية'!$C$9:$C$308,$C146),SUMIFS('المبيعات اليومية'!$H$9:$H$308,'المبيعات اليومية'!$C$9:$C$308,$C146,'المبيعات اليومية'!$A$9:$A$308,"&gt;="&amp;IF($B$4="",0,$B$4),'المبيعات اليومية'!$A$9:$A$308,"&lt;="&amp;IF($B$5="",2958465,$B$5))))</f>
        <v/>
      </c>
      <c r="G146" s="19" t="str">
        <f aca="false">IF($C146="","",IF($B$4&amp;$B$5="",SUMIFS('المبيعات اليومية'!$I$9:$I$308,'المبيعات اليومية'!$C$9:$C$308,$C146),SUMIFS('المبيعات اليومية'!$I$9:$I$308,'المبيعات اليومية'!$C$9:$C$308,$C146,'المبيعات اليومية'!$A$9:$A$308,"&gt;="&amp;IF($B$4="",0,$B$4),'المبيعات اليومية'!$A$9:$A$308,"&lt;="&amp;IF($B$5="",2958465,$B$5))))</f>
        <v/>
      </c>
      <c r="H146" s="20" t="str">
        <f aca="false">IF($C146="","",IF($B$4&amp;$B$5="",SUMIFS('المبيعات اليومية'!$J$9:$J$308,'المبيعات اليومية'!$C$9:$C$308,$C146),SUMIFS('المبيعات اليومية'!$J$9:$J$308,'المبيعات اليومية'!$C$9:$C$308,$C146,'المبيعات اليومية'!$A$9:$A$308,"&gt;="&amp;IF($B$4="",0,$B$4),'المبيعات اليومية'!$A$9:$A$308,"&lt;="&amp;IF($B$5="",2958465,$B$5))))</f>
        <v/>
      </c>
      <c r="I146" s="29" t="str">
        <f aca="false">IF(OR($C146="",$H$208=0),"",H146/$H$208)</f>
        <v/>
      </c>
      <c r="J146" s="19" t="str">
        <f aca="false">IF(OR(C146="",N(E146)=0),"",F146/E146)</f>
        <v/>
      </c>
    </row>
    <row r="147" customFormat="false" ht="15" hidden="false" customHeight="false" outlineLevel="0" collapsed="false">
      <c r="A147" s="21" t="str">
        <f aca="false">IF(C147="","",140)</f>
        <v/>
      </c>
      <c r="B147" s="21" t="str">
        <f aca="false">IF('دليل الأصناف'!$B$143="","",'دليل الأصناف'!$A$143)</f>
        <v/>
      </c>
      <c r="C147" s="4" t="str">
        <f aca="false">IF('دليل الأصناف'!$B$143="","",'دليل الأصناف'!$B$143)</f>
        <v/>
      </c>
      <c r="D147" s="27" t="str">
        <f aca="false">IF($C147="","",IF($B$4&amp;$B$5="",COUNTIFS('المبيعات اليومية'!$C$9:$C$308,$C147),COUNTIFS('المبيعات اليومية'!$C$9:$C$308,$C147,'المبيعات اليومية'!$A$9:$A$308,"&gt;="&amp;IF($B$4="",0,$B$4),'المبيعات اليومية'!$A$9:$A$308,"&lt;="&amp;IF($B$5="",2958465,$B$5))))</f>
        <v/>
      </c>
      <c r="E147" s="28" t="str">
        <f aca="false">IF($C147="","",IF($B$4&amp;$B$5="",SUMIFS('المبيعات اليومية'!$E$9:$E$308,'المبيعات اليومية'!$C$9:$C$308,$C147),SUMIFS('المبيعات اليومية'!$E$9:$E$308,'المبيعات اليومية'!$C$9:$C$308,$C147,'المبيعات اليومية'!$A$9:$A$308,"&gt;="&amp;IF($B$4="",0,$B$4),'المبيعات اليومية'!$A$9:$A$308,"&lt;="&amp;IF($B$5="",2958465,$B$5))))</f>
        <v/>
      </c>
      <c r="F147" s="19" t="str">
        <f aca="false">IF($C147="","",IF($B$4&amp;$B$5="",SUMIFS('المبيعات اليومية'!$H$9:$H$308,'المبيعات اليومية'!$C$9:$C$308,$C147),SUMIFS('المبيعات اليومية'!$H$9:$H$308,'المبيعات اليومية'!$C$9:$C$308,$C147,'المبيعات اليومية'!$A$9:$A$308,"&gt;="&amp;IF($B$4="",0,$B$4),'المبيعات اليومية'!$A$9:$A$308,"&lt;="&amp;IF($B$5="",2958465,$B$5))))</f>
        <v/>
      </c>
      <c r="G147" s="19" t="str">
        <f aca="false">IF($C147="","",IF($B$4&amp;$B$5="",SUMIFS('المبيعات اليومية'!$I$9:$I$308,'المبيعات اليومية'!$C$9:$C$308,$C147),SUMIFS('المبيعات اليومية'!$I$9:$I$308,'المبيعات اليومية'!$C$9:$C$308,$C147,'المبيعات اليومية'!$A$9:$A$308,"&gt;="&amp;IF($B$4="",0,$B$4),'المبيعات اليومية'!$A$9:$A$308,"&lt;="&amp;IF($B$5="",2958465,$B$5))))</f>
        <v/>
      </c>
      <c r="H147" s="20" t="str">
        <f aca="false">IF($C147="","",IF($B$4&amp;$B$5="",SUMIFS('المبيعات اليومية'!$J$9:$J$308,'المبيعات اليومية'!$C$9:$C$308,$C147),SUMIFS('المبيعات اليومية'!$J$9:$J$308,'المبيعات اليومية'!$C$9:$C$308,$C147,'المبيعات اليومية'!$A$9:$A$308,"&gt;="&amp;IF($B$4="",0,$B$4),'المبيعات اليومية'!$A$9:$A$308,"&lt;="&amp;IF($B$5="",2958465,$B$5))))</f>
        <v/>
      </c>
      <c r="I147" s="29" t="str">
        <f aca="false">IF(OR($C147="",$H$208=0),"",H147/$H$208)</f>
        <v/>
      </c>
      <c r="J147" s="19" t="str">
        <f aca="false">IF(OR(C147="",N(E147)=0),"",F147/E147)</f>
        <v/>
      </c>
    </row>
    <row r="148" customFormat="false" ht="15" hidden="false" customHeight="false" outlineLevel="0" collapsed="false">
      <c r="A148" s="21" t="str">
        <f aca="false">IF(C148="","",141)</f>
        <v/>
      </c>
      <c r="B148" s="21" t="str">
        <f aca="false">IF('دليل الأصناف'!$B$144="","",'دليل الأصناف'!$A$144)</f>
        <v/>
      </c>
      <c r="C148" s="4" t="str">
        <f aca="false">IF('دليل الأصناف'!$B$144="","",'دليل الأصناف'!$B$144)</f>
        <v/>
      </c>
      <c r="D148" s="27" t="str">
        <f aca="false">IF($C148="","",IF($B$4&amp;$B$5="",COUNTIFS('المبيعات اليومية'!$C$9:$C$308,$C148),COUNTIFS('المبيعات اليومية'!$C$9:$C$308,$C148,'المبيعات اليومية'!$A$9:$A$308,"&gt;="&amp;IF($B$4="",0,$B$4),'المبيعات اليومية'!$A$9:$A$308,"&lt;="&amp;IF($B$5="",2958465,$B$5))))</f>
        <v/>
      </c>
      <c r="E148" s="28" t="str">
        <f aca="false">IF($C148="","",IF($B$4&amp;$B$5="",SUMIFS('المبيعات اليومية'!$E$9:$E$308,'المبيعات اليومية'!$C$9:$C$308,$C148),SUMIFS('المبيعات اليومية'!$E$9:$E$308,'المبيعات اليومية'!$C$9:$C$308,$C148,'المبيعات اليومية'!$A$9:$A$308,"&gt;="&amp;IF($B$4="",0,$B$4),'المبيعات اليومية'!$A$9:$A$308,"&lt;="&amp;IF($B$5="",2958465,$B$5))))</f>
        <v/>
      </c>
      <c r="F148" s="19" t="str">
        <f aca="false">IF($C148="","",IF($B$4&amp;$B$5="",SUMIFS('المبيعات اليومية'!$H$9:$H$308,'المبيعات اليومية'!$C$9:$C$308,$C148),SUMIFS('المبيعات اليومية'!$H$9:$H$308,'المبيعات اليومية'!$C$9:$C$308,$C148,'المبيعات اليومية'!$A$9:$A$308,"&gt;="&amp;IF($B$4="",0,$B$4),'المبيعات اليومية'!$A$9:$A$308,"&lt;="&amp;IF($B$5="",2958465,$B$5))))</f>
        <v/>
      </c>
      <c r="G148" s="19" t="str">
        <f aca="false">IF($C148="","",IF($B$4&amp;$B$5="",SUMIFS('المبيعات اليومية'!$I$9:$I$308,'المبيعات اليومية'!$C$9:$C$308,$C148),SUMIFS('المبيعات اليومية'!$I$9:$I$308,'المبيعات اليومية'!$C$9:$C$308,$C148,'المبيعات اليومية'!$A$9:$A$308,"&gt;="&amp;IF($B$4="",0,$B$4),'المبيعات اليومية'!$A$9:$A$308,"&lt;="&amp;IF($B$5="",2958465,$B$5))))</f>
        <v/>
      </c>
      <c r="H148" s="20" t="str">
        <f aca="false">IF($C148="","",IF($B$4&amp;$B$5="",SUMIFS('المبيعات اليومية'!$J$9:$J$308,'المبيعات اليومية'!$C$9:$C$308,$C148),SUMIFS('المبيعات اليومية'!$J$9:$J$308,'المبيعات اليومية'!$C$9:$C$308,$C148,'المبيعات اليومية'!$A$9:$A$308,"&gt;="&amp;IF($B$4="",0,$B$4),'المبيعات اليومية'!$A$9:$A$308,"&lt;="&amp;IF($B$5="",2958465,$B$5))))</f>
        <v/>
      </c>
      <c r="I148" s="29" t="str">
        <f aca="false">IF(OR($C148="",$H$208=0),"",H148/$H$208)</f>
        <v/>
      </c>
      <c r="J148" s="19" t="str">
        <f aca="false">IF(OR(C148="",N(E148)=0),"",F148/E148)</f>
        <v/>
      </c>
    </row>
    <row r="149" customFormat="false" ht="15" hidden="false" customHeight="false" outlineLevel="0" collapsed="false">
      <c r="A149" s="21" t="str">
        <f aca="false">IF(C149="","",142)</f>
        <v/>
      </c>
      <c r="B149" s="21" t="str">
        <f aca="false">IF('دليل الأصناف'!$B$145="","",'دليل الأصناف'!$A$145)</f>
        <v/>
      </c>
      <c r="C149" s="4" t="str">
        <f aca="false">IF('دليل الأصناف'!$B$145="","",'دليل الأصناف'!$B$145)</f>
        <v/>
      </c>
      <c r="D149" s="27" t="str">
        <f aca="false">IF($C149="","",IF($B$4&amp;$B$5="",COUNTIFS('المبيعات اليومية'!$C$9:$C$308,$C149),COUNTIFS('المبيعات اليومية'!$C$9:$C$308,$C149,'المبيعات اليومية'!$A$9:$A$308,"&gt;="&amp;IF($B$4="",0,$B$4),'المبيعات اليومية'!$A$9:$A$308,"&lt;="&amp;IF($B$5="",2958465,$B$5))))</f>
        <v/>
      </c>
      <c r="E149" s="28" t="str">
        <f aca="false">IF($C149="","",IF($B$4&amp;$B$5="",SUMIFS('المبيعات اليومية'!$E$9:$E$308,'المبيعات اليومية'!$C$9:$C$308,$C149),SUMIFS('المبيعات اليومية'!$E$9:$E$308,'المبيعات اليومية'!$C$9:$C$308,$C149,'المبيعات اليومية'!$A$9:$A$308,"&gt;="&amp;IF($B$4="",0,$B$4),'المبيعات اليومية'!$A$9:$A$308,"&lt;="&amp;IF($B$5="",2958465,$B$5))))</f>
        <v/>
      </c>
      <c r="F149" s="19" t="str">
        <f aca="false">IF($C149="","",IF($B$4&amp;$B$5="",SUMIFS('المبيعات اليومية'!$H$9:$H$308,'المبيعات اليومية'!$C$9:$C$308,$C149),SUMIFS('المبيعات اليومية'!$H$9:$H$308,'المبيعات اليومية'!$C$9:$C$308,$C149,'المبيعات اليومية'!$A$9:$A$308,"&gt;="&amp;IF($B$4="",0,$B$4),'المبيعات اليومية'!$A$9:$A$308,"&lt;="&amp;IF($B$5="",2958465,$B$5))))</f>
        <v/>
      </c>
      <c r="G149" s="19" t="str">
        <f aca="false">IF($C149="","",IF($B$4&amp;$B$5="",SUMIFS('المبيعات اليومية'!$I$9:$I$308,'المبيعات اليومية'!$C$9:$C$308,$C149),SUMIFS('المبيعات اليومية'!$I$9:$I$308,'المبيعات اليومية'!$C$9:$C$308,$C149,'المبيعات اليومية'!$A$9:$A$308,"&gt;="&amp;IF($B$4="",0,$B$4),'المبيعات اليومية'!$A$9:$A$308,"&lt;="&amp;IF($B$5="",2958465,$B$5))))</f>
        <v/>
      </c>
      <c r="H149" s="20" t="str">
        <f aca="false">IF($C149="","",IF($B$4&amp;$B$5="",SUMIFS('المبيعات اليومية'!$J$9:$J$308,'المبيعات اليومية'!$C$9:$C$308,$C149),SUMIFS('المبيعات اليومية'!$J$9:$J$308,'المبيعات اليومية'!$C$9:$C$308,$C149,'المبيعات اليومية'!$A$9:$A$308,"&gt;="&amp;IF($B$4="",0,$B$4),'المبيعات اليومية'!$A$9:$A$308,"&lt;="&amp;IF($B$5="",2958465,$B$5))))</f>
        <v/>
      </c>
      <c r="I149" s="29" t="str">
        <f aca="false">IF(OR($C149="",$H$208=0),"",H149/$H$208)</f>
        <v/>
      </c>
      <c r="J149" s="19" t="str">
        <f aca="false">IF(OR(C149="",N(E149)=0),"",F149/E149)</f>
        <v/>
      </c>
    </row>
    <row r="150" customFormat="false" ht="15" hidden="false" customHeight="false" outlineLevel="0" collapsed="false">
      <c r="A150" s="21" t="str">
        <f aca="false">IF(C150="","",143)</f>
        <v/>
      </c>
      <c r="B150" s="21" t="str">
        <f aca="false">IF('دليل الأصناف'!$B$146="","",'دليل الأصناف'!$A$146)</f>
        <v/>
      </c>
      <c r="C150" s="4" t="str">
        <f aca="false">IF('دليل الأصناف'!$B$146="","",'دليل الأصناف'!$B$146)</f>
        <v/>
      </c>
      <c r="D150" s="27" t="str">
        <f aca="false">IF($C150="","",IF($B$4&amp;$B$5="",COUNTIFS('المبيعات اليومية'!$C$9:$C$308,$C150),COUNTIFS('المبيعات اليومية'!$C$9:$C$308,$C150,'المبيعات اليومية'!$A$9:$A$308,"&gt;="&amp;IF($B$4="",0,$B$4),'المبيعات اليومية'!$A$9:$A$308,"&lt;="&amp;IF($B$5="",2958465,$B$5))))</f>
        <v/>
      </c>
      <c r="E150" s="28" t="str">
        <f aca="false">IF($C150="","",IF($B$4&amp;$B$5="",SUMIFS('المبيعات اليومية'!$E$9:$E$308,'المبيعات اليومية'!$C$9:$C$308,$C150),SUMIFS('المبيعات اليومية'!$E$9:$E$308,'المبيعات اليومية'!$C$9:$C$308,$C150,'المبيعات اليومية'!$A$9:$A$308,"&gt;="&amp;IF($B$4="",0,$B$4),'المبيعات اليومية'!$A$9:$A$308,"&lt;="&amp;IF($B$5="",2958465,$B$5))))</f>
        <v/>
      </c>
      <c r="F150" s="19" t="str">
        <f aca="false">IF($C150="","",IF($B$4&amp;$B$5="",SUMIFS('المبيعات اليومية'!$H$9:$H$308,'المبيعات اليومية'!$C$9:$C$308,$C150),SUMIFS('المبيعات اليومية'!$H$9:$H$308,'المبيعات اليومية'!$C$9:$C$308,$C150,'المبيعات اليومية'!$A$9:$A$308,"&gt;="&amp;IF($B$4="",0,$B$4),'المبيعات اليومية'!$A$9:$A$308,"&lt;="&amp;IF($B$5="",2958465,$B$5))))</f>
        <v/>
      </c>
      <c r="G150" s="19" t="str">
        <f aca="false">IF($C150="","",IF($B$4&amp;$B$5="",SUMIFS('المبيعات اليومية'!$I$9:$I$308,'المبيعات اليومية'!$C$9:$C$308,$C150),SUMIFS('المبيعات اليومية'!$I$9:$I$308,'المبيعات اليومية'!$C$9:$C$308,$C150,'المبيعات اليومية'!$A$9:$A$308,"&gt;="&amp;IF($B$4="",0,$B$4),'المبيعات اليومية'!$A$9:$A$308,"&lt;="&amp;IF($B$5="",2958465,$B$5))))</f>
        <v/>
      </c>
      <c r="H150" s="20" t="str">
        <f aca="false">IF($C150="","",IF($B$4&amp;$B$5="",SUMIFS('المبيعات اليومية'!$J$9:$J$308,'المبيعات اليومية'!$C$9:$C$308,$C150),SUMIFS('المبيعات اليومية'!$J$9:$J$308,'المبيعات اليومية'!$C$9:$C$308,$C150,'المبيعات اليومية'!$A$9:$A$308,"&gt;="&amp;IF($B$4="",0,$B$4),'المبيعات اليومية'!$A$9:$A$308,"&lt;="&amp;IF($B$5="",2958465,$B$5))))</f>
        <v/>
      </c>
      <c r="I150" s="29" t="str">
        <f aca="false">IF(OR($C150="",$H$208=0),"",H150/$H$208)</f>
        <v/>
      </c>
      <c r="J150" s="19" t="str">
        <f aca="false">IF(OR(C150="",N(E150)=0),"",F150/E150)</f>
        <v/>
      </c>
    </row>
    <row r="151" customFormat="false" ht="15" hidden="false" customHeight="false" outlineLevel="0" collapsed="false">
      <c r="A151" s="21" t="str">
        <f aca="false">IF(C151="","",144)</f>
        <v/>
      </c>
      <c r="B151" s="21" t="str">
        <f aca="false">IF('دليل الأصناف'!$B$147="","",'دليل الأصناف'!$A$147)</f>
        <v/>
      </c>
      <c r="C151" s="4" t="str">
        <f aca="false">IF('دليل الأصناف'!$B$147="","",'دليل الأصناف'!$B$147)</f>
        <v/>
      </c>
      <c r="D151" s="27" t="str">
        <f aca="false">IF($C151="","",IF($B$4&amp;$B$5="",COUNTIFS('المبيعات اليومية'!$C$9:$C$308,$C151),COUNTIFS('المبيعات اليومية'!$C$9:$C$308,$C151,'المبيعات اليومية'!$A$9:$A$308,"&gt;="&amp;IF($B$4="",0,$B$4),'المبيعات اليومية'!$A$9:$A$308,"&lt;="&amp;IF($B$5="",2958465,$B$5))))</f>
        <v/>
      </c>
      <c r="E151" s="28" t="str">
        <f aca="false">IF($C151="","",IF($B$4&amp;$B$5="",SUMIFS('المبيعات اليومية'!$E$9:$E$308,'المبيعات اليومية'!$C$9:$C$308,$C151),SUMIFS('المبيعات اليومية'!$E$9:$E$308,'المبيعات اليومية'!$C$9:$C$308,$C151,'المبيعات اليومية'!$A$9:$A$308,"&gt;="&amp;IF($B$4="",0,$B$4),'المبيعات اليومية'!$A$9:$A$308,"&lt;="&amp;IF($B$5="",2958465,$B$5))))</f>
        <v/>
      </c>
      <c r="F151" s="19" t="str">
        <f aca="false">IF($C151="","",IF($B$4&amp;$B$5="",SUMIFS('المبيعات اليومية'!$H$9:$H$308,'المبيعات اليومية'!$C$9:$C$308,$C151),SUMIFS('المبيعات اليومية'!$H$9:$H$308,'المبيعات اليومية'!$C$9:$C$308,$C151,'المبيعات اليومية'!$A$9:$A$308,"&gt;="&amp;IF($B$4="",0,$B$4),'المبيعات اليومية'!$A$9:$A$308,"&lt;="&amp;IF($B$5="",2958465,$B$5))))</f>
        <v/>
      </c>
      <c r="G151" s="19" t="str">
        <f aca="false">IF($C151="","",IF($B$4&amp;$B$5="",SUMIFS('المبيعات اليومية'!$I$9:$I$308,'المبيعات اليومية'!$C$9:$C$308,$C151),SUMIFS('المبيعات اليومية'!$I$9:$I$308,'المبيعات اليومية'!$C$9:$C$308,$C151,'المبيعات اليومية'!$A$9:$A$308,"&gt;="&amp;IF($B$4="",0,$B$4),'المبيعات اليومية'!$A$9:$A$308,"&lt;="&amp;IF($B$5="",2958465,$B$5))))</f>
        <v/>
      </c>
      <c r="H151" s="20" t="str">
        <f aca="false">IF($C151="","",IF($B$4&amp;$B$5="",SUMIFS('المبيعات اليومية'!$J$9:$J$308,'المبيعات اليومية'!$C$9:$C$308,$C151),SUMIFS('المبيعات اليومية'!$J$9:$J$308,'المبيعات اليومية'!$C$9:$C$308,$C151,'المبيعات اليومية'!$A$9:$A$308,"&gt;="&amp;IF($B$4="",0,$B$4),'المبيعات اليومية'!$A$9:$A$308,"&lt;="&amp;IF($B$5="",2958465,$B$5))))</f>
        <v/>
      </c>
      <c r="I151" s="29" t="str">
        <f aca="false">IF(OR($C151="",$H$208=0),"",H151/$H$208)</f>
        <v/>
      </c>
      <c r="J151" s="19" t="str">
        <f aca="false">IF(OR(C151="",N(E151)=0),"",F151/E151)</f>
        <v/>
      </c>
    </row>
    <row r="152" customFormat="false" ht="15" hidden="false" customHeight="false" outlineLevel="0" collapsed="false">
      <c r="A152" s="21" t="str">
        <f aca="false">IF(C152="","",145)</f>
        <v/>
      </c>
      <c r="B152" s="21" t="str">
        <f aca="false">IF('دليل الأصناف'!$B$148="","",'دليل الأصناف'!$A$148)</f>
        <v/>
      </c>
      <c r="C152" s="4" t="str">
        <f aca="false">IF('دليل الأصناف'!$B$148="","",'دليل الأصناف'!$B$148)</f>
        <v/>
      </c>
      <c r="D152" s="27" t="str">
        <f aca="false">IF($C152="","",IF($B$4&amp;$B$5="",COUNTIFS('المبيعات اليومية'!$C$9:$C$308,$C152),COUNTIFS('المبيعات اليومية'!$C$9:$C$308,$C152,'المبيعات اليومية'!$A$9:$A$308,"&gt;="&amp;IF($B$4="",0,$B$4),'المبيعات اليومية'!$A$9:$A$308,"&lt;="&amp;IF($B$5="",2958465,$B$5))))</f>
        <v/>
      </c>
      <c r="E152" s="28" t="str">
        <f aca="false">IF($C152="","",IF($B$4&amp;$B$5="",SUMIFS('المبيعات اليومية'!$E$9:$E$308,'المبيعات اليومية'!$C$9:$C$308,$C152),SUMIFS('المبيعات اليومية'!$E$9:$E$308,'المبيعات اليومية'!$C$9:$C$308,$C152,'المبيعات اليومية'!$A$9:$A$308,"&gt;="&amp;IF($B$4="",0,$B$4),'المبيعات اليومية'!$A$9:$A$308,"&lt;="&amp;IF($B$5="",2958465,$B$5))))</f>
        <v/>
      </c>
      <c r="F152" s="19" t="str">
        <f aca="false">IF($C152="","",IF($B$4&amp;$B$5="",SUMIFS('المبيعات اليومية'!$H$9:$H$308,'المبيعات اليومية'!$C$9:$C$308,$C152),SUMIFS('المبيعات اليومية'!$H$9:$H$308,'المبيعات اليومية'!$C$9:$C$308,$C152,'المبيعات اليومية'!$A$9:$A$308,"&gt;="&amp;IF($B$4="",0,$B$4),'المبيعات اليومية'!$A$9:$A$308,"&lt;="&amp;IF($B$5="",2958465,$B$5))))</f>
        <v/>
      </c>
      <c r="G152" s="19" t="str">
        <f aca="false">IF($C152="","",IF($B$4&amp;$B$5="",SUMIFS('المبيعات اليومية'!$I$9:$I$308,'المبيعات اليومية'!$C$9:$C$308,$C152),SUMIFS('المبيعات اليومية'!$I$9:$I$308,'المبيعات اليومية'!$C$9:$C$308,$C152,'المبيعات اليومية'!$A$9:$A$308,"&gt;="&amp;IF($B$4="",0,$B$4),'المبيعات اليومية'!$A$9:$A$308,"&lt;="&amp;IF($B$5="",2958465,$B$5))))</f>
        <v/>
      </c>
      <c r="H152" s="20" t="str">
        <f aca="false">IF($C152="","",IF($B$4&amp;$B$5="",SUMIFS('المبيعات اليومية'!$J$9:$J$308,'المبيعات اليومية'!$C$9:$C$308,$C152),SUMIFS('المبيعات اليومية'!$J$9:$J$308,'المبيعات اليومية'!$C$9:$C$308,$C152,'المبيعات اليومية'!$A$9:$A$308,"&gt;="&amp;IF($B$4="",0,$B$4),'المبيعات اليومية'!$A$9:$A$308,"&lt;="&amp;IF($B$5="",2958465,$B$5))))</f>
        <v/>
      </c>
      <c r="I152" s="29" t="str">
        <f aca="false">IF(OR($C152="",$H$208=0),"",H152/$H$208)</f>
        <v/>
      </c>
      <c r="J152" s="19" t="str">
        <f aca="false">IF(OR(C152="",N(E152)=0),"",F152/E152)</f>
        <v/>
      </c>
    </row>
    <row r="153" customFormat="false" ht="15" hidden="false" customHeight="false" outlineLevel="0" collapsed="false">
      <c r="A153" s="21" t="str">
        <f aca="false">IF(C153="","",146)</f>
        <v/>
      </c>
      <c r="B153" s="21" t="str">
        <f aca="false">IF('دليل الأصناف'!$B$149="","",'دليل الأصناف'!$A$149)</f>
        <v/>
      </c>
      <c r="C153" s="4" t="str">
        <f aca="false">IF('دليل الأصناف'!$B$149="","",'دليل الأصناف'!$B$149)</f>
        <v/>
      </c>
      <c r="D153" s="27" t="str">
        <f aca="false">IF($C153="","",IF($B$4&amp;$B$5="",COUNTIFS('المبيعات اليومية'!$C$9:$C$308,$C153),COUNTIFS('المبيعات اليومية'!$C$9:$C$308,$C153,'المبيعات اليومية'!$A$9:$A$308,"&gt;="&amp;IF($B$4="",0,$B$4),'المبيعات اليومية'!$A$9:$A$308,"&lt;="&amp;IF($B$5="",2958465,$B$5))))</f>
        <v/>
      </c>
      <c r="E153" s="28" t="str">
        <f aca="false">IF($C153="","",IF($B$4&amp;$B$5="",SUMIFS('المبيعات اليومية'!$E$9:$E$308,'المبيعات اليومية'!$C$9:$C$308,$C153),SUMIFS('المبيعات اليومية'!$E$9:$E$308,'المبيعات اليومية'!$C$9:$C$308,$C153,'المبيعات اليومية'!$A$9:$A$308,"&gt;="&amp;IF($B$4="",0,$B$4),'المبيعات اليومية'!$A$9:$A$308,"&lt;="&amp;IF($B$5="",2958465,$B$5))))</f>
        <v/>
      </c>
      <c r="F153" s="19" t="str">
        <f aca="false">IF($C153="","",IF($B$4&amp;$B$5="",SUMIFS('المبيعات اليومية'!$H$9:$H$308,'المبيعات اليومية'!$C$9:$C$308,$C153),SUMIFS('المبيعات اليومية'!$H$9:$H$308,'المبيعات اليومية'!$C$9:$C$308,$C153,'المبيعات اليومية'!$A$9:$A$308,"&gt;="&amp;IF($B$4="",0,$B$4),'المبيعات اليومية'!$A$9:$A$308,"&lt;="&amp;IF($B$5="",2958465,$B$5))))</f>
        <v/>
      </c>
      <c r="G153" s="19" t="str">
        <f aca="false">IF($C153="","",IF($B$4&amp;$B$5="",SUMIFS('المبيعات اليومية'!$I$9:$I$308,'المبيعات اليومية'!$C$9:$C$308,$C153),SUMIFS('المبيعات اليومية'!$I$9:$I$308,'المبيعات اليومية'!$C$9:$C$308,$C153,'المبيعات اليومية'!$A$9:$A$308,"&gt;="&amp;IF($B$4="",0,$B$4),'المبيعات اليومية'!$A$9:$A$308,"&lt;="&amp;IF($B$5="",2958465,$B$5))))</f>
        <v/>
      </c>
      <c r="H153" s="20" t="str">
        <f aca="false">IF($C153="","",IF($B$4&amp;$B$5="",SUMIFS('المبيعات اليومية'!$J$9:$J$308,'المبيعات اليومية'!$C$9:$C$308,$C153),SUMIFS('المبيعات اليومية'!$J$9:$J$308,'المبيعات اليومية'!$C$9:$C$308,$C153,'المبيعات اليومية'!$A$9:$A$308,"&gt;="&amp;IF($B$4="",0,$B$4),'المبيعات اليومية'!$A$9:$A$308,"&lt;="&amp;IF($B$5="",2958465,$B$5))))</f>
        <v/>
      </c>
      <c r="I153" s="29" t="str">
        <f aca="false">IF(OR($C153="",$H$208=0),"",H153/$H$208)</f>
        <v/>
      </c>
      <c r="J153" s="19" t="str">
        <f aca="false">IF(OR(C153="",N(E153)=0),"",F153/E153)</f>
        <v/>
      </c>
    </row>
    <row r="154" customFormat="false" ht="15" hidden="false" customHeight="false" outlineLevel="0" collapsed="false">
      <c r="A154" s="21" t="str">
        <f aca="false">IF(C154="","",147)</f>
        <v/>
      </c>
      <c r="B154" s="21" t="str">
        <f aca="false">IF('دليل الأصناف'!$B$150="","",'دليل الأصناف'!$A$150)</f>
        <v/>
      </c>
      <c r="C154" s="4" t="str">
        <f aca="false">IF('دليل الأصناف'!$B$150="","",'دليل الأصناف'!$B$150)</f>
        <v/>
      </c>
      <c r="D154" s="27" t="str">
        <f aca="false">IF($C154="","",IF($B$4&amp;$B$5="",COUNTIFS('المبيعات اليومية'!$C$9:$C$308,$C154),COUNTIFS('المبيعات اليومية'!$C$9:$C$308,$C154,'المبيعات اليومية'!$A$9:$A$308,"&gt;="&amp;IF($B$4="",0,$B$4),'المبيعات اليومية'!$A$9:$A$308,"&lt;="&amp;IF($B$5="",2958465,$B$5))))</f>
        <v/>
      </c>
      <c r="E154" s="28" t="str">
        <f aca="false">IF($C154="","",IF($B$4&amp;$B$5="",SUMIFS('المبيعات اليومية'!$E$9:$E$308,'المبيعات اليومية'!$C$9:$C$308,$C154),SUMIFS('المبيعات اليومية'!$E$9:$E$308,'المبيعات اليومية'!$C$9:$C$308,$C154,'المبيعات اليومية'!$A$9:$A$308,"&gt;="&amp;IF($B$4="",0,$B$4),'المبيعات اليومية'!$A$9:$A$308,"&lt;="&amp;IF($B$5="",2958465,$B$5))))</f>
        <v/>
      </c>
      <c r="F154" s="19" t="str">
        <f aca="false">IF($C154="","",IF($B$4&amp;$B$5="",SUMIFS('المبيعات اليومية'!$H$9:$H$308,'المبيعات اليومية'!$C$9:$C$308,$C154),SUMIFS('المبيعات اليومية'!$H$9:$H$308,'المبيعات اليومية'!$C$9:$C$308,$C154,'المبيعات اليومية'!$A$9:$A$308,"&gt;="&amp;IF($B$4="",0,$B$4),'المبيعات اليومية'!$A$9:$A$308,"&lt;="&amp;IF($B$5="",2958465,$B$5))))</f>
        <v/>
      </c>
      <c r="G154" s="19" t="str">
        <f aca="false">IF($C154="","",IF($B$4&amp;$B$5="",SUMIFS('المبيعات اليومية'!$I$9:$I$308,'المبيعات اليومية'!$C$9:$C$308,$C154),SUMIFS('المبيعات اليومية'!$I$9:$I$308,'المبيعات اليومية'!$C$9:$C$308,$C154,'المبيعات اليومية'!$A$9:$A$308,"&gt;="&amp;IF($B$4="",0,$B$4),'المبيعات اليومية'!$A$9:$A$308,"&lt;="&amp;IF($B$5="",2958465,$B$5))))</f>
        <v/>
      </c>
      <c r="H154" s="20" t="str">
        <f aca="false">IF($C154="","",IF($B$4&amp;$B$5="",SUMIFS('المبيعات اليومية'!$J$9:$J$308,'المبيعات اليومية'!$C$9:$C$308,$C154),SUMIFS('المبيعات اليومية'!$J$9:$J$308,'المبيعات اليومية'!$C$9:$C$308,$C154,'المبيعات اليومية'!$A$9:$A$308,"&gt;="&amp;IF($B$4="",0,$B$4),'المبيعات اليومية'!$A$9:$A$308,"&lt;="&amp;IF($B$5="",2958465,$B$5))))</f>
        <v/>
      </c>
      <c r="I154" s="29" t="str">
        <f aca="false">IF(OR($C154="",$H$208=0),"",H154/$H$208)</f>
        <v/>
      </c>
      <c r="J154" s="19" t="str">
        <f aca="false">IF(OR(C154="",N(E154)=0),"",F154/E154)</f>
        <v/>
      </c>
    </row>
    <row r="155" customFormat="false" ht="15" hidden="false" customHeight="false" outlineLevel="0" collapsed="false">
      <c r="A155" s="21" t="str">
        <f aca="false">IF(C155="","",148)</f>
        <v/>
      </c>
      <c r="B155" s="21" t="str">
        <f aca="false">IF('دليل الأصناف'!$B$151="","",'دليل الأصناف'!$A$151)</f>
        <v/>
      </c>
      <c r="C155" s="4" t="str">
        <f aca="false">IF('دليل الأصناف'!$B$151="","",'دليل الأصناف'!$B$151)</f>
        <v/>
      </c>
      <c r="D155" s="27" t="str">
        <f aca="false">IF($C155="","",IF($B$4&amp;$B$5="",COUNTIFS('المبيعات اليومية'!$C$9:$C$308,$C155),COUNTIFS('المبيعات اليومية'!$C$9:$C$308,$C155,'المبيعات اليومية'!$A$9:$A$308,"&gt;="&amp;IF($B$4="",0,$B$4),'المبيعات اليومية'!$A$9:$A$308,"&lt;="&amp;IF($B$5="",2958465,$B$5))))</f>
        <v/>
      </c>
      <c r="E155" s="28" t="str">
        <f aca="false">IF($C155="","",IF($B$4&amp;$B$5="",SUMIFS('المبيعات اليومية'!$E$9:$E$308,'المبيعات اليومية'!$C$9:$C$308,$C155),SUMIFS('المبيعات اليومية'!$E$9:$E$308,'المبيعات اليومية'!$C$9:$C$308,$C155,'المبيعات اليومية'!$A$9:$A$308,"&gt;="&amp;IF($B$4="",0,$B$4),'المبيعات اليومية'!$A$9:$A$308,"&lt;="&amp;IF($B$5="",2958465,$B$5))))</f>
        <v/>
      </c>
      <c r="F155" s="19" t="str">
        <f aca="false">IF($C155="","",IF($B$4&amp;$B$5="",SUMIFS('المبيعات اليومية'!$H$9:$H$308,'المبيعات اليومية'!$C$9:$C$308,$C155),SUMIFS('المبيعات اليومية'!$H$9:$H$308,'المبيعات اليومية'!$C$9:$C$308,$C155,'المبيعات اليومية'!$A$9:$A$308,"&gt;="&amp;IF($B$4="",0,$B$4),'المبيعات اليومية'!$A$9:$A$308,"&lt;="&amp;IF($B$5="",2958465,$B$5))))</f>
        <v/>
      </c>
      <c r="G155" s="19" t="str">
        <f aca="false">IF($C155="","",IF($B$4&amp;$B$5="",SUMIFS('المبيعات اليومية'!$I$9:$I$308,'المبيعات اليومية'!$C$9:$C$308,$C155),SUMIFS('المبيعات اليومية'!$I$9:$I$308,'المبيعات اليومية'!$C$9:$C$308,$C155,'المبيعات اليومية'!$A$9:$A$308,"&gt;="&amp;IF($B$4="",0,$B$4),'المبيعات اليومية'!$A$9:$A$308,"&lt;="&amp;IF($B$5="",2958465,$B$5))))</f>
        <v/>
      </c>
      <c r="H155" s="20" t="str">
        <f aca="false">IF($C155="","",IF($B$4&amp;$B$5="",SUMIFS('المبيعات اليومية'!$J$9:$J$308,'المبيعات اليومية'!$C$9:$C$308,$C155),SUMIFS('المبيعات اليومية'!$J$9:$J$308,'المبيعات اليومية'!$C$9:$C$308,$C155,'المبيعات اليومية'!$A$9:$A$308,"&gt;="&amp;IF($B$4="",0,$B$4),'المبيعات اليومية'!$A$9:$A$308,"&lt;="&amp;IF($B$5="",2958465,$B$5))))</f>
        <v/>
      </c>
      <c r="I155" s="29" t="str">
        <f aca="false">IF(OR($C155="",$H$208=0),"",H155/$H$208)</f>
        <v/>
      </c>
      <c r="J155" s="19" t="str">
        <f aca="false">IF(OR(C155="",N(E155)=0),"",F155/E155)</f>
        <v/>
      </c>
    </row>
    <row r="156" customFormat="false" ht="15" hidden="false" customHeight="false" outlineLevel="0" collapsed="false">
      <c r="A156" s="21" t="str">
        <f aca="false">IF(C156="","",149)</f>
        <v/>
      </c>
      <c r="B156" s="21" t="str">
        <f aca="false">IF('دليل الأصناف'!$B$152="","",'دليل الأصناف'!$A$152)</f>
        <v/>
      </c>
      <c r="C156" s="4" t="str">
        <f aca="false">IF('دليل الأصناف'!$B$152="","",'دليل الأصناف'!$B$152)</f>
        <v/>
      </c>
      <c r="D156" s="27" t="str">
        <f aca="false">IF($C156="","",IF($B$4&amp;$B$5="",COUNTIFS('المبيعات اليومية'!$C$9:$C$308,$C156),COUNTIFS('المبيعات اليومية'!$C$9:$C$308,$C156,'المبيعات اليومية'!$A$9:$A$308,"&gt;="&amp;IF($B$4="",0,$B$4),'المبيعات اليومية'!$A$9:$A$308,"&lt;="&amp;IF($B$5="",2958465,$B$5))))</f>
        <v/>
      </c>
      <c r="E156" s="28" t="str">
        <f aca="false">IF($C156="","",IF($B$4&amp;$B$5="",SUMIFS('المبيعات اليومية'!$E$9:$E$308,'المبيعات اليومية'!$C$9:$C$308,$C156),SUMIFS('المبيعات اليومية'!$E$9:$E$308,'المبيعات اليومية'!$C$9:$C$308,$C156,'المبيعات اليومية'!$A$9:$A$308,"&gt;="&amp;IF($B$4="",0,$B$4),'المبيعات اليومية'!$A$9:$A$308,"&lt;="&amp;IF($B$5="",2958465,$B$5))))</f>
        <v/>
      </c>
      <c r="F156" s="19" t="str">
        <f aca="false">IF($C156="","",IF($B$4&amp;$B$5="",SUMIFS('المبيعات اليومية'!$H$9:$H$308,'المبيعات اليومية'!$C$9:$C$308,$C156),SUMIFS('المبيعات اليومية'!$H$9:$H$308,'المبيعات اليومية'!$C$9:$C$308,$C156,'المبيعات اليومية'!$A$9:$A$308,"&gt;="&amp;IF($B$4="",0,$B$4),'المبيعات اليومية'!$A$9:$A$308,"&lt;="&amp;IF($B$5="",2958465,$B$5))))</f>
        <v/>
      </c>
      <c r="G156" s="19" t="str">
        <f aca="false">IF($C156="","",IF($B$4&amp;$B$5="",SUMIFS('المبيعات اليومية'!$I$9:$I$308,'المبيعات اليومية'!$C$9:$C$308,$C156),SUMIFS('المبيعات اليومية'!$I$9:$I$308,'المبيعات اليومية'!$C$9:$C$308,$C156,'المبيعات اليومية'!$A$9:$A$308,"&gt;="&amp;IF($B$4="",0,$B$4),'المبيعات اليومية'!$A$9:$A$308,"&lt;="&amp;IF($B$5="",2958465,$B$5))))</f>
        <v/>
      </c>
      <c r="H156" s="20" t="str">
        <f aca="false">IF($C156="","",IF($B$4&amp;$B$5="",SUMIFS('المبيعات اليومية'!$J$9:$J$308,'المبيعات اليومية'!$C$9:$C$308,$C156),SUMIFS('المبيعات اليومية'!$J$9:$J$308,'المبيعات اليومية'!$C$9:$C$308,$C156,'المبيعات اليومية'!$A$9:$A$308,"&gt;="&amp;IF($B$4="",0,$B$4),'المبيعات اليومية'!$A$9:$A$308,"&lt;="&amp;IF($B$5="",2958465,$B$5))))</f>
        <v/>
      </c>
      <c r="I156" s="29" t="str">
        <f aca="false">IF(OR($C156="",$H$208=0),"",H156/$H$208)</f>
        <v/>
      </c>
      <c r="J156" s="19" t="str">
        <f aca="false">IF(OR(C156="",N(E156)=0),"",F156/E156)</f>
        <v/>
      </c>
    </row>
    <row r="157" customFormat="false" ht="15" hidden="false" customHeight="false" outlineLevel="0" collapsed="false">
      <c r="A157" s="21" t="str">
        <f aca="false">IF(C157="","",150)</f>
        <v/>
      </c>
      <c r="B157" s="21" t="str">
        <f aca="false">IF('دليل الأصناف'!$B$153="","",'دليل الأصناف'!$A$153)</f>
        <v/>
      </c>
      <c r="C157" s="4" t="str">
        <f aca="false">IF('دليل الأصناف'!$B$153="","",'دليل الأصناف'!$B$153)</f>
        <v/>
      </c>
      <c r="D157" s="27" t="str">
        <f aca="false">IF($C157="","",IF($B$4&amp;$B$5="",COUNTIFS('المبيعات اليومية'!$C$9:$C$308,$C157),COUNTIFS('المبيعات اليومية'!$C$9:$C$308,$C157,'المبيعات اليومية'!$A$9:$A$308,"&gt;="&amp;IF($B$4="",0,$B$4),'المبيعات اليومية'!$A$9:$A$308,"&lt;="&amp;IF($B$5="",2958465,$B$5))))</f>
        <v/>
      </c>
      <c r="E157" s="28" t="str">
        <f aca="false">IF($C157="","",IF($B$4&amp;$B$5="",SUMIFS('المبيعات اليومية'!$E$9:$E$308,'المبيعات اليومية'!$C$9:$C$308,$C157),SUMIFS('المبيعات اليومية'!$E$9:$E$308,'المبيعات اليومية'!$C$9:$C$308,$C157,'المبيعات اليومية'!$A$9:$A$308,"&gt;="&amp;IF($B$4="",0,$B$4),'المبيعات اليومية'!$A$9:$A$308,"&lt;="&amp;IF($B$5="",2958465,$B$5))))</f>
        <v/>
      </c>
      <c r="F157" s="19" t="str">
        <f aca="false">IF($C157="","",IF($B$4&amp;$B$5="",SUMIFS('المبيعات اليومية'!$H$9:$H$308,'المبيعات اليومية'!$C$9:$C$308,$C157),SUMIFS('المبيعات اليومية'!$H$9:$H$308,'المبيعات اليومية'!$C$9:$C$308,$C157,'المبيعات اليومية'!$A$9:$A$308,"&gt;="&amp;IF($B$4="",0,$B$4),'المبيعات اليومية'!$A$9:$A$308,"&lt;="&amp;IF($B$5="",2958465,$B$5))))</f>
        <v/>
      </c>
      <c r="G157" s="19" t="str">
        <f aca="false">IF($C157="","",IF($B$4&amp;$B$5="",SUMIFS('المبيعات اليومية'!$I$9:$I$308,'المبيعات اليومية'!$C$9:$C$308,$C157),SUMIFS('المبيعات اليومية'!$I$9:$I$308,'المبيعات اليومية'!$C$9:$C$308,$C157,'المبيعات اليومية'!$A$9:$A$308,"&gt;="&amp;IF($B$4="",0,$B$4),'المبيعات اليومية'!$A$9:$A$308,"&lt;="&amp;IF($B$5="",2958465,$B$5))))</f>
        <v/>
      </c>
      <c r="H157" s="20" t="str">
        <f aca="false">IF($C157="","",IF($B$4&amp;$B$5="",SUMIFS('المبيعات اليومية'!$J$9:$J$308,'المبيعات اليومية'!$C$9:$C$308,$C157),SUMIFS('المبيعات اليومية'!$J$9:$J$308,'المبيعات اليومية'!$C$9:$C$308,$C157,'المبيعات اليومية'!$A$9:$A$308,"&gt;="&amp;IF($B$4="",0,$B$4),'المبيعات اليومية'!$A$9:$A$308,"&lt;="&amp;IF($B$5="",2958465,$B$5))))</f>
        <v/>
      </c>
      <c r="I157" s="29" t="str">
        <f aca="false">IF(OR($C157="",$H$208=0),"",H157/$H$208)</f>
        <v/>
      </c>
      <c r="J157" s="19" t="str">
        <f aca="false">IF(OR(C157="",N(E157)=0),"",F157/E157)</f>
        <v/>
      </c>
    </row>
    <row r="158" customFormat="false" ht="15" hidden="false" customHeight="false" outlineLevel="0" collapsed="false">
      <c r="A158" s="21" t="str">
        <f aca="false">IF(C158="","",151)</f>
        <v/>
      </c>
      <c r="B158" s="21" t="str">
        <f aca="false">IF('دليل الأصناف'!$B$154="","",'دليل الأصناف'!$A$154)</f>
        <v/>
      </c>
      <c r="C158" s="4" t="str">
        <f aca="false">IF('دليل الأصناف'!$B$154="","",'دليل الأصناف'!$B$154)</f>
        <v/>
      </c>
      <c r="D158" s="27" t="str">
        <f aca="false">IF($C158="","",IF($B$4&amp;$B$5="",COUNTIFS('المبيعات اليومية'!$C$9:$C$308,$C158),COUNTIFS('المبيعات اليومية'!$C$9:$C$308,$C158,'المبيعات اليومية'!$A$9:$A$308,"&gt;="&amp;IF($B$4="",0,$B$4),'المبيعات اليومية'!$A$9:$A$308,"&lt;="&amp;IF($B$5="",2958465,$B$5))))</f>
        <v/>
      </c>
      <c r="E158" s="28" t="str">
        <f aca="false">IF($C158="","",IF($B$4&amp;$B$5="",SUMIFS('المبيعات اليومية'!$E$9:$E$308,'المبيعات اليومية'!$C$9:$C$308,$C158),SUMIFS('المبيعات اليومية'!$E$9:$E$308,'المبيعات اليومية'!$C$9:$C$308,$C158,'المبيعات اليومية'!$A$9:$A$308,"&gt;="&amp;IF($B$4="",0,$B$4),'المبيعات اليومية'!$A$9:$A$308,"&lt;="&amp;IF($B$5="",2958465,$B$5))))</f>
        <v/>
      </c>
      <c r="F158" s="19" t="str">
        <f aca="false">IF($C158="","",IF($B$4&amp;$B$5="",SUMIFS('المبيعات اليومية'!$H$9:$H$308,'المبيعات اليومية'!$C$9:$C$308,$C158),SUMIFS('المبيعات اليومية'!$H$9:$H$308,'المبيعات اليومية'!$C$9:$C$308,$C158,'المبيعات اليومية'!$A$9:$A$308,"&gt;="&amp;IF($B$4="",0,$B$4),'المبيعات اليومية'!$A$9:$A$308,"&lt;="&amp;IF($B$5="",2958465,$B$5))))</f>
        <v/>
      </c>
      <c r="G158" s="19" t="str">
        <f aca="false">IF($C158="","",IF($B$4&amp;$B$5="",SUMIFS('المبيعات اليومية'!$I$9:$I$308,'المبيعات اليومية'!$C$9:$C$308,$C158),SUMIFS('المبيعات اليومية'!$I$9:$I$308,'المبيعات اليومية'!$C$9:$C$308,$C158,'المبيعات اليومية'!$A$9:$A$308,"&gt;="&amp;IF($B$4="",0,$B$4),'المبيعات اليومية'!$A$9:$A$308,"&lt;="&amp;IF($B$5="",2958465,$B$5))))</f>
        <v/>
      </c>
      <c r="H158" s="20" t="str">
        <f aca="false">IF($C158="","",IF($B$4&amp;$B$5="",SUMIFS('المبيعات اليومية'!$J$9:$J$308,'المبيعات اليومية'!$C$9:$C$308,$C158),SUMIFS('المبيعات اليومية'!$J$9:$J$308,'المبيعات اليومية'!$C$9:$C$308,$C158,'المبيعات اليومية'!$A$9:$A$308,"&gt;="&amp;IF($B$4="",0,$B$4),'المبيعات اليومية'!$A$9:$A$308,"&lt;="&amp;IF($B$5="",2958465,$B$5))))</f>
        <v/>
      </c>
      <c r="I158" s="29" t="str">
        <f aca="false">IF(OR($C158="",$H$208=0),"",H158/$H$208)</f>
        <v/>
      </c>
      <c r="J158" s="19" t="str">
        <f aca="false">IF(OR(C158="",N(E158)=0),"",F158/E158)</f>
        <v/>
      </c>
    </row>
    <row r="159" customFormat="false" ht="15" hidden="false" customHeight="false" outlineLevel="0" collapsed="false">
      <c r="A159" s="21" t="str">
        <f aca="false">IF(C159="","",152)</f>
        <v/>
      </c>
      <c r="B159" s="21" t="str">
        <f aca="false">IF('دليل الأصناف'!$B$155="","",'دليل الأصناف'!$A$155)</f>
        <v/>
      </c>
      <c r="C159" s="4" t="str">
        <f aca="false">IF('دليل الأصناف'!$B$155="","",'دليل الأصناف'!$B$155)</f>
        <v/>
      </c>
      <c r="D159" s="27" t="str">
        <f aca="false">IF($C159="","",IF($B$4&amp;$B$5="",COUNTIFS('المبيعات اليومية'!$C$9:$C$308,$C159),COUNTIFS('المبيعات اليومية'!$C$9:$C$308,$C159,'المبيعات اليومية'!$A$9:$A$308,"&gt;="&amp;IF($B$4="",0,$B$4),'المبيعات اليومية'!$A$9:$A$308,"&lt;="&amp;IF($B$5="",2958465,$B$5))))</f>
        <v/>
      </c>
      <c r="E159" s="28" t="str">
        <f aca="false">IF($C159="","",IF($B$4&amp;$B$5="",SUMIFS('المبيعات اليومية'!$E$9:$E$308,'المبيعات اليومية'!$C$9:$C$308,$C159),SUMIFS('المبيعات اليومية'!$E$9:$E$308,'المبيعات اليومية'!$C$9:$C$308,$C159,'المبيعات اليومية'!$A$9:$A$308,"&gt;="&amp;IF($B$4="",0,$B$4),'المبيعات اليومية'!$A$9:$A$308,"&lt;="&amp;IF($B$5="",2958465,$B$5))))</f>
        <v/>
      </c>
      <c r="F159" s="19" t="str">
        <f aca="false">IF($C159="","",IF($B$4&amp;$B$5="",SUMIFS('المبيعات اليومية'!$H$9:$H$308,'المبيعات اليومية'!$C$9:$C$308,$C159),SUMIFS('المبيعات اليومية'!$H$9:$H$308,'المبيعات اليومية'!$C$9:$C$308,$C159,'المبيعات اليومية'!$A$9:$A$308,"&gt;="&amp;IF($B$4="",0,$B$4),'المبيعات اليومية'!$A$9:$A$308,"&lt;="&amp;IF($B$5="",2958465,$B$5))))</f>
        <v/>
      </c>
      <c r="G159" s="19" t="str">
        <f aca="false">IF($C159="","",IF($B$4&amp;$B$5="",SUMIFS('المبيعات اليومية'!$I$9:$I$308,'المبيعات اليومية'!$C$9:$C$308,$C159),SUMIFS('المبيعات اليومية'!$I$9:$I$308,'المبيعات اليومية'!$C$9:$C$308,$C159,'المبيعات اليومية'!$A$9:$A$308,"&gt;="&amp;IF($B$4="",0,$B$4),'المبيعات اليومية'!$A$9:$A$308,"&lt;="&amp;IF($B$5="",2958465,$B$5))))</f>
        <v/>
      </c>
      <c r="H159" s="20" t="str">
        <f aca="false">IF($C159="","",IF($B$4&amp;$B$5="",SUMIFS('المبيعات اليومية'!$J$9:$J$308,'المبيعات اليومية'!$C$9:$C$308,$C159),SUMIFS('المبيعات اليومية'!$J$9:$J$308,'المبيعات اليومية'!$C$9:$C$308,$C159,'المبيعات اليومية'!$A$9:$A$308,"&gt;="&amp;IF($B$4="",0,$B$4),'المبيعات اليومية'!$A$9:$A$308,"&lt;="&amp;IF($B$5="",2958465,$B$5))))</f>
        <v/>
      </c>
      <c r="I159" s="29" t="str">
        <f aca="false">IF(OR($C159="",$H$208=0),"",H159/$H$208)</f>
        <v/>
      </c>
      <c r="J159" s="19" t="str">
        <f aca="false">IF(OR(C159="",N(E159)=0),"",F159/E159)</f>
        <v/>
      </c>
    </row>
    <row r="160" customFormat="false" ht="15" hidden="false" customHeight="false" outlineLevel="0" collapsed="false">
      <c r="A160" s="21" t="str">
        <f aca="false">IF(C160="","",153)</f>
        <v/>
      </c>
      <c r="B160" s="21" t="str">
        <f aca="false">IF('دليل الأصناف'!$B$156="","",'دليل الأصناف'!$A$156)</f>
        <v/>
      </c>
      <c r="C160" s="4" t="str">
        <f aca="false">IF('دليل الأصناف'!$B$156="","",'دليل الأصناف'!$B$156)</f>
        <v/>
      </c>
      <c r="D160" s="27" t="str">
        <f aca="false">IF($C160="","",IF($B$4&amp;$B$5="",COUNTIFS('المبيعات اليومية'!$C$9:$C$308,$C160),COUNTIFS('المبيعات اليومية'!$C$9:$C$308,$C160,'المبيعات اليومية'!$A$9:$A$308,"&gt;="&amp;IF($B$4="",0,$B$4),'المبيعات اليومية'!$A$9:$A$308,"&lt;="&amp;IF($B$5="",2958465,$B$5))))</f>
        <v/>
      </c>
      <c r="E160" s="28" t="str">
        <f aca="false">IF($C160="","",IF($B$4&amp;$B$5="",SUMIFS('المبيعات اليومية'!$E$9:$E$308,'المبيعات اليومية'!$C$9:$C$308,$C160),SUMIFS('المبيعات اليومية'!$E$9:$E$308,'المبيعات اليومية'!$C$9:$C$308,$C160,'المبيعات اليومية'!$A$9:$A$308,"&gt;="&amp;IF($B$4="",0,$B$4),'المبيعات اليومية'!$A$9:$A$308,"&lt;="&amp;IF($B$5="",2958465,$B$5))))</f>
        <v/>
      </c>
      <c r="F160" s="19" t="str">
        <f aca="false">IF($C160="","",IF($B$4&amp;$B$5="",SUMIFS('المبيعات اليومية'!$H$9:$H$308,'المبيعات اليومية'!$C$9:$C$308,$C160),SUMIFS('المبيعات اليومية'!$H$9:$H$308,'المبيعات اليومية'!$C$9:$C$308,$C160,'المبيعات اليومية'!$A$9:$A$308,"&gt;="&amp;IF($B$4="",0,$B$4),'المبيعات اليومية'!$A$9:$A$308,"&lt;="&amp;IF($B$5="",2958465,$B$5))))</f>
        <v/>
      </c>
      <c r="G160" s="19" t="str">
        <f aca="false">IF($C160="","",IF($B$4&amp;$B$5="",SUMIFS('المبيعات اليومية'!$I$9:$I$308,'المبيعات اليومية'!$C$9:$C$308,$C160),SUMIFS('المبيعات اليومية'!$I$9:$I$308,'المبيعات اليومية'!$C$9:$C$308,$C160,'المبيعات اليومية'!$A$9:$A$308,"&gt;="&amp;IF($B$4="",0,$B$4),'المبيعات اليومية'!$A$9:$A$308,"&lt;="&amp;IF($B$5="",2958465,$B$5))))</f>
        <v/>
      </c>
      <c r="H160" s="20" t="str">
        <f aca="false">IF($C160="","",IF($B$4&amp;$B$5="",SUMIFS('المبيعات اليومية'!$J$9:$J$308,'المبيعات اليومية'!$C$9:$C$308,$C160),SUMIFS('المبيعات اليومية'!$J$9:$J$308,'المبيعات اليومية'!$C$9:$C$308,$C160,'المبيعات اليومية'!$A$9:$A$308,"&gt;="&amp;IF($B$4="",0,$B$4),'المبيعات اليومية'!$A$9:$A$308,"&lt;="&amp;IF($B$5="",2958465,$B$5))))</f>
        <v/>
      </c>
      <c r="I160" s="29" t="str">
        <f aca="false">IF(OR($C160="",$H$208=0),"",H160/$H$208)</f>
        <v/>
      </c>
      <c r="J160" s="19" t="str">
        <f aca="false">IF(OR(C160="",N(E160)=0),"",F160/E160)</f>
        <v/>
      </c>
    </row>
    <row r="161" customFormat="false" ht="15" hidden="false" customHeight="false" outlineLevel="0" collapsed="false">
      <c r="A161" s="21" t="str">
        <f aca="false">IF(C161="","",154)</f>
        <v/>
      </c>
      <c r="B161" s="21" t="str">
        <f aca="false">IF('دليل الأصناف'!$B$157="","",'دليل الأصناف'!$A$157)</f>
        <v/>
      </c>
      <c r="C161" s="4" t="str">
        <f aca="false">IF('دليل الأصناف'!$B$157="","",'دليل الأصناف'!$B$157)</f>
        <v/>
      </c>
      <c r="D161" s="27" t="str">
        <f aca="false">IF($C161="","",IF($B$4&amp;$B$5="",COUNTIFS('المبيعات اليومية'!$C$9:$C$308,$C161),COUNTIFS('المبيعات اليومية'!$C$9:$C$308,$C161,'المبيعات اليومية'!$A$9:$A$308,"&gt;="&amp;IF($B$4="",0,$B$4),'المبيعات اليومية'!$A$9:$A$308,"&lt;="&amp;IF($B$5="",2958465,$B$5))))</f>
        <v/>
      </c>
      <c r="E161" s="28" t="str">
        <f aca="false">IF($C161="","",IF($B$4&amp;$B$5="",SUMIFS('المبيعات اليومية'!$E$9:$E$308,'المبيعات اليومية'!$C$9:$C$308,$C161),SUMIFS('المبيعات اليومية'!$E$9:$E$308,'المبيعات اليومية'!$C$9:$C$308,$C161,'المبيعات اليومية'!$A$9:$A$308,"&gt;="&amp;IF($B$4="",0,$B$4),'المبيعات اليومية'!$A$9:$A$308,"&lt;="&amp;IF($B$5="",2958465,$B$5))))</f>
        <v/>
      </c>
      <c r="F161" s="19" t="str">
        <f aca="false">IF($C161="","",IF($B$4&amp;$B$5="",SUMIFS('المبيعات اليومية'!$H$9:$H$308,'المبيعات اليومية'!$C$9:$C$308,$C161),SUMIFS('المبيعات اليومية'!$H$9:$H$308,'المبيعات اليومية'!$C$9:$C$308,$C161,'المبيعات اليومية'!$A$9:$A$308,"&gt;="&amp;IF($B$4="",0,$B$4),'المبيعات اليومية'!$A$9:$A$308,"&lt;="&amp;IF($B$5="",2958465,$B$5))))</f>
        <v/>
      </c>
      <c r="G161" s="19" t="str">
        <f aca="false">IF($C161="","",IF($B$4&amp;$B$5="",SUMIFS('المبيعات اليومية'!$I$9:$I$308,'المبيعات اليومية'!$C$9:$C$308,$C161),SUMIFS('المبيعات اليومية'!$I$9:$I$308,'المبيعات اليومية'!$C$9:$C$308,$C161,'المبيعات اليومية'!$A$9:$A$308,"&gt;="&amp;IF($B$4="",0,$B$4),'المبيعات اليومية'!$A$9:$A$308,"&lt;="&amp;IF($B$5="",2958465,$B$5))))</f>
        <v/>
      </c>
      <c r="H161" s="20" t="str">
        <f aca="false">IF($C161="","",IF($B$4&amp;$B$5="",SUMIFS('المبيعات اليومية'!$J$9:$J$308,'المبيعات اليومية'!$C$9:$C$308,$C161),SUMIFS('المبيعات اليومية'!$J$9:$J$308,'المبيعات اليومية'!$C$9:$C$308,$C161,'المبيعات اليومية'!$A$9:$A$308,"&gt;="&amp;IF($B$4="",0,$B$4),'المبيعات اليومية'!$A$9:$A$308,"&lt;="&amp;IF($B$5="",2958465,$B$5))))</f>
        <v/>
      </c>
      <c r="I161" s="29" t="str">
        <f aca="false">IF(OR($C161="",$H$208=0),"",H161/$H$208)</f>
        <v/>
      </c>
      <c r="J161" s="19" t="str">
        <f aca="false">IF(OR(C161="",N(E161)=0),"",F161/E161)</f>
        <v/>
      </c>
    </row>
    <row r="162" customFormat="false" ht="15" hidden="false" customHeight="false" outlineLevel="0" collapsed="false">
      <c r="A162" s="21" t="str">
        <f aca="false">IF(C162="","",155)</f>
        <v/>
      </c>
      <c r="B162" s="21" t="str">
        <f aca="false">IF('دليل الأصناف'!$B$158="","",'دليل الأصناف'!$A$158)</f>
        <v/>
      </c>
      <c r="C162" s="4" t="str">
        <f aca="false">IF('دليل الأصناف'!$B$158="","",'دليل الأصناف'!$B$158)</f>
        <v/>
      </c>
      <c r="D162" s="27" t="str">
        <f aca="false">IF($C162="","",IF($B$4&amp;$B$5="",COUNTIFS('المبيعات اليومية'!$C$9:$C$308,$C162),COUNTIFS('المبيعات اليومية'!$C$9:$C$308,$C162,'المبيعات اليومية'!$A$9:$A$308,"&gt;="&amp;IF($B$4="",0,$B$4),'المبيعات اليومية'!$A$9:$A$308,"&lt;="&amp;IF($B$5="",2958465,$B$5))))</f>
        <v/>
      </c>
      <c r="E162" s="28" t="str">
        <f aca="false">IF($C162="","",IF($B$4&amp;$B$5="",SUMIFS('المبيعات اليومية'!$E$9:$E$308,'المبيعات اليومية'!$C$9:$C$308,$C162),SUMIFS('المبيعات اليومية'!$E$9:$E$308,'المبيعات اليومية'!$C$9:$C$308,$C162,'المبيعات اليومية'!$A$9:$A$308,"&gt;="&amp;IF($B$4="",0,$B$4),'المبيعات اليومية'!$A$9:$A$308,"&lt;="&amp;IF($B$5="",2958465,$B$5))))</f>
        <v/>
      </c>
      <c r="F162" s="19" t="str">
        <f aca="false">IF($C162="","",IF($B$4&amp;$B$5="",SUMIFS('المبيعات اليومية'!$H$9:$H$308,'المبيعات اليومية'!$C$9:$C$308,$C162),SUMIFS('المبيعات اليومية'!$H$9:$H$308,'المبيعات اليومية'!$C$9:$C$308,$C162,'المبيعات اليومية'!$A$9:$A$308,"&gt;="&amp;IF($B$4="",0,$B$4),'المبيعات اليومية'!$A$9:$A$308,"&lt;="&amp;IF($B$5="",2958465,$B$5))))</f>
        <v/>
      </c>
      <c r="G162" s="19" t="str">
        <f aca="false">IF($C162="","",IF($B$4&amp;$B$5="",SUMIFS('المبيعات اليومية'!$I$9:$I$308,'المبيعات اليومية'!$C$9:$C$308,$C162),SUMIFS('المبيعات اليومية'!$I$9:$I$308,'المبيعات اليومية'!$C$9:$C$308,$C162,'المبيعات اليومية'!$A$9:$A$308,"&gt;="&amp;IF($B$4="",0,$B$4),'المبيعات اليومية'!$A$9:$A$308,"&lt;="&amp;IF($B$5="",2958465,$B$5))))</f>
        <v/>
      </c>
      <c r="H162" s="20" t="str">
        <f aca="false">IF($C162="","",IF($B$4&amp;$B$5="",SUMIFS('المبيعات اليومية'!$J$9:$J$308,'المبيعات اليومية'!$C$9:$C$308,$C162),SUMIFS('المبيعات اليومية'!$J$9:$J$308,'المبيعات اليومية'!$C$9:$C$308,$C162,'المبيعات اليومية'!$A$9:$A$308,"&gt;="&amp;IF($B$4="",0,$B$4),'المبيعات اليومية'!$A$9:$A$308,"&lt;="&amp;IF($B$5="",2958465,$B$5))))</f>
        <v/>
      </c>
      <c r="I162" s="29" t="str">
        <f aca="false">IF(OR($C162="",$H$208=0),"",H162/$H$208)</f>
        <v/>
      </c>
      <c r="J162" s="19" t="str">
        <f aca="false">IF(OR(C162="",N(E162)=0),"",F162/E162)</f>
        <v/>
      </c>
    </row>
    <row r="163" customFormat="false" ht="15" hidden="false" customHeight="false" outlineLevel="0" collapsed="false">
      <c r="A163" s="21" t="str">
        <f aca="false">IF(C163="","",156)</f>
        <v/>
      </c>
      <c r="B163" s="21" t="str">
        <f aca="false">IF('دليل الأصناف'!$B$159="","",'دليل الأصناف'!$A$159)</f>
        <v/>
      </c>
      <c r="C163" s="4" t="str">
        <f aca="false">IF('دليل الأصناف'!$B$159="","",'دليل الأصناف'!$B$159)</f>
        <v/>
      </c>
      <c r="D163" s="27" t="str">
        <f aca="false">IF($C163="","",IF($B$4&amp;$B$5="",COUNTIFS('المبيعات اليومية'!$C$9:$C$308,$C163),COUNTIFS('المبيعات اليومية'!$C$9:$C$308,$C163,'المبيعات اليومية'!$A$9:$A$308,"&gt;="&amp;IF($B$4="",0,$B$4),'المبيعات اليومية'!$A$9:$A$308,"&lt;="&amp;IF($B$5="",2958465,$B$5))))</f>
        <v/>
      </c>
      <c r="E163" s="28" t="str">
        <f aca="false">IF($C163="","",IF($B$4&amp;$B$5="",SUMIFS('المبيعات اليومية'!$E$9:$E$308,'المبيعات اليومية'!$C$9:$C$308,$C163),SUMIFS('المبيعات اليومية'!$E$9:$E$308,'المبيعات اليومية'!$C$9:$C$308,$C163,'المبيعات اليومية'!$A$9:$A$308,"&gt;="&amp;IF($B$4="",0,$B$4),'المبيعات اليومية'!$A$9:$A$308,"&lt;="&amp;IF($B$5="",2958465,$B$5))))</f>
        <v/>
      </c>
      <c r="F163" s="19" t="str">
        <f aca="false">IF($C163="","",IF($B$4&amp;$B$5="",SUMIFS('المبيعات اليومية'!$H$9:$H$308,'المبيعات اليومية'!$C$9:$C$308,$C163),SUMIFS('المبيعات اليومية'!$H$9:$H$308,'المبيعات اليومية'!$C$9:$C$308,$C163,'المبيعات اليومية'!$A$9:$A$308,"&gt;="&amp;IF($B$4="",0,$B$4),'المبيعات اليومية'!$A$9:$A$308,"&lt;="&amp;IF($B$5="",2958465,$B$5))))</f>
        <v/>
      </c>
      <c r="G163" s="19" t="str">
        <f aca="false">IF($C163="","",IF($B$4&amp;$B$5="",SUMIFS('المبيعات اليومية'!$I$9:$I$308,'المبيعات اليومية'!$C$9:$C$308,$C163),SUMIFS('المبيعات اليومية'!$I$9:$I$308,'المبيعات اليومية'!$C$9:$C$308,$C163,'المبيعات اليومية'!$A$9:$A$308,"&gt;="&amp;IF($B$4="",0,$B$4),'المبيعات اليومية'!$A$9:$A$308,"&lt;="&amp;IF($B$5="",2958465,$B$5))))</f>
        <v/>
      </c>
      <c r="H163" s="20" t="str">
        <f aca="false">IF($C163="","",IF($B$4&amp;$B$5="",SUMIFS('المبيعات اليومية'!$J$9:$J$308,'المبيعات اليومية'!$C$9:$C$308,$C163),SUMIFS('المبيعات اليومية'!$J$9:$J$308,'المبيعات اليومية'!$C$9:$C$308,$C163,'المبيعات اليومية'!$A$9:$A$308,"&gt;="&amp;IF($B$4="",0,$B$4),'المبيعات اليومية'!$A$9:$A$308,"&lt;="&amp;IF($B$5="",2958465,$B$5))))</f>
        <v/>
      </c>
      <c r="I163" s="29" t="str">
        <f aca="false">IF(OR($C163="",$H$208=0),"",H163/$H$208)</f>
        <v/>
      </c>
      <c r="J163" s="19" t="str">
        <f aca="false">IF(OR(C163="",N(E163)=0),"",F163/E163)</f>
        <v/>
      </c>
    </row>
    <row r="164" customFormat="false" ht="15" hidden="false" customHeight="false" outlineLevel="0" collapsed="false">
      <c r="A164" s="21" t="str">
        <f aca="false">IF(C164="","",157)</f>
        <v/>
      </c>
      <c r="B164" s="21" t="str">
        <f aca="false">IF('دليل الأصناف'!$B$160="","",'دليل الأصناف'!$A$160)</f>
        <v/>
      </c>
      <c r="C164" s="4" t="str">
        <f aca="false">IF('دليل الأصناف'!$B$160="","",'دليل الأصناف'!$B$160)</f>
        <v/>
      </c>
      <c r="D164" s="27" t="str">
        <f aca="false">IF($C164="","",IF($B$4&amp;$B$5="",COUNTIFS('المبيعات اليومية'!$C$9:$C$308,$C164),COUNTIFS('المبيعات اليومية'!$C$9:$C$308,$C164,'المبيعات اليومية'!$A$9:$A$308,"&gt;="&amp;IF($B$4="",0,$B$4),'المبيعات اليومية'!$A$9:$A$308,"&lt;="&amp;IF($B$5="",2958465,$B$5))))</f>
        <v/>
      </c>
      <c r="E164" s="28" t="str">
        <f aca="false">IF($C164="","",IF($B$4&amp;$B$5="",SUMIFS('المبيعات اليومية'!$E$9:$E$308,'المبيعات اليومية'!$C$9:$C$308,$C164),SUMIFS('المبيعات اليومية'!$E$9:$E$308,'المبيعات اليومية'!$C$9:$C$308,$C164,'المبيعات اليومية'!$A$9:$A$308,"&gt;="&amp;IF($B$4="",0,$B$4),'المبيعات اليومية'!$A$9:$A$308,"&lt;="&amp;IF($B$5="",2958465,$B$5))))</f>
        <v/>
      </c>
      <c r="F164" s="19" t="str">
        <f aca="false">IF($C164="","",IF($B$4&amp;$B$5="",SUMIFS('المبيعات اليومية'!$H$9:$H$308,'المبيعات اليومية'!$C$9:$C$308,$C164),SUMIFS('المبيعات اليومية'!$H$9:$H$308,'المبيعات اليومية'!$C$9:$C$308,$C164,'المبيعات اليومية'!$A$9:$A$308,"&gt;="&amp;IF($B$4="",0,$B$4),'المبيعات اليومية'!$A$9:$A$308,"&lt;="&amp;IF($B$5="",2958465,$B$5))))</f>
        <v/>
      </c>
      <c r="G164" s="19" t="str">
        <f aca="false">IF($C164="","",IF($B$4&amp;$B$5="",SUMIFS('المبيعات اليومية'!$I$9:$I$308,'المبيعات اليومية'!$C$9:$C$308,$C164),SUMIFS('المبيعات اليومية'!$I$9:$I$308,'المبيعات اليومية'!$C$9:$C$308,$C164,'المبيعات اليومية'!$A$9:$A$308,"&gt;="&amp;IF($B$4="",0,$B$4),'المبيعات اليومية'!$A$9:$A$308,"&lt;="&amp;IF($B$5="",2958465,$B$5))))</f>
        <v/>
      </c>
      <c r="H164" s="20" t="str">
        <f aca="false">IF($C164="","",IF($B$4&amp;$B$5="",SUMIFS('المبيعات اليومية'!$J$9:$J$308,'المبيعات اليومية'!$C$9:$C$308,$C164),SUMIFS('المبيعات اليومية'!$J$9:$J$308,'المبيعات اليومية'!$C$9:$C$308,$C164,'المبيعات اليومية'!$A$9:$A$308,"&gt;="&amp;IF($B$4="",0,$B$4),'المبيعات اليومية'!$A$9:$A$308,"&lt;="&amp;IF($B$5="",2958465,$B$5))))</f>
        <v/>
      </c>
      <c r="I164" s="29" t="str">
        <f aca="false">IF(OR($C164="",$H$208=0),"",H164/$H$208)</f>
        <v/>
      </c>
      <c r="J164" s="19" t="str">
        <f aca="false">IF(OR(C164="",N(E164)=0),"",F164/E164)</f>
        <v/>
      </c>
    </row>
    <row r="165" customFormat="false" ht="15" hidden="false" customHeight="false" outlineLevel="0" collapsed="false">
      <c r="A165" s="21" t="str">
        <f aca="false">IF(C165="","",158)</f>
        <v/>
      </c>
      <c r="B165" s="21" t="str">
        <f aca="false">IF('دليل الأصناف'!$B$161="","",'دليل الأصناف'!$A$161)</f>
        <v/>
      </c>
      <c r="C165" s="4" t="str">
        <f aca="false">IF('دليل الأصناف'!$B$161="","",'دليل الأصناف'!$B$161)</f>
        <v/>
      </c>
      <c r="D165" s="27" t="str">
        <f aca="false">IF($C165="","",IF($B$4&amp;$B$5="",COUNTIFS('المبيعات اليومية'!$C$9:$C$308,$C165),COUNTIFS('المبيعات اليومية'!$C$9:$C$308,$C165,'المبيعات اليومية'!$A$9:$A$308,"&gt;="&amp;IF($B$4="",0,$B$4),'المبيعات اليومية'!$A$9:$A$308,"&lt;="&amp;IF($B$5="",2958465,$B$5))))</f>
        <v/>
      </c>
      <c r="E165" s="28" t="str">
        <f aca="false">IF($C165="","",IF($B$4&amp;$B$5="",SUMIFS('المبيعات اليومية'!$E$9:$E$308,'المبيعات اليومية'!$C$9:$C$308,$C165),SUMIFS('المبيعات اليومية'!$E$9:$E$308,'المبيعات اليومية'!$C$9:$C$308,$C165,'المبيعات اليومية'!$A$9:$A$308,"&gt;="&amp;IF($B$4="",0,$B$4),'المبيعات اليومية'!$A$9:$A$308,"&lt;="&amp;IF($B$5="",2958465,$B$5))))</f>
        <v/>
      </c>
      <c r="F165" s="19" t="str">
        <f aca="false">IF($C165="","",IF($B$4&amp;$B$5="",SUMIFS('المبيعات اليومية'!$H$9:$H$308,'المبيعات اليومية'!$C$9:$C$308,$C165),SUMIFS('المبيعات اليومية'!$H$9:$H$308,'المبيعات اليومية'!$C$9:$C$308,$C165,'المبيعات اليومية'!$A$9:$A$308,"&gt;="&amp;IF($B$4="",0,$B$4),'المبيعات اليومية'!$A$9:$A$308,"&lt;="&amp;IF($B$5="",2958465,$B$5))))</f>
        <v/>
      </c>
      <c r="G165" s="19" t="str">
        <f aca="false">IF($C165="","",IF($B$4&amp;$B$5="",SUMIFS('المبيعات اليومية'!$I$9:$I$308,'المبيعات اليومية'!$C$9:$C$308,$C165),SUMIFS('المبيعات اليومية'!$I$9:$I$308,'المبيعات اليومية'!$C$9:$C$308,$C165,'المبيعات اليومية'!$A$9:$A$308,"&gt;="&amp;IF($B$4="",0,$B$4),'المبيعات اليومية'!$A$9:$A$308,"&lt;="&amp;IF($B$5="",2958465,$B$5))))</f>
        <v/>
      </c>
      <c r="H165" s="20" t="str">
        <f aca="false">IF($C165="","",IF($B$4&amp;$B$5="",SUMIFS('المبيعات اليومية'!$J$9:$J$308,'المبيعات اليومية'!$C$9:$C$308,$C165),SUMIFS('المبيعات اليومية'!$J$9:$J$308,'المبيعات اليومية'!$C$9:$C$308,$C165,'المبيعات اليومية'!$A$9:$A$308,"&gt;="&amp;IF($B$4="",0,$B$4),'المبيعات اليومية'!$A$9:$A$308,"&lt;="&amp;IF($B$5="",2958465,$B$5))))</f>
        <v/>
      </c>
      <c r="I165" s="29" t="str">
        <f aca="false">IF(OR($C165="",$H$208=0),"",H165/$H$208)</f>
        <v/>
      </c>
      <c r="J165" s="19" t="str">
        <f aca="false">IF(OR(C165="",N(E165)=0),"",F165/E165)</f>
        <v/>
      </c>
    </row>
    <row r="166" customFormat="false" ht="15" hidden="false" customHeight="false" outlineLevel="0" collapsed="false">
      <c r="A166" s="21" t="str">
        <f aca="false">IF(C166="","",159)</f>
        <v/>
      </c>
      <c r="B166" s="21" t="str">
        <f aca="false">IF('دليل الأصناف'!$B$162="","",'دليل الأصناف'!$A$162)</f>
        <v/>
      </c>
      <c r="C166" s="4" t="str">
        <f aca="false">IF('دليل الأصناف'!$B$162="","",'دليل الأصناف'!$B$162)</f>
        <v/>
      </c>
      <c r="D166" s="27" t="str">
        <f aca="false">IF($C166="","",IF($B$4&amp;$B$5="",COUNTIFS('المبيعات اليومية'!$C$9:$C$308,$C166),COUNTIFS('المبيعات اليومية'!$C$9:$C$308,$C166,'المبيعات اليومية'!$A$9:$A$308,"&gt;="&amp;IF($B$4="",0,$B$4),'المبيعات اليومية'!$A$9:$A$308,"&lt;="&amp;IF($B$5="",2958465,$B$5))))</f>
        <v/>
      </c>
      <c r="E166" s="28" t="str">
        <f aca="false">IF($C166="","",IF($B$4&amp;$B$5="",SUMIFS('المبيعات اليومية'!$E$9:$E$308,'المبيعات اليومية'!$C$9:$C$308,$C166),SUMIFS('المبيعات اليومية'!$E$9:$E$308,'المبيعات اليومية'!$C$9:$C$308,$C166,'المبيعات اليومية'!$A$9:$A$308,"&gt;="&amp;IF($B$4="",0,$B$4),'المبيعات اليومية'!$A$9:$A$308,"&lt;="&amp;IF($B$5="",2958465,$B$5))))</f>
        <v/>
      </c>
      <c r="F166" s="19" t="str">
        <f aca="false">IF($C166="","",IF($B$4&amp;$B$5="",SUMIFS('المبيعات اليومية'!$H$9:$H$308,'المبيعات اليومية'!$C$9:$C$308,$C166),SUMIFS('المبيعات اليومية'!$H$9:$H$308,'المبيعات اليومية'!$C$9:$C$308,$C166,'المبيعات اليومية'!$A$9:$A$308,"&gt;="&amp;IF($B$4="",0,$B$4),'المبيعات اليومية'!$A$9:$A$308,"&lt;="&amp;IF($B$5="",2958465,$B$5))))</f>
        <v/>
      </c>
      <c r="G166" s="19" t="str">
        <f aca="false">IF($C166="","",IF($B$4&amp;$B$5="",SUMIFS('المبيعات اليومية'!$I$9:$I$308,'المبيعات اليومية'!$C$9:$C$308,$C166),SUMIFS('المبيعات اليومية'!$I$9:$I$308,'المبيعات اليومية'!$C$9:$C$308,$C166,'المبيعات اليومية'!$A$9:$A$308,"&gt;="&amp;IF($B$4="",0,$B$4),'المبيعات اليومية'!$A$9:$A$308,"&lt;="&amp;IF($B$5="",2958465,$B$5))))</f>
        <v/>
      </c>
      <c r="H166" s="20" t="str">
        <f aca="false">IF($C166="","",IF($B$4&amp;$B$5="",SUMIFS('المبيعات اليومية'!$J$9:$J$308,'المبيعات اليومية'!$C$9:$C$308,$C166),SUMIFS('المبيعات اليومية'!$J$9:$J$308,'المبيعات اليومية'!$C$9:$C$308,$C166,'المبيعات اليومية'!$A$9:$A$308,"&gt;="&amp;IF($B$4="",0,$B$4),'المبيعات اليومية'!$A$9:$A$308,"&lt;="&amp;IF($B$5="",2958465,$B$5))))</f>
        <v/>
      </c>
      <c r="I166" s="29" t="str">
        <f aca="false">IF(OR($C166="",$H$208=0),"",H166/$H$208)</f>
        <v/>
      </c>
      <c r="J166" s="19" t="str">
        <f aca="false">IF(OR(C166="",N(E166)=0),"",F166/E166)</f>
        <v/>
      </c>
    </row>
    <row r="167" customFormat="false" ht="15" hidden="false" customHeight="false" outlineLevel="0" collapsed="false">
      <c r="A167" s="21" t="str">
        <f aca="false">IF(C167="","",160)</f>
        <v/>
      </c>
      <c r="B167" s="21" t="str">
        <f aca="false">IF('دليل الأصناف'!$B$163="","",'دليل الأصناف'!$A$163)</f>
        <v/>
      </c>
      <c r="C167" s="4" t="str">
        <f aca="false">IF('دليل الأصناف'!$B$163="","",'دليل الأصناف'!$B$163)</f>
        <v/>
      </c>
      <c r="D167" s="27" t="str">
        <f aca="false">IF($C167="","",IF($B$4&amp;$B$5="",COUNTIFS('المبيعات اليومية'!$C$9:$C$308,$C167),COUNTIFS('المبيعات اليومية'!$C$9:$C$308,$C167,'المبيعات اليومية'!$A$9:$A$308,"&gt;="&amp;IF($B$4="",0,$B$4),'المبيعات اليومية'!$A$9:$A$308,"&lt;="&amp;IF($B$5="",2958465,$B$5))))</f>
        <v/>
      </c>
      <c r="E167" s="28" t="str">
        <f aca="false">IF($C167="","",IF($B$4&amp;$B$5="",SUMIFS('المبيعات اليومية'!$E$9:$E$308,'المبيعات اليومية'!$C$9:$C$308,$C167),SUMIFS('المبيعات اليومية'!$E$9:$E$308,'المبيعات اليومية'!$C$9:$C$308,$C167,'المبيعات اليومية'!$A$9:$A$308,"&gt;="&amp;IF($B$4="",0,$B$4),'المبيعات اليومية'!$A$9:$A$308,"&lt;="&amp;IF($B$5="",2958465,$B$5))))</f>
        <v/>
      </c>
      <c r="F167" s="19" t="str">
        <f aca="false">IF($C167="","",IF($B$4&amp;$B$5="",SUMIFS('المبيعات اليومية'!$H$9:$H$308,'المبيعات اليومية'!$C$9:$C$308,$C167),SUMIFS('المبيعات اليومية'!$H$9:$H$308,'المبيعات اليومية'!$C$9:$C$308,$C167,'المبيعات اليومية'!$A$9:$A$308,"&gt;="&amp;IF($B$4="",0,$B$4),'المبيعات اليومية'!$A$9:$A$308,"&lt;="&amp;IF($B$5="",2958465,$B$5))))</f>
        <v/>
      </c>
      <c r="G167" s="19" t="str">
        <f aca="false">IF($C167="","",IF($B$4&amp;$B$5="",SUMIFS('المبيعات اليومية'!$I$9:$I$308,'المبيعات اليومية'!$C$9:$C$308,$C167),SUMIFS('المبيعات اليومية'!$I$9:$I$308,'المبيعات اليومية'!$C$9:$C$308,$C167,'المبيعات اليومية'!$A$9:$A$308,"&gt;="&amp;IF($B$4="",0,$B$4),'المبيعات اليومية'!$A$9:$A$308,"&lt;="&amp;IF($B$5="",2958465,$B$5))))</f>
        <v/>
      </c>
      <c r="H167" s="20" t="str">
        <f aca="false">IF($C167="","",IF($B$4&amp;$B$5="",SUMIFS('المبيعات اليومية'!$J$9:$J$308,'المبيعات اليومية'!$C$9:$C$308,$C167),SUMIFS('المبيعات اليومية'!$J$9:$J$308,'المبيعات اليومية'!$C$9:$C$308,$C167,'المبيعات اليومية'!$A$9:$A$308,"&gt;="&amp;IF($B$4="",0,$B$4),'المبيعات اليومية'!$A$9:$A$308,"&lt;="&amp;IF($B$5="",2958465,$B$5))))</f>
        <v/>
      </c>
      <c r="I167" s="29" t="str">
        <f aca="false">IF(OR($C167="",$H$208=0),"",H167/$H$208)</f>
        <v/>
      </c>
      <c r="J167" s="19" t="str">
        <f aca="false">IF(OR(C167="",N(E167)=0),"",F167/E167)</f>
        <v/>
      </c>
    </row>
    <row r="168" customFormat="false" ht="15" hidden="false" customHeight="false" outlineLevel="0" collapsed="false">
      <c r="A168" s="21" t="str">
        <f aca="false">IF(C168="","",161)</f>
        <v/>
      </c>
      <c r="B168" s="21" t="str">
        <f aca="false">IF('دليل الأصناف'!$B$164="","",'دليل الأصناف'!$A$164)</f>
        <v/>
      </c>
      <c r="C168" s="4" t="str">
        <f aca="false">IF('دليل الأصناف'!$B$164="","",'دليل الأصناف'!$B$164)</f>
        <v/>
      </c>
      <c r="D168" s="27" t="str">
        <f aca="false">IF($C168="","",IF($B$4&amp;$B$5="",COUNTIFS('المبيعات اليومية'!$C$9:$C$308,$C168),COUNTIFS('المبيعات اليومية'!$C$9:$C$308,$C168,'المبيعات اليومية'!$A$9:$A$308,"&gt;="&amp;IF($B$4="",0,$B$4),'المبيعات اليومية'!$A$9:$A$308,"&lt;="&amp;IF($B$5="",2958465,$B$5))))</f>
        <v/>
      </c>
      <c r="E168" s="28" t="str">
        <f aca="false">IF($C168="","",IF($B$4&amp;$B$5="",SUMIFS('المبيعات اليومية'!$E$9:$E$308,'المبيعات اليومية'!$C$9:$C$308,$C168),SUMIFS('المبيعات اليومية'!$E$9:$E$308,'المبيعات اليومية'!$C$9:$C$308,$C168,'المبيعات اليومية'!$A$9:$A$308,"&gt;="&amp;IF($B$4="",0,$B$4),'المبيعات اليومية'!$A$9:$A$308,"&lt;="&amp;IF($B$5="",2958465,$B$5))))</f>
        <v/>
      </c>
      <c r="F168" s="19" t="str">
        <f aca="false">IF($C168="","",IF($B$4&amp;$B$5="",SUMIFS('المبيعات اليومية'!$H$9:$H$308,'المبيعات اليومية'!$C$9:$C$308,$C168),SUMIFS('المبيعات اليومية'!$H$9:$H$308,'المبيعات اليومية'!$C$9:$C$308,$C168,'المبيعات اليومية'!$A$9:$A$308,"&gt;="&amp;IF($B$4="",0,$B$4),'المبيعات اليومية'!$A$9:$A$308,"&lt;="&amp;IF($B$5="",2958465,$B$5))))</f>
        <v/>
      </c>
      <c r="G168" s="19" t="str">
        <f aca="false">IF($C168="","",IF($B$4&amp;$B$5="",SUMIFS('المبيعات اليومية'!$I$9:$I$308,'المبيعات اليومية'!$C$9:$C$308,$C168),SUMIFS('المبيعات اليومية'!$I$9:$I$308,'المبيعات اليومية'!$C$9:$C$308,$C168,'المبيعات اليومية'!$A$9:$A$308,"&gt;="&amp;IF($B$4="",0,$B$4),'المبيعات اليومية'!$A$9:$A$308,"&lt;="&amp;IF($B$5="",2958465,$B$5))))</f>
        <v/>
      </c>
      <c r="H168" s="20" t="str">
        <f aca="false">IF($C168="","",IF($B$4&amp;$B$5="",SUMIFS('المبيعات اليومية'!$J$9:$J$308,'المبيعات اليومية'!$C$9:$C$308,$C168),SUMIFS('المبيعات اليومية'!$J$9:$J$308,'المبيعات اليومية'!$C$9:$C$308,$C168,'المبيعات اليومية'!$A$9:$A$308,"&gt;="&amp;IF($B$4="",0,$B$4),'المبيعات اليومية'!$A$9:$A$308,"&lt;="&amp;IF($B$5="",2958465,$B$5))))</f>
        <v/>
      </c>
      <c r="I168" s="29" t="str">
        <f aca="false">IF(OR($C168="",$H$208=0),"",H168/$H$208)</f>
        <v/>
      </c>
      <c r="J168" s="19" t="str">
        <f aca="false">IF(OR(C168="",N(E168)=0),"",F168/E168)</f>
        <v/>
      </c>
    </row>
    <row r="169" customFormat="false" ht="15" hidden="false" customHeight="false" outlineLevel="0" collapsed="false">
      <c r="A169" s="21" t="str">
        <f aca="false">IF(C169="","",162)</f>
        <v/>
      </c>
      <c r="B169" s="21" t="str">
        <f aca="false">IF('دليل الأصناف'!$B$165="","",'دليل الأصناف'!$A$165)</f>
        <v/>
      </c>
      <c r="C169" s="4" t="str">
        <f aca="false">IF('دليل الأصناف'!$B$165="","",'دليل الأصناف'!$B$165)</f>
        <v/>
      </c>
      <c r="D169" s="27" t="str">
        <f aca="false">IF($C169="","",IF($B$4&amp;$B$5="",COUNTIFS('المبيعات اليومية'!$C$9:$C$308,$C169),COUNTIFS('المبيعات اليومية'!$C$9:$C$308,$C169,'المبيعات اليومية'!$A$9:$A$308,"&gt;="&amp;IF($B$4="",0,$B$4),'المبيعات اليومية'!$A$9:$A$308,"&lt;="&amp;IF($B$5="",2958465,$B$5))))</f>
        <v/>
      </c>
      <c r="E169" s="28" t="str">
        <f aca="false">IF($C169="","",IF($B$4&amp;$B$5="",SUMIFS('المبيعات اليومية'!$E$9:$E$308,'المبيعات اليومية'!$C$9:$C$308,$C169),SUMIFS('المبيعات اليومية'!$E$9:$E$308,'المبيعات اليومية'!$C$9:$C$308,$C169,'المبيعات اليومية'!$A$9:$A$308,"&gt;="&amp;IF($B$4="",0,$B$4),'المبيعات اليومية'!$A$9:$A$308,"&lt;="&amp;IF($B$5="",2958465,$B$5))))</f>
        <v/>
      </c>
      <c r="F169" s="19" t="str">
        <f aca="false">IF($C169="","",IF($B$4&amp;$B$5="",SUMIFS('المبيعات اليومية'!$H$9:$H$308,'المبيعات اليومية'!$C$9:$C$308,$C169),SUMIFS('المبيعات اليومية'!$H$9:$H$308,'المبيعات اليومية'!$C$9:$C$308,$C169,'المبيعات اليومية'!$A$9:$A$308,"&gt;="&amp;IF($B$4="",0,$B$4),'المبيعات اليومية'!$A$9:$A$308,"&lt;="&amp;IF($B$5="",2958465,$B$5))))</f>
        <v/>
      </c>
      <c r="G169" s="19" t="str">
        <f aca="false">IF($C169="","",IF($B$4&amp;$B$5="",SUMIFS('المبيعات اليومية'!$I$9:$I$308,'المبيعات اليومية'!$C$9:$C$308,$C169),SUMIFS('المبيعات اليومية'!$I$9:$I$308,'المبيعات اليومية'!$C$9:$C$308,$C169,'المبيعات اليومية'!$A$9:$A$308,"&gt;="&amp;IF($B$4="",0,$B$4),'المبيعات اليومية'!$A$9:$A$308,"&lt;="&amp;IF($B$5="",2958465,$B$5))))</f>
        <v/>
      </c>
      <c r="H169" s="20" t="str">
        <f aca="false">IF($C169="","",IF($B$4&amp;$B$5="",SUMIFS('المبيعات اليومية'!$J$9:$J$308,'المبيعات اليومية'!$C$9:$C$308,$C169),SUMIFS('المبيعات اليومية'!$J$9:$J$308,'المبيعات اليومية'!$C$9:$C$308,$C169,'المبيعات اليومية'!$A$9:$A$308,"&gt;="&amp;IF($B$4="",0,$B$4),'المبيعات اليومية'!$A$9:$A$308,"&lt;="&amp;IF($B$5="",2958465,$B$5))))</f>
        <v/>
      </c>
      <c r="I169" s="29" t="str">
        <f aca="false">IF(OR($C169="",$H$208=0),"",H169/$H$208)</f>
        <v/>
      </c>
      <c r="J169" s="19" t="str">
        <f aca="false">IF(OR(C169="",N(E169)=0),"",F169/E169)</f>
        <v/>
      </c>
    </row>
    <row r="170" customFormat="false" ht="15" hidden="false" customHeight="false" outlineLevel="0" collapsed="false">
      <c r="A170" s="21" t="str">
        <f aca="false">IF(C170="","",163)</f>
        <v/>
      </c>
      <c r="B170" s="21" t="str">
        <f aca="false">IF('دليل الأصناف'!$B$166="","",'دليل الأصناف'!$A$166)</f>
        <v/>
      </c>
      <c r="C170" s="4" t="str">
        <f aca="false">IF('دليل الأصناف'!$B$166="","",'دليل الأصناف'!$B$166)</f>
        <v/>
      </c>
      <c r="D170" s="27" t="str">
        <f aca="false">IF($C170="","",IF($B$4&amp;$B$5="",COUNTIFS('المبيعات اليومية'!$C$9:$C$308,$C170),COUNTIFS('المبيعات اليومية'!$C$9:$C$308,$C170,'المبيعات اليومية'!$A$9:$A$308,"&gt;="&amp;IF($B$4="",0,$B$4),'المبيعات اليومية'!$A$9:$A$308,"&lt;="&amp;IF($B$5="",2958465,$B$5))))</f>
        <v/>
      </c>
      <c r="E170" s="28" t="str">
        <f aca="false">IF($C170="","",IF($B$4&amp;$B$5="",SUMIFS('المبيعات اليومية'!$E$9:$E$308,'المبيعات اليومية'!$C$9:$C$308,$C170),SUMIFS('المبيعات اليومية'!$E$9:$E$308,'المبيعات اليومية'!$C$9:$C$308,$C170,'المبيعات اليومية'!$A$9:$A$308,"&gt;="&amp;IF($B$4="",0,$B$4),'المبيعات اليومية'!$A$9:$A$308,"&lt;="&amp;IF($B$5="",2958465,$B$5))))</f>
        <v/>
      </c>
      <c r="F170" s="19" t="str">
        <f aca="false">IF($C170="","",IF($B$4&amp;$B$5="",SUMIFS('المبيعات اليومية'!$H$9:$H$308,'المبيعات اليومية'!$C$9:$C$308,$C170),SUMIFS('المبيعات اليومية'!$H$9:$H$308,'المبيعات اليومية'!$C$9:$C$308,$C170,'المبيعات اليومية'!$A$9:$A$308,"&gt;="&amp;IF($B$4="",0,$B$4),'المبيعات اليومية'!$A$9:$A$308,"&lt;="&amp;IF($B$5="",2958465,$B$5))))</f>
        <v/>
      </c>
      <c r="G170" s="19" t="str">
        <f aca="false">IF($C170="","",IF($B$4&amp;$B$5="",SUMIFS('المبيعات اليومية'!$I$9:$I$308,'المبيعات اليومية'!$C$9:$C$308,$C170),SUMIFS('المبيعات اليومية'!$I$9:$I$308,'المبيعات اليومية'!$C$9:$C$308,$C170,'المبيعات اليومية'!$A$9:$A$308,"&gt;="&amp;IF($B$4="",0,$B$4),'المبيعات اليومية'!$A$9:$A$308,"&lt;="&amp;IF($B$5="",2958465,$B$5))))</f>
        <v/>
      </c>
      <c r="H170" s="20" t="str">
        <f aca="false">IF($C170="","",IF($B$4&amp;$B$5="",SUMIFS('المبيعات اليومية'!$J$9:$J$308,'المبيعات اليومية'!$C$9:$C$308,$C170),SUMIFS('المبيعات اليومية'!$J$9:$J$308,'المبيعات اليومية'!$C$9:$C$308,$C170,'المبيعات اليومية'!$A$9:$A$308,"&gt;="&amp;IF($B$4="",0,$B$4),'المبيعات اليومية'!$A$9:$A$308,"&lt;="&amp;IF($B$5="",2958465,$B$5))))</f>
        <v/>
      </c>
      <c r="I170" s="29" t="str">
        <f aca="false">IF(OR($C170="",$H$208=0),"",H170/$H$208)</f>
        <v/>
      </c>
      <c r="J170" s="19" t="str">
        <f aca="false">IF(OR(C170="",N(E170)=0),"",F170/E170)</f>
        <v/>
      </c>
    </row>
    <row r="171" customFormat="false" ht="15" hidden="false" customHeight="false" outlineLevel="0" collapsed="false">
      <c r="A171" s="21" t="str">
        <f aca="false">IF(C171="","",164)</f>
        <v/>
      </c>
      <c r="B171" s="21" t="str">
        <f aca="false">IF('دليل الأصناف'!$B$167="","",'دليل الأصناف'!$A$167)</f>
        <v/>
      </c>
      <c r="C171" s="4" t="str">
        <f aca="false">IF('دليل الأصناف'!$B$167="","",'دليل الأصناف'!$B$167)</f>
        <v/>
      </c>
      <c r="D171" s="27" t="str">
        <f aca="false">IF($C171="","",IF($B$4&amp;$B$5="",COUNTIFS('المبيعات اليومية'!$C$9:$C$308,$C171),COUNTIFS('المبيعات اليومية'!$C$9:$C$308,$C171,'المبيعات اليومية'!$A$9:$A$308,"&gt;="&amp;IF($B$4="",0,$B$4),'المبيعات اليومية'!$A$9:$A$308,"&lt;="&amp;IF($B$5="",2958465,$B$5))))</f>
        <v/>
      </c>
      <c r="E171" s="28" t="str">
        <f aca="false">IF($C171="","",IF($B$4&amp;$B$5="",SUMIFS('المبيعات اليومية'!$E$9:$E$308,'المبيعات اليومية'!$C$9:$C$308,$C171),SUMIFS('المبيعات اليومية'!$E$9:$E$308,'المبيعات اليومية'!$C$9:$C$308,$C171,'المبيعات اليومية'!$A$9:$A$308,"&gt;="&amp;IF($B$4="",0,$B$4),'المبيعات اليومية'!$A$9:$A$308,"&lt;="&amp;IF($B$5="",2958465,$B$5))))</f>
        <v/>
      </c>
      <c r="F171" s="19" t="str">
        <f aca="false">IF($C171="","",IF($B$4&amp;$B$5="",SUMIFS('المبيعات اليومية'!$H$9:$H$308,'المبيعات اليومية'!$C$9:$C$308,$C171),SUMIFS('المبيعات اليومية'!$H$9:$H$308,'المبيعات اليومية'!$C$9:$C$308,$C171,'المبيعات اليومية'!$A$9:$A$308,"&gt;="&amp;IF($B$4="",0,$B$4),'المبيعات اليومية'!$A$9:$A$308,"&lt;="&amp;IF($B$5="",2958465,$B$5))))</f>
        <v/>
      </c>
      <c r="G171" s="19" t="str">
        <f aca="false">IF($C171="","",IF($B$4&amp;$B$5="",SUMIFS('المبيعات اليومية'!$I$9:$I$308,'المبيعات اليومية'!$C$9:$C$308,$C171),SUMIFS('المبيعات اليومية'!$I$9:$I$308,'المبيعات اليومية'!$C$9:$C$308,$C171,'المبيعات اليومية'!$A$9:$A$308,"&gt;="&amp;IF($B$4="",0,$B$4),'المبيعات اليومية'!$A$9:$A$308,"&lt;="&amp;IF($B$5="",2958465,$B$5))))</f>
        <v/>
      </c>
      <c r="H171" s="20" t="str">
        <f aca="false">IF($C171="","",IF($B$4&amp;$B$5="",SUMIFS('المبيعات اليومية'!$J$9:$J$308,'المبيعات اليومية'!$C$9:$C$308,$C171),SUMIFS('المبيعات اليومية'!$J$9:$J$308,'المبيعات اليومية'!$C$9:$C$308,$C171,'المبيعات اليومية'!$A$9:$A$308,"&gt;="&amp;IF($B$4="",0,$B$4),'المبيعات اليومية'!$A$9:$A$308,"&lt;="&amp;IF($B$5="",2958465,$B$5))))</f>
        <v/>
      </c>
      <c r="I171" s="29" t="str">
        <f aca="false">IF(OR($C171="",$H$208=0),"",H171/$H$208)</f>
        <v/>
      </c>
      <c r="J171" s="19" t="str">
        <f aca="false">IF(OR(C171="",N(E171)=0),"",F171/E171)</f>
        <v/>
      </c>
    </row>
    <row r="172" customFormat="false" ht="15" hidden="false" customHeight="false" outlineLevel="0" collapsed="false">
      <c r="A172" s="21" t="str">
        <f aca="false">IF(C172="","",165)</f>
        <v/>
      </c>
      <c r="B172" s="21" t="str">
        <f aca="false">IF('دليل الأصناف'!$B$168="","",'دليل الأصناف'!$A$168)</f>
        <v/>
      </c>
      <c r="C172" s="4" t="str">
        <f aca="false">IF('دليل الأصناف'!$B$168="","",'دليل الأصناف'!$B$168)</f>
        <v/>
      </c>
      <c r="D172" s="27" t="str">
        <f aca="false">IF($C172="","",IF($B$4&amp;$B$5="",COUNTIFS('المبيعات اليومية'!$C$9:$C$308,$C172),COUNTIFS('المبيعات اليومية'!$C$9:$C$308,$C172,'المبيعات اليومية'!$A$9:$A$308,"&gt;="&amp;IF($B$4="",0,$B$4),'المبيعات اليومية'!$A$9:$A$308,"&lt;="&amp;IF($B$5="",2958465,$B$5))))</f>
        <v/>
      </c>
      <c r="E172" s="28" t="str">
        <f aca="false">IF($C172="","",IF($B$4&amp;$B$5="",SUMIFS('المبيعات اليومية'!$E$9:$E$308,'المبيعات اليومية'!$C$9:$C$308,$C172),SUMIFS('المبيعات اليومية'!$E$9:$E$308,'المبيعات اليومية'!$C$9:$C$308,$C172,'المبيعات اليومية'!$A$9:$A$308,"&gt;="&amp;IF($B$4="",0,$B$4),'المبيعات اليومية'!$A$9:$A$308,"&lt;="&amp;IF($B$5="",2958465,$B$5))))</f>
        <v/>
      </c>
      <c r="F172" s="19" t="str">
        <f aca="false">IF($C172="","",IF($B$4&amp;$B$5="",SUMIFS('المبيعات اليومية'!$H$9:$H$308,'المبيعات اليومية'!$C$9:$C$308,$C172),SUMIFS('المبيعات اليومية'!$H$9:$H$308,'المبيعات اليومية'!$C$9:$C$308,$C172,'المبيعات اليومية'!$A$9:$A$308,"&gt;="&amp;IF($B$4="",0,$B$4),'المبيعات اليومية'!$A$9:$A$308,"&lt;="&amp;IF($B$5="",2958465,$B$5))))</f>
        <v/>
      </c>
      <c r="G172" s="19" t="str">
        <f aca="false">IF($C172="","",IF($B$4&amp;$B$5="",SUMIFS('المبيعات اليومية'!$I$9:$I$308,'المبيعات اليومية'!$C$9:$C$308,$C172),SUMIFS('المبيعات اليومية'!$I$9:$I$308,'المبيعات اليومية'!$C$9:$C$308,$C172,'المبيعات اليومية'!$A$9:$A$308,"&gt;="&amp;IF($B$4="",0,$B$4),'المبيعات اليومية'!$A$9:$A$308,"&lt;="&amp;IF($B$5="",2958465,$B$5))))</f>
        <v/>
      </c>
      <c r="H172" s="20" t="str">
        <f aca="false">IF($C172="","",IF($B$4&amp;$B$5="",SUMIFS('المبيعات اليومية'!$J$9:$J$308,'المبيعات اليومية'!$C$9:$C$308,$C172),SUMIFS('المبيعات اليومية'!$J$9:$J$308,'المبيعات اليومية'!$C$9:$C$308,$C172,'المبيعات اليومية'!$A$9:$A$308,"&gt;="&amp;IF($B$4="",0,$B$4),'المبيعات اليومية'!$A$9:$A$308,"&lt;="&amp;IF($B$5="",2958465,$B$5))))</f>
        <v/>
      </c>
      <c r="I172" s="29" t="str">
        <f aca="false">IF(OR($C172="",$H$208=0),"",H172/$H$208)</f>
        <v/>
      </c>
      <c r="J172" s="19" t="str">
        <f aca="false">IF(OR(C172="",N(E172)=0),"",F172/E172)</f>
        <v/>
      </c>
    </row>
    <row r="173" customFormat="false" ht="15" hidden="false" customHeight="false" outlineLevel="0" collapsed="false">
      <c r="A173" s="21" t="str">
        <f aca="false">IF(C173="","",166)</f>
        <v/>
      </c>
      <c r="B173" s="21" t="str">
        <f aca="false">IF('دليل الأصناف'!$B$169="","",'دليل الأصناف'!$A$169)</f>
        <v/>
      </c>
      <c r="C173" s="4" t="str">
        <f aca="false">IF('دليل الأصناف'!$B$169="","",'دليل الأصناف'!$B$169)</f>
        <v/>
      </c>
      <c r="D173" s="27" t="str">
        <f aca="false">IF($C173="","",IF($B$4&amp;$B$5="",COUNTIFS('المبيعات اليومية'!$C$9:$C$308,$C173),COUNTIFS('المبيعات اليومية'!$C$9:$C$308,$C173,'المبيعات اليومية'!$A$9:$A$308,"&gt;="&amp;IF($B$4="",0,$B$4),'المبيعات اليومية'!$A$9:$A$308,"&lt;="&amp;IF($B$5="",2958465,$B$5))))</f>
        <v/>
      </c>
      <c r="E173" s="28" t="str">
        <f aca="false">IF($C173="","",IF($B$4&amp;$B$5="",SUMIFS('المبيعات اليومية'!$E$9:$E$308,'المبيعات اليومية'!$C$9:$C$308,$C173),SUMIFS('المبيعات اليومية'!$E$9:$E$308,'المبيعات اليومية'!$C$9:$C$308,$C173,'المبيعات اليومية'!$A$9:$A$308,"&gt;="&amp;IF($B$4="",0,$B$4),'المبيعات اليومية'!$A$9:$A$308,"&lt;="&amp;IF($B$5="",2958465,$B$5))))</f>
        <v/>
      </c>
      <c r="F173" s="19" t="str">
        <f aca="false">IF($C173="","",IF($B$4&amp;$B$5="",SUMIFS('المبيعات اليومية'!$H$9:$H$308,'المبيعات اليومية'!$C$9:$C$308,$C173),SUMIFS('المبيعات اليومية'!$H$9:$H$308,'المبيعات اليومية'!$C$9:$C$308,$C173,'المبيعات اليومية'!$A$9:$A$308,"&gt;="&amp;IF($B$4="",0,$B$4),'المبيعات اليومية'!$A$9:$A$308,"&lt;="&amp;IF($B$5="",2958465,$B$5))))</f>
        <v/>
      </c>
      <c r="G173" s="19" t="str">
        <f aca="false">IF($C173="","",IF($B$4&amp;$B$5="",SUMIFS('المبيعات اليومية'!$I$9:$I$308,'المبيعات اليومية'!$C$9:$C$308,$C173),SUMIFS('المبيعات اليومية'!$I$9:$I$308,'المبيعات اليومية'!$C$9:$C$308,$C173,'المبيعات اليومية'!$A$9:$A$308,"&gt;="&amp;IF($B$4="",0,$B$4),'المبيعات اليومية'!$A$9:$A$308,"&lt;="&amp;IF($B$5="",2958465,$B$5))))</f>
        <v/>
      </c>
      <c r="H173" s="20" t="str">
        <f aca="false">IF($C173="","",IF($B$4&amp;$B$5="",SUMIFS('المبيعات اليومية'!$J$9:$J$308,'المبيعات اليومية'!$C$9:$C$308,$C173),SUMIFS('المبيعات اليومية'!$J$9:$J$308,'المبيعات اليومية'!$C$9:$C$308,$C173,'المبيعات اليومية'!$A$9:$A$308,"&gt;="&amp;IF($B$4="",0,$B$4),'المبيعات اليومية'!$A$9:$A$308,"&lt;="&amp;IF($B$5="",2958465,$B$5))))</f>
        <v/>
      </c>
      <c r="I173" s="29" t="str">
        <f aca="false">IF(OR($C173="",$H$208=0),"",H173/$H$208)</f>
        <v/>
      </c>
      <c r="J173" s="19" t="str">
        <f aca="false">IF(OR(C173="",N(E173)=0),"",F173/E173)</f>
        <v/>
      </c>
    </row>
    <row r="174" customFormat="false" ht="15" hidden="false" customHeight="false" outlineLevel="0" collapsed="false">
      <c r="A174" s="21" t="str">
        <f aca="false">IF(C174="","",167)</f>
        <v/>
      </c>
      <c r="B174" s="21" t="str">
        <f aca="false">IF('دليل الأصناف'!$B$170="","",'دليل الأصناف'!$A$170)</f>
        <v/>
      </c>
      <c r="C174" s="4" t="str">
        <f aca="false">IF('دليل الأصناف'!$B$170="","",'دليل الأصناف'!$B$170)</f>
        <v/>
      </c>
      <c r="D174" s="27" t="str">
        <f aca="false">IF($C174="","",IF($B$4&amp;$B$5="",COUNTIFS('المبيعات اليومية'!$C$9:$C$308,$C174),COUNTIFS('المبيعات اليومية'!$C$9:$C$308,$C174,'المبيعات اليومية'!$A$9:$A$308,"&gt;="&amp;IF($B$4="",0,$B$4),'المبيعات اليومية'!$A$9:$A$308,"&lt;="&amp;IF($B$5="",2958465,$B$5))))</f>
        <v/>
      </c>
      <c r="E174" s="28" t="str">
        <f aca="false">IF($C174="","",IF($B$4&amp;$B$5="",SUMIFS('المبيعات اليومية'!$E$9:$E$308,'المبيعات اليومية'!$C$9:$C$308,$C174),SUMIFS('المبيعات اليومية'!$E$9:$E$308,'المبيعات اليومية'!$C$9:$C$308,$C174,'المبيعات اليومية'!$A$9:$A$308,"&gt;="&amp;IF($B$4="",0,$B$4),'المبيعات اليومية'!$A$9:$A$308,"&lt;="&amp;IF($B$5="",2958465,$B$5))))</f>
        <v/>
      </c>
      <c r="F174" s="19" t="str">
        <f aca="false">IF($C174="","",IF($B$4&amp;$B$5="",SUMIFS('المبيعات اليومية'!$H$9:$H$308,'المبيعات اليومية'!$C$9:$C$308,$C174),SUMIFS('المبيعات اليومية'!$H$9:$H$308,'المبيعات اليومية'!$C$9:$C$308,$C174,'المبيعات اليومية'!$A$9:$A$308,"&gt;="&amp;IF($B$4="",0,$B$4),'المبيعات اليومية'!$A$9:$A$308,"&lt;="&amp;IF($B$5="",2958465,$B$5))))</f>
        <v/>
      </c>
      <c r="G174" s="19" t="str">
        <f aca="false">IF($C174="","",IF($B$4&amp;$B$5="",SUMIFS('المبيعات اليومية'!$I$9:$I$308,'المبيعات اليومية'!$C$9:$C$308,$C174),SUMIFS('المبيعات اليومية'!$I$9:$I$308,'المبيعات اليومية'!$C$9:$C$308,$C174,'المبيعات اليومية'!$A$9:$A$308,"&gt;="&amp;IF($B$4="",0,$B$4),'المبيعات اليومية'!$A$9:$A$308,"&lt;="&amp;IF($B$5="",2958465,$B$5))))</f>
        <v/>
      </c>
      <c r="H174" s="20" t="str">
        <f aca="false">IF($C174="","",IF($B$4&amp;$B$5="",SUMIFS('المبيعات اليومية'!$J$9:$J$308,'المبيعات اليومية'!$C$9:$C$308,$C174),SUMIFS('المبيعات اليومية'!$J$9:$J$308,'المبيعات اليومية'!$C$9:$C$308,$C174,'المبيعات اليومية'!$A$9:$A$308,"&gt;="&amp;IF($B$4="",0,$B$4),'المبيعات اليومية'!$A$9:$A$308,"&lt;="&amp;IF($B$5="",2958465,$B$5))))</f>
        <v/>
      </c>
      <c r="I174" s="29" t="str">
        <f aca="false">IF(OR($C174="",$H$208=0),"",H174/$H$208)</f>
        <v/>
      </c>
      <c r="J174" s="19" t="str">
        <f aca="false">IF(OR(C174="",N(E174)=0),"",F174/E174)</f>
        <v/>
      </c>
    </row>
    <row r="175" customFormat="false" ht="15" hidden="false" customHeight="false" outlineLevel="0" collapsed="false">
      <c r="A175" s="21" t="str">
        <f aca="false">IF(C175="","",168)</f>
        <v/>
      </c>
      <c r="B175" s="21" t="str">
        <f aca="false">IF('دليل الأصناف'!$B$171="","",'دليل الأصناف'!$A$171)</f>
        <v/>
      </c>
      <c r="C175" s="4" t="str">
        <f aca="false">IF('دليل الأصناف'!$B$171="","",'دليل الأصناف'!$B$171)</f>
        <v/>
      </c>
      <c r="D175" s="27" t="str">
        <f aca="false">IF($C175="","",IF($B$4&amp;$B$5="",COUNTIFS('المبيعات اليومية'!$C$9:$C$308,$C175),COUNTIFS('المبيعات اليومية'!$C$9:$C$308,$C175,'المبيعات اليومية'!$A$9:$A$308,"&gt;="&amp;IF($B$4="",0,$B$4),'المبيعات اليومية'!$A$9:$A$308,"&lt;="&amp;IF($B$5="",2958465,$B$5))))</f>
        <v/>
      </c>
      <c r="E175" s="28" t="str">
        <f aca="false">IF($C175="","",IF($B$4&amp;$B$5="",SUMIFS('المبيعات اليومية'!$E$9:$E$308,'المبيعات اليومية'!$C$9:$C$308,$C175),SUMIFS('المبيعات اليومية'!$E$9:$E$308,'المبيعات اليومية'!$C$9:$C$308,$C175,'المبيعات اليومية'!$A$9:$A$308,"&gt;="&amp;IF($B$4="",0,$B$4),'المبيعات اليومية'!$A$9:$A$308,"&lt;="&amp;IF($B$5="",2958465,$B$5))))</f>
        <v/>
      </c>
      <c r="F175" s="19" t="str">
        <f aca="false">IF($C175="","",IF($B$4&amp;$B$5="",SUMIFS('المبيعات اليومية'!$H$9:$H$308,'المبيعات اليومية'!$C$9:$C$308,$C175),SUMIFS('المبيعات اليومية'!$H$9:$H$308,'المبيعات اليومية'!$C$9:$C$308,$C175,'المبيعات اليومية'!$A$9:$A$308,"&gt;="&amp;IF($B$4="",0,$B$4),'المبيعات اليومية'!$A$9:$A$308,"&lt;="&amp;IF($B$5="",2958465,$B$5))))</f>
        <v/>
      </c>
      <c r="G175" s="19" t="str">
        <f aca="false">IF($C175="","",IF($B$4&amp;$B$5="",SUMIFS('المبيعات اليومية'!$I$9:$I$308,'المبيعات اليومية'!$C$9:$C$308,$C175),SUMIFS('المبيعات اليومية'!$I$9:$I$308,'المبيعات اليومية'!$C$9:$C$308,$C175,'المبيعات اليومية'!$A$9:$A$308,"&gt;="&amp;IF($B$4="",0,$B$4),'المبيعات اليومية'!$A$9:$A$308,"&lt;="&amp;IF($B$5="",2958465,$B$5))))</f>
        <v/>
      </c>
      <c r="H175" s="20" t="str">
        <f aca="false">IF($C175="","",IF($B$4&amp;$B$5="",SUMIFS('المبيعات اليومية'!$J$9:$J$308,'المبيعات اليومية'!$C$9:$C$308,$C175),SUMIFS('المبيعات اليومية'!$J$9:$J$308,'المبيعات اليومية'!$C$9:$C$308,$C175,'المبيعات اليومية'!$A$9:$A$308,"&gt;="&amp;IF($B$4="",0,$B$4),'المبيعات اليومية'!$A$9:$A$308,"&lt;="&amp;IF($B$5="",2958465,$B$5))))</f>
        <v/>
      </c>
      <c r="I175" s="29" t="str">
        <f aca="false">IF(OR($C175="",$H$208=0),"",H175/$H$208)</f>
        <v/>
      </c>
      <c r="J175" s="19" t="str">
        <f aca="false">IF(OR(C175="",N(E175)=0),"",F175/E175)</f>
        <v/>
      </c>
    </row>
    <row r="176" customFormat="false" ht="15" hidden="false" customHeight="false" outlineLevel="0" collapsed="false">
      <c r="A176" s="21" t="str">
        <f aca="false">IF(C176="","",169)</f>
        <v/>
      </c>
      <c r="B176" s="21" t="str">
        <f aca="false">IF('دليل الأصناف'!$B$172="","",'دليل الأصناف'!$A$172)</f>
        <v/>
      </c>
      <c r="C176" s="4" t="str">
        <f aca="false">IF('دليل الأصناف'!$B$172="","",'دليل الأصناف'!$B$172)</f>
        <v/>
      </c>
      <c r="D176" s="27" t="str">
        <f aca="false">IF($C176="","",IF($B$4&amp;$B$5="",COUNTIFS('المبيعات اليومية'!$C$9:$C$308,$C176),COUNTIFS('المبيعات اليومية'!$C$9:$C$308,$C176,'المبيعات اليومية'!$A$9:$A$308,"&gt;="&amp;IF($B$4="",0,$B$4),'المبيعات اليومية'!$A$9:$A$308,"&lt;="&amp;IF($B$5="",2958465,$B$5))))</f>
        <v/>
      </c>
      <c r="E176" s="28" t="str">
        <f aca="false">IF($C176="","",IF($B$4&amp;$B$5="",SUMIFS('المبيعات اليومية'!$E$9:$E$308,'المبيعات اليومية'!$C$9:$C$308,$C176),SUMIFS('المبيعات اليومية'!$E$9:$E$308,'المبيعات اليومية'!$C$9:$C$308,$C176,'المبيعات اليومية'!$A$9:$A$308,"&gt;="&amp;IF($B$4="",0,$B$4),'المبيعات اليومية'!$A$9:$A$308,"&lt;="&amp;IF($B$5="",2958465,$B$5))))</f>
        <v/>
      </c>
      <c r="F176" s="19" t="str">
        <f aca="false">IF($C176="","",IF($B$4&amp;$B$5="",SUMIFS('المبيعات اليومية'!$H$9:$H$308,'المبيعات اليومية'!$C$9:$C$308,$C176),SUMIFS('المبيعات اليومية'!$H$9:$H$308,'المبيعات اليومية'!$C$9:$C$308,$C176,'المبيعات اليومية'!$A$9:$A$308,"&gt;="&amp;IF($B$4="",0,$B$4),'المبيعات اليومية'!$A$9:$A$308,"&lt;="&amp;IF($B$5="",2958465,$B$5))))</f>
        <v/>
      </c>
      <c r="G176" s="19" t="str">
        <f aca="false">IF($C176="","",IF($B$4&amp;$B$5="",SUMIFS('المبيعات اليومية'!$I$9:$I$308,'المبيعات اليومية'!$C$9:$C$308,$C176),SUMIFS('المبيعات اليومية'!$I$9:$I$308,'المبيعات اليومية'!$C$9:$C$308,$C176,'المبيعات اليومية'!$A$9:$A$308,"&gt;="&amp;IF($B$4="",0,$B$4),'المبيعات اليومية'!$A$9:$A$308,"&lt;="&amp;IF($B$5="",2958465,$B$5))))</f>
        <v/>
      </c>
      <c r="H176" s="20" t="str">
        <f aca="false">IF($C176="","",IF($B$4&amp;$B$5="",SUMIFS('المبيعات اليومية'!$J$9:$J$308,'المبيعات اليومية'!$C$9:$C$308,$C176),SUMIFS('المبيعات اليومية'!$J$9:$J$308,'المبيعات اليومية'!$C$9:$C$308,$C176,'المبيعات اليومية'!$A$9:$A$308,"&gt;="&amp;IF($B$4="",0,$B$4),'المبيعات اليومية'!$A$9:$A$308,"&lt;="&amp;IF($B$5="",2958465,$B$5))))</f>
        <v/>
      </c>
      <c r="I176" s="29" t="str">
        <f aca="false">IF(OR($C176="",$H$208=0),"",H176/$H$208)</f>
        <v/>
      </c>
      <c r="J176" s="19" t="str">
        <f aca="false">IF(OR(C176="",N(E176)=0),"",F176/E176)</f>
        <v/>
      </c>
    </row>
    <row r="177" customFormat="false" ht="15" hidden="false" customHeight="false" outlineLevel="0" collapsed="false">
      <c r="A177" s="21" t="str">
        <f aca="false">IF(C177="","",170)</f>
        <v/>
      </c>
      <c r="B177" s="21" t="str">
        <f aca="false">IF('دليل الأصناف'!$B$173="","",'دليل الأصناف'!$A$173)</f>
        <v/>
      </c>
      <c r="C177" s="4" t="str">
        <f aca="false">IF('دليل الأصناف'!$B$173="","",'دليل الأصناف'!$B$173)</f>
        <v/>
      </c>
      <c r="D177" s="27" t="str">
        <f aca="false">IF($C177="","",IF($B$4&amp;$B$5="",COUNTIFS('المبيعات اليومية'!$C$9:$C$308,$C177),COUNTIFS('المبيعات اليومية'!$C$9:$C$308,$C177,'المبيعات اليومية'!$A$9:$A$308,"&gt;="&amp;IF($B$4="",0,$B$4),'المبيعات اليومية'!$A$9:$A$308,"&lt;="&amp;IF($B$5="",2958465,$B$5))))</f>
        <v/>
      </c>
      <c r="E177" s="28" t="str">
        <f aca="false">IF($C177="","",IF($B$4&amp;$B$5="",SUMIFS('المبيعات اليومية'!$E$9:$E$308,'المبيعات اليومية'!$C$9:$C$308,$C177),SUMIFS('المبيعات اليومية'!$E$9:$E$308,'المبيعات اليومية'!$C$9:$C$308,$C177,'المبيعات اليومية'!$A$9:$A$308,"&gt;="&amp;IF($B$4="",0,$B$4),'المبيعات اليومية'!$A$9:$A$308,"&lt;="&amp;IF($B$5="",2958465,$B$5))))</f>
        <v/>
      </c>
      <c r="F177" s="19" t="str">
        <f aca="false">IF($C177="","",IF($B$4&amp;$B$5="",SUMIFS('المبيعات اليومية'!$H$9:$H$308,'المبيعات اليومية'!$C$9:$C$308,$C177),SUMIFS('المبيعات اليومية'!$H$9:$H$308,'المبيعات اليومية'!$C$9:$C$308,$C177,'المبيعات اليومية'!$A$9:$A$308,"&gt;="&amp;IF($B$4="",0,$B$4),'المبيعات اليومية'!$A$9:$A$308,"&lt;="&amp;IF($B$5="",2958465,$B$5))))</f>
        <v/>
      </c>
      <c r="G177" s="19" t="str">
        <f aca="false">IF($C177="","",IF($B$4&amp;$B$5="",SUMIFS('المبيعات اليومية'!$I$9:$I$308,'المبيعات اليومية'!$C$9:$C$308,$C177),SUMIFS('المبيعات اليومية'!$I$9:$I$308,'المبيعات اليومية'!$C$9:$C$308,$C177,'المبيعات اليومية'!$A$9:$A$308,"&gt;="&amp;IF($B$4="",0,$B$4),'المبيعات اليومية'!$A$9:$A$308,"&lt;="&amp;IF($B$5="",2958465,$B$5))))</f>
        <v/>
      </c>
      <c r="H177" s="20" t="str">
        <f aca="false">IF($C177="","",IF($B$4&amp;$B$5="",SUMIFS('المبيعات اليومية'!$J$9:$J$308,'المبيعات اليومية'!$C$9:$C$308,$C177),SUMIFS('المبيعات اليومية'!$J$9:$J$308,'المبيعات اليومية'!$C$9:$C$308,$C177,'المبيعات اليومية'!$A$9:$A$308,"&gt;="&amp;IF($B$4="",0,$B$4),'المبيعات اليومية'!$A$9:$A$308,"&lt;="&amp;IF($B$5="",2958465,$B$5))))</f>
        <v/>
      </c>
      <c r="I177" s="29" t="str">
        <f aca="false">IF(OR($C177="",$H$208=0),"",H177/$H$208)</f>
        <v/>
      </c>
      <c r="J177" s="19" t="str">
        <f aca="false">IF(OR(C177="",N(E177)=0),"",F177/E177)</f>
        <v/>
      </c>
    </row>
    <row r="178" customFormat="false" ht="15" hidden="false" customHeight="false" outlineLevel="0" collapsed="false">
      <c r="A178" s="21" t="str">
        <f aca="false">IF(C178="","",171)</f>
        <v/>
      </c>
      <c r="B178" s="21" t="str">
        <f aca="false">IF('دليل الأصناف'!$B$174="","",'دليل الأصناف'!$A$174)</f>
        <v/>
      </c>
      <c r="C178" s="4" t="str">
        <f aca="false">IF('دليل الأصناف'!$B$174="","",'دليل الأصناف'!$B$174)</f>
        <v/>
      </c>
      <c r="D178" s="27" t="str">
        <f aca="false">IF($C178="","",IF($B$4&amp;$B$5="",COUNTIFS('المبيعات اليومية'!$C$9:$C$308,$C178),COUNTIFS('المبيعات اليومية'!$C$9:$C$308,$C178,'المبيعات اليومية'!$A$9:$A$308,"&gt;="&amp;IF($B$4="",0,$B$4),'المبيعات اليومية'!$A$9:$A$308,"&lt;="&amp;IF($B$5="",2958465,$B$5))))</f>
        <v/>
      </c>
      <c r="E178" s="28" t="str">
        <f aca="false">IF($C178="","",IF($B$4&amp;$B$5="",SUMIFS('المبيعات اليومية'!$E$9:$E$308,'المبيعات اليومية'!$C$9:$C$308,$C178),SUMIFS('المبيعات اليومية'!$E$9:$E$308,'المبيعات اليومية'!$C$9:$C$308,$C178,'المبيعات اليومية'!$A$9:$A$308,"&gt;="&amp;IF($B$4="",0,$B$4),'المبيعات اليومية'!$A$9:$A$308,"&lt;="&amp;IF($B$5="",2958465,$B$5))))</f>
        <v/>
      </c>
      <c r="F178" s="19" t="str">
        <f aca="false">IF($C178="","",IF($B$4&amp;$B$5="",SUMIFS('المبيعات اليومية'!$H$9:$H$308,'المبيعات اليومية'!$C$9:$C$308,$C178),SUMIFS('المبيعات اليومية'!$H$9:$H$308,'المبيعات اليومية'!$C$9:$C$308,$C178,'المبيعات اليومية'!$A$9:$A$308,"&gt;="&amp;IF($B$4="",0,$B$4),'المبيعات اليومية'!$A$9:$A$308,"&lt;="&amp;IF($B$5="",2958465,$B$5))))</f>
        <v/>
      </c>
      <c r="G178" s="19" t="str">
        <f aca="false">IF($C178="","",IF($B$4&amp;$B$5="",SUMIFS('المبيعات اليومية'!$I$9:$I$308,'المبيعات اليومية'!$C$9:$C$308,$C178),SUMIFS('المبيعات اليومية'!$I$9:$I$308,'المبيعات اليومية'!$C$9:$C$308,$C178,'المبيعات اليومية'!$A$9:$A$308,"&gt;="&amp;IF($B$4="",0,$B$4),'المبيعات اليومية'!$A$9:$A$308,"&lt;="&amp;IF($B$5="",2958465,$B$5))))</f>
        <v/>
      </c>
      <c r="H178" s="20" t="str">
        <f aca="false">IF($C178="","",IF($B$4&amp;$B$5="",SUMIFS('المبيعات اليومية'!$J$9:$J$308,'المبيعات اليومية'!$C$9:$C$308,$C178),SUMIFS('المبيعات اليومية'!$J$9:$J$308,'المبيعات اليومية'!$C$9:$C$308,$C178,'المبيعات اليومية'!$A$9:$A$308,"&gt;="&amp;IF($B$4="",0,$B$4),'المبيعات اليومية'!$A$9:$A$308,"&lt;="&amp;IF($B$5="",2958465,$B$5))))</f>
        <v/>
      </c>
      <c r="I178" s="29" t="str">
        <f aca="false">IF(OR($C178="",$H$208=0),"",H178/$H$208)</f>
        <v/>
      </c>
      <c r="J178" s="19" t="str">
        <f aca="false">IF(OR(C178="",N(E178)=0),"",F178/E178)</f>
        <v/>
      </c>
    </row>
    <row r="179" customFormat="false" ht="15" hidden="false" customHeight="false" outlineLevel="0" collapsed="false">
      <c r="A179" s="21" t="str">
        <f aca="false">IF(C179="","",172)</f>
        <v/>
      </c>
      <c r="B179" s="21" t="str">
        <f aca="false">IF('دليل الأصناف'!$B$175="","",'دليل الأصناف'!$A$175)</f>
        <v/>
      </c>
      <c r="C179" s="4" t="str">
        <f aca="false">IF('دليل الأصناف'!$B$175="","",'دليل الأصناف'!$B$175)</f>
        <v/>
      </c>
      <c r="D179" s="27" t="str">
        <f aca="false">IF($C179="","",IF($B$4&amp;$B$5="",COUNTIFS('المبيعات اليومية'!$C$9:$C$308,$C179),COUNTIFS('المبيعات اليومية'!$C$9:$C$308,$C179,'المبيعات اليومية'!$A$9:$A$308,"&gt;="&amp;IF($B$4="",0,$B$4),'المبيعات اليومية'!$A$9:$A$308,"&lt;="&amp;IF($B$5="",2958465,$B$5))))</f>
        <v/>
      </c>
      <c r="E179" s="28" t="str">
        <f aca="false">IF($C179="","",IF($B$4&amp;$B$5="",SUMIFS('المبيعات اليومية'!$E$9:$E$308,'المبيعات اليومية'!$C$9:$C$308,$C179),SUMIFS('المبيعات اليومية'!$E$9:$E$308,'المبيعات اليومية'!$C$9:$C$308,$C179,'المبيعات اليومية'!$A$9:$A$308,"&gt;="&amp;IF($B$4="",0,$B$4),'المبيعات اليومية'!$A$9:$A$308,"&lt;="&amp;IF($B$5="",2958465,$B$5))))</f>
        <v/>
      </c>
      <c r="F179" s="19" t="str">
        <f aca="false">IF($C179="","",IF($B$4&amp;$B$5="",SUMIFS('المبيعات اليومية'!$H$9:$H$308,'المبيعات اليومية'!$C$9:$C$308,$C179),SUMIFS('المبيعات اليومية'!$H$9:$H$308,'المبيعات اليومية'!$C$9:$C$308,$C179,'المبيعات اليومية'!$A$9:$A$308,"&gt;="&amp;IF($B$4="",0,$B$4),'المبيعات اليومية'!$A$9:$A$308,"&lt;="&amp;IF($B$5="",2958465,$B$5))))</f>
        <v/>
      </c>
      <c r="G179" s="19" t="str">
        <f aca="false">IF($C179="","",IF($B$4&amp;$B$5="",SUMIFS('المبيعات اليومية'!$I$9:$I$308,'المبيعات اليومية'!$C$9:$C$308,$C179),SUMIFS('المبيعات اليومية'!$I$9:$I$308,'المبيعات اليومية'!$C$9:$C$308,$C179,'المبيعات اليومية'!$A$9:$A$308,"&gt;="&amp;IF($B$4="",0,$B$4),'المبيعات اليومية'!$A$9:$A$308,"&lt;="&amp;IF($B$5="",2958465,$B$5))))</f>
        <v/>
      </c>
      <c r="H179" s="20" t="str">
        <f aca="false">IF($C179="","",IF($B$4&amp;$B$5="",SUMIFS('المبيعات اليومية'!$J$9:$J$308,'المبيعات اليومية'!$C$9:$C$308,$C179),SUMIFS('المبيعات اليومية'!$J$9:$J$308,'المبيعات اليومية'!$C$9:$C$308,$C179,'المبيعات اليومية'!$A$9:$A$308,"&gt;="&amp;IF($B$4="",0,$B$4),'المبيعات اليومية'!$A$9:$A$308,"&lt;="&amp;IF($B$5="",2958465,$B$5))))</f>
        <v/>
      </c>
      <c r="I179" s="29" t="str">
        <f aca="false">IF(OR($C179="",$H$208=0),"",H179/$H$208)</f>
        <v/>
      </c>
      <c r="J179" s="19" t="str">
        <f aca="false">IF(OR(C179="",N(E179)=0),"",F179/E179)</f>
        <v/>
      </c>
    </row>
    <row r="180" customFormat="false" ht="15" hidden="false" customHeight="false" outlineLevel="0" collapsed="false">
      <c r="A180" s="21" t="str">
        <f aca="false">IF(C180="","",173)</f>
        <v/>
      </c>
      <c r="B180" s="21" t="str">
        <f aca="false">IF('دليل الأصناف'!$B$176="","",'دليل الأصناف'!$A$176)</f>
        <v/>
      </c>
      <c r="C180" s="4" t="str">
        <f aca="false">IF('دليل الأصناف'!$B$176="","",'دليل الأصناف'!$B$176)</f>
        <v/>
      </c>
      <c r="D180" s="27" t="str">
        <f aca="false">IF($C180="","",IF($B$4&amp;$B$5="",COUNTIFS('المبيعات اليومية'!$C$9:$C$308,$C180),COUNTIFS('المبيعات اليومية'!$C$9:$C$308,$C180,'المبيعات اليومية'!$A$9:$A$308,"&gt;="&amp;IF($B$4="",0,$B$4),'المبيعات اليومية'!$A$9:$A$308,"&lt;="&amp;IF($B$5="",2958465,$B$5))))</f>
        <v/>
      </c>
      <c r="E180" s="28" t="str">
        <f aca="false">IF($C180="","",IF($B$4&amp;$B$5="",SUMIFS('المبيعات اليومية'!$E$9:$E$308,'المبيعات اليومية'!$C$9:$C$308,$C180),SUMIFS('المبيعات اليومية'!$E$9:$E$308,'المبيعات اليومية'!$C$9:$C$308,$C180,'المبيعات اليومية'!$A$9:$A$308,"&gt;="&amp;IF($B$4="",0,$B$4),'المبيعات اليومية'!$A$9:$A$308,"&lt;="&amp;IF($B$5="",2958465,$B$5))))</f>
        <v/>
      </c>
      <c r="F180" s="19" t="str">
        <f aca="false">IF($C180="","",IF($B$4&amp;$B$5="",SUMIFS('المبيعات اليومية'!$H$9:$H$308,'المبيعات اليومية'!$C$9:$C$308,$C180),SUMIFS('المبيعات اليومية'!$H$9:$H$308,'المبيعات اليومية'!$C$9:$C$308,$C180,'المبيعات اليومية'!$A$9:$A$308,"&gt;="&amp;IF($B$4="",0,$B$4),'المبيعات اليومية'!$A$9:$A$308,"&lt;="&amp;IF($B$5="",2958465,$B$5))))</f>
        <v/>
      </c>
      <c r="G180" s="19" t="str">
        <f aca="false">IF($C180="","",IF($B$4&amp;$B$5="",SUMIFS('المبيعات اليومية'!$I$9:$I$308,'المبيعات اليومية'!$C$9:$C$308,$C180),SUMIFS('المبيعات اليومية'!$I$9:$I$308,'المبيعات اليومية'!$C$9:$C$308,$C180,'المبيعات اليومية'!$A$9:$A$308,"&gt;="&amp;IF($B$4="",0,$B$4),'المبيعات اليومية'!$A$9:$A$308,"&lt;="&amp;IF($B$5="",2958465,$B$5))))</f>
        <v/>
      </c>
      <c r="H180" s="20" t="str">
        <f aca="false">IF($C180="","",IF($B$4&amp;$B$5="",SUMIFS('المبيعات اليومية'!$J$9:$J$308,'المبيعات اليومية'!$C$9:$C$308,$C180),SUMIFS('المبيعات اليومية'!$J$9:$J$308,'المبيعات اليومية'!$C$9:$C$308,$C180,'المبيعات اليومية'!$A$9:$A$308,"&gt;="&amp;IF($B$4="",0,$B$4),'المبيعات اليومية'!$A$9:$A$308,"&lt;="&amp;IF($B$5="",2958465,$B$5))))</f>
        <v/>
      </c>
      <c r="I180" s="29" t="str">
        <f aca="false">IF(OR($C180="",$H$208=0),"",H180/$H$208)</f>
        <v/>
      </c>
      <c r="J180" s="19" t="str">
        <f aca="false">IF(OR(C180="",N(E180)=0),"",F180/E180)</f>
        <v/>
      </c>
    </row>
    <row r="181" customFormat="false" ht="15" hidden="false" customHeight="false" outlineLevel="0" collapsed="false">
      <c r="A181" s="21" t="str">
        <f aca="false">IF(C181="","",174)</f>
        <v/>
      </c>
      <c r="B181" s="21" t="str">
        <f aca="false">IF('دليل الأصناف'!$B$177="","",'دليل الأصناف'!$A$177)</f>
        <v/>
      </c>
      <c r="C181" s="4" t="str">
        <f aca="false">IF('دليل الأصناف'!$B$177="","",'دليل الأصناف'!$B$177)</f>
        <v/>
      </c>
      <c r="D181" s="27" t="str">
        <f aca="false">IF($C181="","",IF($B$4&amp;$B$5="",COUNTIFS('المبيعات اليومية'!$C$9:$C$308,$C181),COUNTIFS('المبيعات اليومية'!$C$9:$C$308,$C181,'المبيعات اليومية'!$A$9:$A$308,"&gt;="&amp;IF($B$4="",0,$B$4),'المبيعات اليومية'!$A$9:$A$308,"&lt;="&amp;IF($B$5="",2958465,$B$5))))</f>
        <v/>
      </c>
      <c r="E181" s="28" t="str">
        <f aca="false">IF($C181="","",IF($B$4&amp;$B$5="",SUMIFS('المبيعات اليومية'!$E$9:$E$308,'المبيعات اليومية'!$C$9:$C$308,$C181),SUMIFS('المبيعات اليومية'!$E$9:$E$308,'المبيعات اليومية'!$C$9:$C$308,$C181,'المبيعات اليومية'!$A$9:$A$308,"&gt;="&amp;IF($B$4="",0,$B$4),'المبيعات اليومية'!$A$9:$A$308,"&lt;="&amp;IF($B$5="",2958465,$B$5))))</f>
        <v/>
      </c>
      <c r="F181" s="19" t="str">
        <f aca="false">IF($C181="","",IF($B$4&amp;$B$5="",SUMIFS('المبيعات اليومية'!$H$9:$H$308,'المبيعات اليومية'!$C$9:$C$308,$C181),SUMIFS('المبيعات اليومية'!$H$9:$H$308,'المبيعات اليومية'!$C$9:$C$308,$C181,'المبيعات اليومية'!$A$9:$A$308,"&gt;="&amp;IF($B$4="",0,$B$4),'المبيعات اليومية'!$A$9:$A$308,"&lt;="&amp;IF($B$5="",2958465,$B$5))))</f>
        <v/>
      </c>
      <c r="G181" s="19" t="str">
        <f aca="false">IF($C181="","",IF($B$4&amp;$B$5="",SUMIFS('المبيعات اليومية'!$I$9:$I$308,'المبيعات اليومية'!$C$9:$C$308,$C181),SUMIFS('المبيعات اليومية'!$I$9:$I$308,'المبيعات اليومية'!$C$9:$C$308,$C181,'المبيعات اليومية'!$A$9:$A$308,"&gt;="&amp;IF($B$4="",0,$B$4),'المبيعات اليومية'!$A$9:$A$308,"&lt;="&amp;IF($B$5="",2958465,$B$5))))</f>
        <v/>
      </c>
      <c r="H181" s="20" t="str">
        <f aca="false">IF($C181="","",IF($B$4&amp;$B$5="",SUMIFS('المبيعات اليومية'!$J$9:$J$308,'المبيعات اليومية'!$C$9:$C$308,$C181),SUMIFS('المبيعات اليومية'!$J$9:$J$308,'المبيعات اليومية'!$C$9:$C$308,$C181,'المبيعات اليومية'!$A$9:$A$308,"&gt;="&amp;IF($B$4="",0,$B$4),'المبيعات اليومية'!$A$9:$A$308,"&lt;="&amp;IF($B$5="",2958465,$B$5))))</f>
        <v/>
      </c>
      <c r="I181" s="29" t="str">
        <f aca="false">IF(OR($C181="",$H$208=0),"",H181/$H$208)</f>
        <v/>
      </c>
      <c r="J181" s="19" t="str">
        <f aca="false">IF(OR(C181="",N(E181)=0),"",F181/E181)</f>
        <v/>
      </c>
    </row>
    <row r="182" customFormat="false" ht="15" hidden="false" customHeight="false" outlineLevel="0" collapsed="false">
      <c r="A182" s="21" t="str">
        <f aca="false">IF(C182="","",175)</f>
        <v/>
      </c>
      <c r="B182" s="21" t="str">
        <f aca="false">IF('دليل الأصناف'!$B$178="","",'دليل الأصناف'!$A$178)</f>
        <v/>
      </c>
      <c r="C182" s="4" t="str">
        <f aca="false">IF('دليل الأصناف'!$B$178="","",'دليل الأصناف'!$B$178)</f>
        <v/>
      </c>
      <c r="D182" s="27" t="str">
        <f aca="false">IF($C182="","",IF($B$4&amp;$B$5="",COUNTIFS('المبيعات اليومية'!$C$9:$C$308,$C182),COUNTIFS('المبيعات اليومية'!$C$9:$C$308,$C182,'المبيعات اليومية'!$A$9:$A$308,"&gt;="&amp;IF($B$4="",0,$B$4),'المبيعات اليومية'!$A$9:$A$308,"&lt;="&amp;IF($B$5="",2958465,$B$5))))</f>
        <v/>
      </c>
      <c r="E182" s="28" t="str">
        <f aca="false">IF($C182="","",IF($B$4&amp;$B$5="",SUMIFS('المبيعات اليومية'!$E$9:$E$308,'المبيعات اليومية'!$C$9:$C$308,$C182),SUMIFS('المبيعات اليومية'!$E$9:$E$308,'المبيعات اليومية'!$C$9:$C$308,$C182,'المبيعات اليومية'!$A$9:$A$308,"&gt;="&amp;IF($B$4="",0,$B$4),'المبيعات اليومية'!$A$9:$A$308,"&lt;="&amp;IF($B$5="",2958465,$B$5))))</f>
        <v/>
      </c>
      <c r="F182" s="19" t="str">
        <f aca="false">IF($C182="","",IF($B$4&amp;$B$5="",SUMIFS('المبيعات اليومية'!$H$9:$H$308,'المبيعات اليومية'!$C$9:$C$308,$C182),SUMIFS('المبيعات اليومية'!$H$9:$H$308,'المبيعات اليومية'!$C$9:$C$308,$C182,'المبيعات اليومية'!$A$9:$A$308,"&gt;="&amp;IF($B$4="",0,$B$4),'المبيعات اليومية'!$A$9:$A$308,"&lt;="&amp;IF($B$5="",2958465,$B$5))))</f>
        <v/>
      </c>
      <c r="G182" s="19" t="str">
        <f aca="false">IF($C182="","",IF($B$4&amp;$B$5="",SUMIFS('المبيعات اليومية'!$I$9:$I$308,'المبيعات اليومية'!$C$9:$C$308,$C182),SUMIFS('المبيعات اليومية'!$I$9:$I$308,'المبيعات اليومية'!$C$9:$C$308,$C182,'المبيعات اليومية'!$A$9:$A$308,"&gt;="&amp;IF($B$4="",0,$B$4),'المبيعات اليومية'!$A$9:$A$308,"&lt;="&amp;IF($B$5="",2958465,$B$5))))</f>
        <v/>
      </c>
      <c r="H182" s="20" t="str">
        <f aca="false">IF($C182="","",IF($B$4&amp;$B$5="",SUMIFS('المبيعات اليومية'!$J$9:$J$308,'المبيعات اليومية'!$C$9:$C$308,$C182),SUMIFS('المبيعات اليومية'!$J$9:$J$308,'المبيعات اليومية'!$C$9:$C$308,$C182,'المبيعات اليومية'!$A$9:$A$308,"&gt;="&amp;IF($B$4="",0,$B$4),'المبيعات اليومية'!$A$9:$A$308,"&lt;="&amp;IF($B$5="",2958465,$B$5))))</f>
        <v/>
      </c>
      <c r="I182" s="29" t="str">
        <f aca="false">IF(OR($C182="",$H$208=0),"",H182/$H$208)</f>
        <v/>
      </c>
      <c r="J182" s="19" t="str">
        <f aca="false">IF(OR(C182="",N(E182)=0),"",F182/E182)</f>
        <v/>
      </c>
    </row>
    <row r="183" customFormat="false" ht="15" hidden="false" customHeight="false" outlineLevel="0" collapsed="false">
      <c r="A183" s="21" t="str">
        <f aca="false">IF(C183="","",176)</f>
        <v/>
      </c>
      <c r="B183" s="21" t="str">
        <f aca="false">IF('دليل الأصناف'!$B$179="","",'دليل الأصناف'!$A$179)</f>
        <v/>
      </c>
      <c r="C183" s="4" t="str">
        <f aca="false">IF('دليل الأصناف'!$B$179="","",'دليل الأصناف'!$B$179)</f>
        <v/>
      </c>
      <c r="D183" s="27" t="str">
        <f aca="false">IF($C183="","",IF($B$4&amp;$B$5="",COUNTIFS('المبيعات اليومية'!$C$9:$C$308,$C183),COUNTIFS('المبيعات اليومية'!$C$9:$C$308,$C183,'المبيعات اليومية'!$A$9:$A$308,"&gt;="&amp;IF($B$4="",0,$B$4),'المبيعات اليومية'!$A$9:$A$308,"&lt;="&amp;IF($B$5="",2958465,$B$5))))</f>
        <v/>
      </c>
      <c r="E183" s="28" t="str">
        <f aca="false">IF($C183="","",IF($B$4&amp;$B$5="",SUMIFS('المبيعات اليومية'!$E$9:$E$308,'المبيعات اليومية'!$C$9:$C$308,$C183),SUMIFS('المبيعات اليومية'!$E$9:$E$308,'المبيعات اليومية'!$C$9:$C$308,$C183,'المبيعات اليومية'!$A$9:$A$308,"&gt;="&amp;IF($B$4="",0,$B$4),'المبيعات اليومية'!$A$9:$A$308,"&lt;="&amp;IF($B$5="",2958465,$B$5))))</f>
        <v/>
      </c>
      <c r="F183" s="19" t="str">
        <f aca="false">IF($C183="","",IF($B$4&amp;$B$5="",SUMIFS('المبيعات اليومية'!$H$9:$H$308,'المبيعات اليومية'!$C$9:$C$308,$C183),SUMIFS('المبيعات اليومية'!$H$9:$H$308,'المبيعات اليومية'!$C$9:$C$308,$C183,'المبيعات اليومية'!$A$9:$A$308,"&gt;="&amp;IF($B$4="",0,$B$4),'المبيعات اليومية'!$A$9:$A$308,"&lt;="&amp;IF($B$5="",2958465,$B$5))))</f>
        <v/>
      </c>
      <c r="G183" s="19" t="str">
        <f aca="false">IF($C183="","",IF($B$4&amp;$B$5="",SUMIFS('المبيعات اليومية'!$I$9:$I$308,'المبيعات اليومية'!$C$9:$C$308,$C183),SUMIFS('المبيعات اليومية'!$I$9:$I$308,'المبيعات اليومية'!$C$9:$C$308,$C183,'المبيعات اليومية'!$A$9:$A$308,"&gt;="&amp;IF($B$4="",0,$B$4),'المبيعات اليومية'!$A$9:$A$308,"&lt;="&amp;IF($B$5="",2958465,$B$5))))</f>
        <v/>
      </c>
      <c r="H183" s="20" t="str">
        <f aca="false">IF($C183="","",IF($B$4&amp;$B$5="",SUMIFS('المبيعات اليومية'!$J$9:$J$308,'المبيعات اليومية'!$C$9:$C$308,$C183),SUMIFS('المبيعات اليومية'!$J$9:$J$308,'المبيعات اليومية'!$C$9:$C$308,$C183,'المبيعات اليومية'!$A$9:$A$308,"&gt;="&amp;IF($B$4="",0,$B$4),'المبيعات اليومية'!$A$9:$A$308,"&lt;="&amp;IF($B$5="",2958465,$B$5))))</f>
        <v/>
      </c>
      <c r="I183" s="29" t="str">
        <f aca="false">IF(OR($C183="",$H$208=0),"",H183/$H$208)</f>
        <v/>
      </c>
      <c r="J183" s="19" t="str">
        <f aca="false">IF(OR(C183="",N(E183)=0),"",F183/E183)</f>
        <v/>
      </c>
    </row>
    <row r="184" customFormat="false" ht="15" hidden="false" customHeight="false" outlineLevel="0" collapsed="false">
      <c r="A184" s="21" t="str">
        <f aca="false">IF(C184="","",177)</f>
        <v/>
      </c>
      <c r="B184" s="21" t="str">
        <f aca="false">IF('دليل الأصناف'!$B$180="","",'دليل الأصناف'!$A$180)</f>
        <v/>
      </c>
      <c r="C184" s="4" t="str">
        <f aca="false">IF('دليل الأصناف'!$B$180="","",'دليل الأصناف'!$B$180)</f>
        <v/>
      </c>
      <c r="D184" s="27" t="str">
        <f aca="false">IF($C184="","",IF($B$4&amp;$B$5="",COUNTIFS('المبيعات اليومية'!$C$9:$C$308,$C184),COUNTIFS('المبيعات اليومية'!$C$9:$C$308,$C184,'المبيعات اليومية'!$A$9:$A$308,"&gt;="&amp;IF($B$4="",0,$B$4),'المبيعات اليومية'!$A$9:$A$308,"&lt;="&amp;IF($B$5="",2958465,$B$5))))</f>
        <v/>
      </c>
      <c r="E184" s="28" t="str">
        <f aca="false">IF($C184="","",IF($B$4&amp;$B$5="",SUMIFS('المبيعات اليومية'!$E$9:$E$308,'المبيعات اليومية'!$C$9:$C$308,$C184),SUMIFS('المبيعات اليومية'!$E$9:$E$308,'المبيعات اليومية'!$C$9:$C$308,$C184,'المبيعات اليومية'!$A$9:$A$308,"&gt;="&amp;IF($B$4="",0,$B$4),'المبيعات اليومية'!$A$9:$A$308,"&lt;="&amp;IF($B$5="",2958465,$B$5))))</f>
        <v/>
      </c>
      <c r="F184" s="19" t="str">
        <f aca="false">IF($C184="","",IF($B$4&amp;$B$5="",SUMIFS('المبيعات اليومية'!$H$9:$H$308,'المبيعات اليومية'!$C$9:$C$308,$C184),SUMIFS('المبيعات اليومية'!$H$9:$H$308,'المبيعات اليومية'!$C$9:$C$308,$C184,'المبيعات اليومية'!$A$9:$A$308,"&gt;="&amp;IF($B$4="",0,$B$4),'المبيعات اليومية'!$A$9:$A$308,"&lt;="&amp;IF($B$5="",2958465,$B$5))))</f>
        <v/>
      </c>
      <c r="G184" s="19" t="str">
        <f aca="false">IF($C184="","",IF($B$4&amp;$B$5="",SUMIFS('المبيعات اليومية'!$I$9:$I$308,'المبيعات اليومية'!$C$9:$C$308,$C184),SUMIFS('المبيعات اليومية'!$I$9:$I$308,'المبيعات اليومية'!$C$9:$C$308,$C184,'المبيعات اليومية'!$A$9:$A$308,"&gt;="&amp;IF($B$4="",0,$B$4),'المبيعات اليومية'!$A$9:$A$308,"&lt;="&amp;IF($B$5="",2958465,$B$5))))</f>
        <v/>
      </c>
      <c r="H184" s="20" t="str">
        <f aca="false">IF($C184="","",IF($B$4&amp;$B$5="",SUMIFS('المبيعات اليومية'!$J$9:$J$308,'المبيعات اليومية'!$C$9:$C$308,$C184),SUMIFS('المبيعات اليومية'!$J$9:$J$308,'المبيعات اليومية'!$C$9:$C$308,$C184,'المبيعات اليومية'!$A$9:$A$308,"&gt;="&amp;IF($B$4="",0,$B$4),'المبيعات اليومية'!$A$9:$A$308,"&lt;="&amp;IF($B$5="",2958465,$B$5))))</f>
        <v/>
      </c>
      <c r="I184" s="29" t="str">
        <f aca="false">IF(OR($C184="",$H$208=0),"",H184/$H$208)</f>
        <v/>
      </c>
      <c r="J184" s="19" t="str">
        <f aca="false">IF(OR(C184="",N(E184)=0),"",F184/E184)</f>
        <v/>
      </c>
    </row>
    <row r="185" customFormat="false" ht="15" hidden="false" customHeight="false" outlineLevel="0" collapsed="false">
      <c r="A185" s="21" t="str">
        <f aca="false">IF(C185="","",178)</f>
        <v/>
      </c>
      <c r="B185" s="21" t="str">
        <f aca="false">IF('دليل الأصناف'!$B$181="","",'دليل الأصناف'!$A$181)</f>
        <v/>
      </c>
      <c r="C185" s="4" t="str">
        <f aca="false">IF('دليل الأصناف'!$B$181="","",'دليل الأصناف'!$B$181)</f>
        <v/>
      </c>
      <c r="D185" s="27" t="str">
        <f aca="false">IF($C185="","",IF($B$4&amp;$B$5="",COUNTIFS('المبيعات اليومية'!$C$9:$C$308,$C185),COUNTIFS('المبيعات اليومية'!$C$9:$C$308,$C185,'المبيعات اليومية'!$A$9:$A$308,"&gt;="&amp;IF($B$4="",0,$B$4),'المبيعات اليومية'!$A$9:$A$308,"&lt;="&amp;IF($B$5="",2958465,$B$5))))</f>
        <v/>
      </c>
      <c r="E185" s="28" t="str">
        <f aca="false">IF($C185="","",IF($B$4&amp;$B$5="",SUMIFS('المبيعات اليومية'!$E$9:$E$308,'المبيعات اليومية'!$C$9:$C$308,$C185),SUMIFS('المبيعات اليومية'!$E$9:$E$308,'المبيعات اليومية'!$C$9:$C$308,$C185,'المبيعات اليومية'!$A$9:$A$308,"&gt;="&amp;IF($B$4="",0,$B$4),'المبيعات اليومية'!$A$9:$A$308,"&lt;="&amp;IF($B$5="",2958465,$B$5))))</f>
        <v/>
      </c>
      <c r="F185" s="19" t="str">
        <f aca="false">IF($C185="","",IF($B$4&amp;$B$5="",SUMIFS('المبيعات اليومية'!$H$9:$H$308,'المبيعات اليومية'!$C$9:$C$308,$C185),SUMIFS('المبيعات اليومية'!$H$9:$H$308,'المبيعات اليومية'!$C$9:$C$308,$C185,'المبيعات اليومية'!$A$9:$A$308,"&gt;="&amp;IF($B$4="",0,$B$4),'المبيعات اليومية'!$A$9:$A$308,"&lt;="&amp;IF($B$5="",2958465,$B$5))))</f>
        <v/>
      </c>
      <c r="G185" s="19" t="str">
        <f aca="false">IF($C185="","",IF($B$4&amp;$B$5="",SUMIFS('المبيعات اليومية'!$I$9:$I$308,'المبيعات اليومية'!$C$9:$C$308,$C185),SUMIFS('المبيعات اليومية'!$I$9:$I$308,'المبيعات اليومية'!$C$9:$C$308,$C185,'المبيعات اليومية'!$A$9:$A$308,"&gt;="&amp;IF($B$4="",0,$B$4),'المبيعات اليومية'!$A$9:$A$308,"&lt;="&amp;IF($B$5="",2958465,$B$5))))</f>
        <v/>
      </c>
      <c r="H185" s="20" t="str">
        <f aca="false">IF($C185="","",IF($B$4&amp;$B$5="",SUMIFS('المبيعات اليومية'!$J$9:$J$308,'المبيعات اليومية'!$C$9:$C$308,$C185),SUMIFS('المبيعات اليومية'!$J$9:$J$308,'المبيعات اليومية'!$C$9:$C$308,$C185,'المبيعات اليومية'!$A$9:$A$308,"&gt;="&amp;IF($B$4="",0,$B$4),'المبيعات اليومية'!$A$9:$A$308,"&lt;="&amp;IF($B$5="",2958465,$B$5))))</f>
        <v/>
      </c>
      <c r="I185" s="29" t="str">
        <f aca="false">IF(OR($C185="",$H$208=0),"",H185/$H$208)</f>
        <v/>
      </c>
      <c r="J185" s="19" t="str">
        <f aca="false">IF(OR(C185="",N(E185)=0),"",F185/E185)</f>
        <v/>
      </c>
    </row>
    <row r="186" customFormat="false" ht="15" hidden="false" customHeight="false" outlineLevel="0" collapsed="false">
      <c r="A186" s="21" t="str">
        <f aca="false">IF(C186="","",179)</f>
        <v/>
      </c>
      <c r="B186" s="21" t="str">
        <f aca="false">IF('دليل الأصناف'!$B$182="","",'دليل الأصناف'!$A$182)</f>
        <v/>
      </c>
      <c r="C186" s="4" t="str">
        <f aca="false">IF('دليل الأصناف'!$B$182="","",'دليل الأصناف'!$B$182)</f>
        <v/>
      </c>
      <c r="D186" s="27" t="str">
        <f aca="false">IF($C186="","",IF($B$4&amp;$B$5="",COUNTIFS('المبيعات اليومية'!$C$9:$C$308,$C186),COUNTIFS('المبيعات اليومية'!$C$9:$C$308,$C186,'المبيعات اليومية'!$A$9:$A$308,"&gt;="&amp;IF($B$4="",0,$B$4),'المبيعات اليومية'!$A$9:$A$308,"&lt;="&amp;IF($B$5="",2958465,$B$5))))</f>
        <v/>
      </c>
      <c r="E186" s="28" t="str">
        <f aca="false">IF($C186="","",IF($B$4&amp;$B$5="",SUMIFS('المبيعات اليومية'!$E$9:$E$308,'المبيعات اليومية'!$C$9:$C$308,$C186),SUMIFS('المبيعات اليومية'!$E$9:$E$308,'المبيعات اليومية'!$C$9:$C$308,$C186,'المبيعات اليومية'!$A$9:$A$308,"&gt;="&amp;IF($B$4="",0,$B$4),'المبيعات اليومية'!$A$9:$A$308,"&lt;="&amp;IF($B$5="",2958465,$B$5))))</f>
        <v/>
      </c>
      <c r="F186" s="19" t="str">
        <f aca="false">IF($C186="","",IF($B$4&amp;$B$5="",SUMIFS('المبيعات اليومية'!$H$9:$H$308,'المبيعات اليومية'!$C$9:$C$308,$C186),SUMIFS('المبيعات اليومية'!$H$9:$H$308,'المبيعات اليومية'!$C$9:$C$308,$C186,'المبيعات اليومية'!$A$9:$A$308,"&gt;="&amp;IF($B$4="",0,$B$4),'المبيعات اليومية'!$A$9:$A$308,"&lt;="&amp;IF($B$5="",2958465,$B$5))))</f>
        <v/>
      </c>
      <c r="G186" s="19" t="str">
        <f aca="false">IF($C186="","",IF($B$4&amp;$B$5="",SUMIFS('المبيعات اليومية'!$I$9:$I$308,'المبيعات اليومية'!$C$9:$C$308,$C186),SUMIFS('المبيعات اليومية'!$I$9:$I$308,'المبيعات اليومية'!$C$9:$C$308,$C186,'المبيعات اليومية'!$A$9:$A$308,"&gt;="&amp;IF($B$4="",0,$B$4),'المبيعات اليومية'!$A$9:$A$308,"&lt;="&amp;IF($B$5="",2958465,$B$5))))</f>
        <v/>
      </c>
      <c r="H186" s="20" t="str">
        <f aca="false">IF($C186="","",IF($B$4&amp;$B$5="",SUMIFS('المبيعات اليومية'!$J$9:$J$308,'المبيعات اليومية'!$C$9:$C$308,$C186),SUMIFS('المبيعات اليومية'!$J$9:$J$308,'المبيعات اليومية'!$C$9:$C$308,$C186,'المبيعات اليومية'!$A$9:$A$308,"&gt;="&amp;IF($B$4="",0,$B$4),'المبيعات اليومية'!$A$9:$A$308,"&lt;="&amp;IF($B$5="",2958465,$B$5))))</f>
        <v/>
      </c>
      <c r="I186" s="29" t="str">
        <f aca="false">IF(OR($C186="",$H$208=0),"",H186/$H$208)</f>
        <v/>
      </c>
      <c r="J186" s="19" t="str">
        <f aca="false">IF(OR(C186="",N(E186)=0),"",F186/E186)</f>
        <v/>
      </c>
    </row>
    <row r="187" customFormat="false" ht="15" hidden="false" customHeight="false" outlineLevel="0" collapsed="false">
      <c r="A187" s="21" t="str">
        <f aca="false">IF(C187="","",180)</f>
        <v/>
      </c>
      <c r="B187" s="21" t="str">
        <f aca="false">IF('دليل الأصناف'!$B$183="","",'دليل الأصناف'!$A$183)</f>
        <v/>
      </c>
      <c r="C187" s="4" t="str">
        <f aca="false">IF('دليل الأصناف'!$B$183="","",'دليل الأصناف'!$B$183)</f>
        <v/>
      </c>
      <c r="D187" s="27" t="str">
        <f aca="false">IF($C187="","",IF($B$4&amp;$B$5="",COUNTIFS('المبيعات اليومية'!$C$9:$C$308,$C187),COUNTIFS('المبيعات اليومية'!$C$9:$C$308,$C187,'المبيعات اليومية'!$A$9:$A$308,"&gt;="&amp;IF($B$4="",0,$B$4),'المبيعات اليومية'!$A$9:$A$308,"&lt;="&amp;IF($B$5="",2958465,$B$5))))</f>
        <v/>
      </c>
      <c r="E187" s="28" t="str">
        <f aca="false">IF($C187="","",IF($B$4&amp;$B$5="",SUMIFS('المبيعات اليومية'!$E$9:$E$308,'المبيعات اليومية'!$C$9:$C$308,$C187),SUMIFS('المبيعات اليومية'!$E$9:$E$308,'المبيعات اليومية'!$C$9:$C$308,$C187,'المبيعات اليومية'!$A$9:$A$308,"&gt;="&amp;IF($B$4="",0,$B$4),'المبيعات اليومية'!$A$9:$A$308,"&lt;="&amp;IF($B$5="",2958465,$B$5))))</f>
        <v/>
      </c>
      <c r="F187" s="19" t="str">
        <f aca="false">IF($C187="","",IF($B$4&amp;$B$5="",SUMIFS('المبيعات اليومية'!$H$9:$H$308,'المبيعات اليومية'!$C$9:$C$308,$C187),SUMIFS('المبيعات اليومية'!$H$9:$H$308,'المبيعات اليومية'!$C$9:$C$308,$C187,'المبيعات اليومية'!$A$9:$A$308,"&gt;="&amp;IF($B$4="",0,$B$4),'المبيعات اليومية'!$A$9:$A$308,"&lt;="&amp;IF($B$5="",2958465,$B$5))))</f>
        <v/>
      </c>
      <c r="G187" s="19" t="str">
        <f aca="false">IF($C187="","",IF($B$4&amp;$B$5="",SUMIFS('المبيعات اليومية'!$I$9:$I$308,'المبيعات اليومية'!$C$9:$C$308,$C187),SUMIFS('المبيعات اليومية'!$I$9:$I$308,'المبيعات اليومية'!$C$9:$C$308,$C187,'المبيعات اليومية'!$A$9:$A$308,"&gt;="&amp;IF($B$4="",0,$B$4),'المبيعات اليومية'!$A$9:$A$308,"&lt;="&amp;IF($B$5="",2958465,$B$5))))</f>
        <v/>
      </c>
      <c r="H187" s="20" t="str">
        <f aca="false">IF($C187="","",IF($B$4&amp;$B$5="",SUMIFS('المبيعات اليومية'!$J$9:$J$308,'المبيعات اليومية'!$C$9:$C$308,$C187),SUMIFS('المبيعات اليومية'!$J$9:$J$308,'المبيعات اليومية'!$C$9:$C$308,$C187,'المبيعات اليومية'!$A$9:$A$308,"&gt;="&amp;IF($B$4="",0,$B$4),'المبيعات اليومية'!$A$9:$A$308,"&lt;="&amp;IF($B$5="",2958465,$B$5))))</f>
        <v/>
      </c>
      <c r="I187" s="29" t="str">
        <f aca="false">IF(OR($C187="",$H$208=0),"",H187/$H$208)</f>
        <v/>
      </c>
      <c r="J187" s="19" t="str">
        <f aca="false">IF(OR(C187="",N(E187)=0),"",F187/E187)</f>
        <v/>
      </c>
    </row>
    <row r="188" customFormat="false" ht="15" hidden="false" customHeight="false" outlineLevel="0" collapsed="false">
      <c r="A188" s="21" t="str">
        <f aca="false">IF(C188="","",181)</f>
        <v/>
      </c>
      <c r="B188" s="21" t="str">
        <f aca="false">IF('دليل الأصناف'!$B$184="","",'دليل الأصناف'!$A$184)</f>
        <v/>
      </c>
      <c r="C188" s="4" t="str">
        <f aca="false">IF('دليل الأصناف'!$B$184="","",'دليل الأصناف'!$B$184)</f>
        <v/>
      </c>
      <c r="D188" s="27" t="str">
        <f aca="false">IF($C188="","",IF($B$4&amp;$B$5="",COUNTIFS('المبيعات اليومية'!$C$9:$C$308,$C188),COUNTIFS('المبيعات اليومية'!$C$9:$C$308,$C188,'المبيعات اليومية'!$A$9:$A$308,"&gt;="&amp;IF($B$4="",0,$B$4),'المبيعات اليومية'!$A$9:$A$308,"&lt;="&amp;IF($B$5="",2958465,$B$5))))</f>
        <v/>
      </c>
      <c r="E188" s="28" t="str">
        <f aca="false">IF($C188="","",IF($B$4&amp;$B$5="",SUMIFS('المبيعات اليومية'!$E$9:$E$308,'المبيعات اليومية'!$C$9:$C$308,$C188),SUMIFS('المبيعات اليومية'!$E$9:$E$308,'المبيعات اليومية'!$C$9:$C$308,$C188,'المبيعات اليومية'!$A$9:$A$308,"&gt;="&amp;IF($B$4="",0,$B$4),'المبيعات اليومية'!$A$9:$A$308,"&lt;="&amp;IF($B$5="",2958465,$B$5))))</f>
        <v/>
      </c>
      <c r="F188" s="19" t="str">
        <f aca="false">IF($C188="","",IF($B$4&amp;$B$5="",SUMIFS('المبيعات اليومية'!$H$9:$H$308,'المبيعات اليومية'!$C$9:$C$308,$C188),SUMIFS('المبيعات اليومية'!$H$9:$H$308,'المبيعات اليومية'!$C$9:$C$308,$C188,'المبيعات اليومية'!$A$9:$A$308,"&gt;="&amp;IF($B$4="",0,$B$4),'المبيعات اليومية'!$A$9:$A$308,"&lt;="&amp;IF($B$5="",2958465,$B$5))))</f>
        <v/>
      </c>
      <c r="G188" s="19" t="str">
        <f aca="false">IF($C188="","",IF($B$4&amp;$B$5="",SUMIFS('المبيعات اليومية'!$I$9:$I$308,'المبيعات اليومية'!$C$9:$C$308,$C188),SUMIFS('المبيعات اليومية'!$I$9:$I$308,'المبيعات اليومية'!$C$9:$C$308,$C188,'المبيعات اليومية'!$A$9:$A$308,"&gt;="&amp;IF($B$4="",0,$B$4),'المبيعات اليومية'!$A$9:$A$308,"&lt;="&amp;IF($B$5="",2958465,$B$5))))</f>
        <v/>
      </c>
      <c r="H188" s="20" t="str">
        <f aca="false">IF($C188="","",IF($B$4&amp;$B$5="",SUMIFS('المبيعات اليومية'!$J$9:$J$308,'المبيعات اليومية'!$C$9:$C$308,$C188),SUMIFS('المبيعات اليومية'!$J$9:$J$308,'المبيعات اليومية'!$C$9:$C$308,$C188,'المبيعات اليومية'!$A$9:$A$308,"&gt;="&amp;IF($B$4="",0,$B$4),'المبيعات اليومية'!$A$9:$A$308,"&lt;="&amp;IF($B$5="",2958465,$B$5))))</f>
        <v/>
      </c>
      <c r="I188" s="29" t="str">
        <f aca="false">IF(OR($C188="",$H$208=0),"",H188/$H$208)</f>
        <v/>
      </c>
      <c r="J188" s="19" t="str">
        <f aca="false">IF(OR(C188="",N(E188)=0),"",F188/E188)</f>
        <v/>
      </c>
    </row>
    <row r="189" customFormat="false" ht="15" hidden="false" customHeight="false" outlineLevel="0" collapsed="false">
      <c r="A189" s="21" t="str">
        <f aca="false">IF(C189="","",182)</f>
        <v/>
      </c>
      <c r="B189" s="21" t="str">
        <f aca="false">IF('دليل الأصناف'!$B$185="","",'دليل الأصناف'!$A$185)</f>
        <v/>
      </c>
      <c r="C189" s="4" t="str">
        <f aca="false">IF('دليل الأصناف'!$B$185="","",'دليل الأصناف'!$B$185)</f>
        <v/>
      </c>
      <c r="D189" s="27" t="str">
        <f aca="false">IF($C189="","",IF($B$4&amp;$B$5="",COUNTIFS('المبيعات اليومية'!$C$9:$C$308,$C189),COUNTIFS('المبيعات اليومية'!$C$9:$C$308,$C189,'المبيعات اليومية'!$A$9:$A$308,"&gt;="&amp;IF($B$4="",0,$B$4),'المبيعات اليومية'!$A$9:$A$308,"&lt;="&amp;IF($B$5="",2958465,$B$5))))</f>
        <v/>
      </c>
      <c r="E189" s="28" t="str">
        <f aca="false">IF($C189="","",IF($B$4&amp;$B$5="",SUMIFS('المبيعات اليومية'!$E$9:$E$308,'المبيعات اليومية'!$C$9:$C$308,$C189),SUMIFS('المبيعات اليومية'!$E$9:$E$308,'المبيعات اليومية'!$C$9:$C$308,$C189,'المبيعات اليومية'!$A$9:$A$308,"&gt;="&amp;IF($B$4="",0,$B$4),'المبيعات اليومية'!$A$9:$A$308,"&lt;="&amp;IF($B$5="",2958465,$B$5))))</f>
        <v/>
      </c>
      <c r="F189" s="19" t="str">
        <f aca="false">IF($C189="","",IF($B$4&amp;$B$5="",SUMIFS('المبيعات اليومية'!$H$9:$H$308,'المبيعات اليومية'!$C$9:$C$308,$C189),SUMIFS('المبيعات اليومية'!$H$9:$H$308,'المبيعات اليومية'!$C$9:$C$308,$C189,'المبيعات اليومية'!$A$9:$A$308,"&gt;="&amp;IF($B$4="",0,$B$4),'المبيعات اليومية'!$A$9:$A$308,"&lt;="&amp;IF($B$5="",2958465,$B$5))))</f>
        <v/>
      </c>
      <c r="G189" s="19" t="str">
        <f aca="false">IF($C189="","",IF($B$4&amp;$B$5="",SUMIFS('المبيعات اليومية'!$I$9:$I$308,'المبيعات اليومية'!$C$9:$C$308,$C189),SUMIFS('المبيعات اليومية'!$I$9:$I$308,'المبيعات اليومية'!$C$9:$C$308,$C189,'المبيعات اليومية'!$A$9:$A$308,"&gt;="&amp;IF($B$4="",0,$B$4),'المبيعات اليومية'!$A$9:$A$308,"&lt;="&amp;IF($B$5="",2958465,$B$5))))</f>
        <v/>
      </c>
      <c r="H189" s="20" t="str">
        <f aca="false">IF($C189="","",IF($B$4&amp;$B$5="",SUMIFS('المبيعات اليومية'!$J$9:$J$308,'المبيعات اليومية'!$C$9:$C$308,$C189),SUMIFS('المبيعات اليومية'!$J$9:$J$308,'المبيعات اليومية'!$C$9:$C$308,$C189,'المبيعات اليومية'!$A$9:$A$308,"&gt;="&amp;IF($B$4="",0,$B$4),'المبيعات اليومية'!$A$9:$A$308,"&lt;="&amp;IF($B$5="",2958465,$B$5))))</f>
        <v/>
      </c>
      <c r="I189" s="29" t="str">
        <f aca="false">IF(OR($C189="",$H$208=0),"",H189/$H$208)</f>
        <v/>
      </c>
      <c r="J189" s="19" t="str">
        <f aca="false">IF(OR(C189="",N(E189)=0),"",F189/E189)</f>
        <v/>
      </c>
    </row>
    <row r="190" customFormat="false" ht="15" hidden="false" customHeight="false" outlineLevel="0" collapsed="false">
      <c r="A190" s="21" t="str">
        <f aca="false">IF(C190="","",183)</f>
        <v/>
      </c>
      <c r="B190" s="21" t="str">
        <f aca="false">IF('دليل الأصناف'!$B$186="","",'دليل الأصناف'!$A$186)</f>
        <v/>
      </c>
      <c r="C190" s="4" t="str">
        <f aca="false">IF('دليل الأصناف'!$B$186="","",'دليل الأصناف'!$B$186)</f>
        <v/>
      </c>
      <c r="D190" s="27" t="str">
        <f aca="false">IF($C190="","",IF($B$4&amp;$B$5="",COUNTIFS('المبيعات اليومية'!$C$9:$C$308,$C190),COUNTIFS('المبيعات اليومية'!$C$9:$C$308,$C190,'المبيعات اليومية'!$A$9:$A$308,"&gt;="&amp;IF($B$4="",0,$B$4),'المبيعات اليومية'!$A$9:$A$308,"&lt;="&amp;IF($B$5="",2958465,$B$5))))</f>
        <v/>
      </c>
      <c r="E190" s="28" t="str">
        <f aca="false">IF($C190="","",IF($B$4&amp;$B$5="",SUMIFS('المبيعات اليومية'!$E$9:$E$308,'المبيعات اليومية'!$C$9:$C$308,$C190),SUMIFS('المبيعات اليومية'!$E$9:$E$308,'المبيعات اليومية'!$C$9:$C$308,$C190,'المبيعات اليومية'!$A$9:$A$308,"&gt;="&amp;IF($B$4="",0,$B$4),'المبيعات اليومية'!$A$9:$A$308,"&lt;="&amp;IF($B$5="",2958465,$B$5))))</f>
        <v/>
      </c>
      <c r="F190" s="19" t="str">
        <f aca="false">IF($C190="","",IF($B$4&amp;$B$5="",SUMIFS('المبيعات اليومية'!$H$9:$H$308,'المبيعات اليومية'!$C$9:$C$308,$C190),SUMIFS('المبيعات اليومية'!$H$9:$H$308,'المبيعات اليومية'!$C$9:$C$308,$C190,'المبيعات اليومية'!$A$9:$A$308,"&gt;="&amp;IF($B$4="",0,$B$4),'المبيعات اليومية'!$A$9:$A$308,"&lt;="&amp;IF($B$5="",2958465,$B$5))))</f>
        <v/>
      </c>
      <c r="G190" s="19" t="str">
        <f aca="false">IF($C190="","",IF($B$4&amp;$B$5="",SUMIFS('المبيعات اليومية'!$I$9:$I$308,'المبيعات اليومية'!$C$9:$C$308,$C190),SUMIFS('المبيعات اليومية'!$I$9:$I$308,'المبيعات اليومية'!$C$9:$C$308,$C190,'المبيعات اليومية'!$A$9:$A$308,"&gt;="&amp;IF($B$4="",0,$B$4),'المبيعات اليومية'!$A$9:$A$308,"&lt;="&amp;IF($B$5="",2958465,$B$5))))</f>
        <v/>
      </c>
      <c r="H190" s="20" t="str">
        <f aca="false">IF($C190="","",IF($B$4&amp;$B$5="",SUMIFS('المبيعات اليومية'!$J$9:$J$308,'المبيعات اليومية'!$C$9:$C$308,$C190),SUMIFS('المبيعات اليومية'!$J$9:$J$308,'المبيعات اليومية'!$C$9:$C$308,$C190,'المبيعات اليومية'!$A$9:$A$308,"&gt;="&amp;IF($B$4="",0,$B$4),'المبيعات اليومية'!$A$9:$A$308,"&lt;="&amp;IF($B$5="",2958465,$B$5))))</f>
        <v/>
      </c>
      <c r="I190" s="29" t="str">
        <f aca="false">IF(OR($C190="",$H$208=0),"",H190/$H$208)</f>
        <v/>
      </c>
      <c r="J190" s="19" t="str">
        <f aca="false">IF(OR(C190="",N(E190)=0),"",F190/E190)</f>
        <v/>
      </c>
    </row>
    <row r="191" customFormat="false" ht="15" hidden="false" customHeight="false" outlineLevel="0" collapsed="false">
      <c r="A191" s="21" t="str">
        <f aca="false">IF(C191="","",184)</f>
        <v/>
      </c>
      <c r="B191" s="21" t="str">
        <f aca="false">IF('دليل الأصناف'!$B$187="","",'دليل الأصناف'!$A$187)</f>
        <v/>
      </c>
      <c r="C191" s="4" t="str">
        <f aca="false">IF('دليل الأصناف'!$B$187="","",'دليل الأصناف'!$B$187)</f>
        <v/>
      </c>
      <c r="D191" s="27" t="str">
        <f aca="false">IF($C191="","",IF($B$4&amp;$B$5="",COUNTIFS('المبيعات اليومية'!$C$9:$C$308,$C191),COUNTIFS('المبيعات اليومية'!$C$9:$C$308,$C191,'المبيعات اليومية'!$A$9:$A$308,"&gt;="&amp;IF($B$4="",0,$B$4),'المبيعات اليومية'!$A$9:$A$308,"&lt;="&amp;IF($B$5="",2958465,$B$5))))</f>
        <v/>
      </c>
      <c r="E191" s="28" t="str">
        <f aca="false">IF($C191="","",IF($B$4&amp;$B$5="",SUMIFS('المبيعات اليومية'!$E$9:$E$308,'المبيعات اليومية'!$C$9:$C$308,$C191),SUMIFS('المبيعات اليومية'!$E$9:$E$308,'المبيعات اليومية'!$C$9:$C$308,$C191,'المبيعات اليومية'!$A$9:$A$308,"&gt;="&amp;IF($B$4="",0,$B$4),'المبيعات اليومية'!$A$9:$A$308,"&lt;="&amp;IF($B$5="",2958465,$B$5))))</f>
        <v/>
      </c>
      <c r="F191" s="19" t="str">
        <f aca="false">IF($C191="","",IF($B$4&amp;$B$5="",SUMIFS('المبيعات اليومية'!$H$9:$H$308,'المبيعات اليومية'!$C$9:$C$308,$C191),SUMIFS('المبيعات اليومية'!$H$9:$H$308,'المبيعات اليومية'!$C$9:$C$308,$C191,'المبيعات اليومية'!$A$9:$A$308,"&gt;="&amp;IF($B$4="",0,$B$4),'المبيعات اليومية'!$A$9:$A$308,"&lt;="&amp;IF($B$5="",2958465,$B$5))))</f>
        <v/>
      </c>
      <c r="G191" s="19" t="str">
        <f aca="false">IF($C191="","",IF($B$4&amp;$B$5="",SUMIFS('المبيعات اليومية'!$I$9:$I$308,'المبيعات اليومية'!$C$9:$C$308,$C191),SUMIFS('المبيعات اليومية'!$I$9:$I$308,'المبيعات اليومية'!$C$9:$C$308,$C191,'المبيعات اليومية'!$A$9:$A$308,"&gt;="&amp;IF($B$4="",0,$B$4),'المبيعات اليومية'!$A$9:$A$308,"&lt;="&amp;IF($B$5="",2958465,$B$5))))</f>
        <v/>
      </c>
      <c r="H191" s="20" t="str">
        <f aca="false">IF($C191="","",IF($B$4&amp;$B$5="",SUMIFS('المبيعات اليومية'!$J$9:$J$308,'المبيعات اليومية'!$C$9:$C$308,$C191),SUMIFS('المبيعات اليومية'!$J$9:$J$308,'المبيعات اليومية'!$C$9:$C$308,$C191,'المبيعات اليومية'!$A$9:$A$308,"&gt;="&amp;IF($B$4="",0,$B$4),'المبيعات اليومية'!$A$9:$A$308,"&lt;="&amp;IF($B$5="",2958465,$B$5))))</f>
        <v/>
      </c>
      <c r="I191" s="29" t="str">
        <f aca="false">IF(OR($C191="",$H$208=0),"",H191/$H$208)</f>
        <v/>
      </c>
      <c r="J191" s="19" t="str">
        <f aca="false">IF(OR(C191="",N(E191)=0),"",F191/E191)</f>
        <v/>
      </c>
    </row>
    <row r="192" customFormat="false" ht="15" hidden="false" customHeight="false" outlineLevel="0" collapsed="false">
      <c r="A192" s="21" t="str">
        <f aca="false">IF(C192="","",185)</f>
        <v/>
      </c>
      <c r="B192" s="21" t="str">
        <f aca="false">IF('دليل الأصناف'!$B$188="","",'دليل الأصناف'!$A$188)</f>
        <v/>
      </c>
      <c r="C192" s="4" t="str">
        <f aca="false">IF('دليل الأصناف'!$B$188="","",'دليل الأصناف'!$B$188)</f>
        <v/>
      </c>
      <c r="D192" s="27" t="str">
        <f aca="false">IF($C192="","",IF($B$4&amp;$B$5="",COUNTIFS('المبيعات اليومية'!$C$9:$C$308,$C192),COUNTIFS('المبيعات اليومية'!$C$9:$C$308,$C192,'المبيعات اليومية'!$A$9:$A$308,"&gt;="&amp;IF($B$4="",0,$B$4),'المبيعات اليومية'!$A$9:$A$308,"&lt;="&amp;IF($B$5="",2958465,$B$5))))</f>
        <v/>
      </c>
      <c r="E192" s="28" t="str">
        <f aca="false">IF($C192="","",IF($B$4&amp;$B$5="",SUMIFS('المبيعات اليومية'!$E$9:$E$308,'المبيعات اليومية'!$C$9:$C$308,$C192),SUMIFS('المبيعات اليومية'!$E$9:$E$308,'المبيعات اليومية'!$C$9:$C$308,$C192,'المبيعات اليومية'!$A$9:$A$308,"&gt;="&amp;IF($B$4="",0,$B$4),'المبيعات اليومية'!$A$9:$A$308,"&lt;="&amp;IF($B$5="",2958465,$B$5))))</f>
        <v/>
      </c>
      <c r="F192" s="19" t="str">
        <f aca="false">IF($C192="","",IF($B$4&amp;$B$5="",SUMIFS('المبيعات اليومية'!$H$9:$H$308,'المبيعات اليومية'!$C$9:$C$308,$C192),SUMIFS('المبيعات اليومية'!$H$9:$H$308,'المبيعات اليومية'!$C$9:$C$308,$C192,'المبيعات اليومية'!$A$9:$A$308,"&gt;="&amp;IF($B$4="",0,$B$4),'المبيعات اليومية'!$A$9:$A$308,"&lt;="&amp;IF($B$5="",2958465,$B$5))))</f>
        <v/>
      </c>
      <c r="G192" s="19" t="str">
        <f aca="false">IF($C192="","",IF($B$4&amp;$B$5="",SUMIFS('المبيعات اليومية'!$I$9:$I$308,'المبيعات اليومية'!$C$9:$C$308,$C192),SUMIFS('المبيعات اليومية'!$I$9:$I$308,'المبيعات اليومية'!$C$9:$C$308,$C192,'المبيعات اليومية'!$A$9:$A$308,"&gt;="&amp;IF($B$4="",0,$B$4),'المبيعات اليومية'!$A$9:$A$308,"&lt;="&amp;IF($B$5="",2958465,$B$5))))</f>
        <v/>
      </c>
      <c r="H192" s="20" t="str">
        <f aca="false">IF($C192="","",IF($B$4&amp;$B$5="",SUMIFS('المبيعات اليومية'!$J$9:$J$308,'المبيعات اليومية'!$C$9:$C$308,$C192),SUMIFS('المبيعات اليومية'!$J$9:$J$308,'المبيعات اليومية'!$C$9:$C$308,$C192,'المبيعات اليومية'!$A$9:$A$308,"&gt;="&amp;IF($B$4="",0,$B$4),'المبيعات اليومية'!$A$9:$A$308,"&lt;="&amp;IF($B$5="",2958465,$B$5))))</f>
        <v/>
      </c>
      <c r="I192" s="29" t="str">
        <f aca="false">IF(OR($C192="",$H$208=0),"",H192/$H$208)</f>
        <v/>
      </c>
      <c r="J192" s="19" t="str">
        <f aca="false">IF(OR(C192="",N(E192)=0),"",F192/E192)</f>
        <v/>
      </c>
    </row>
    <row r="193" customFormat="false" ht="15" hidden="false" customHeight="false" outlineLevel="0" collapsed="false">
      <c r="A193" s="21" t="str">
        <f aca="false">IF(C193="","",186)</f>
        <v/>
      </c>
      <c r="B193" s="21" t="str">
        <f aca="false">IF('دليل الأصناف'!$B$189="","",'دليل الأصناف'!$A$189)</f>
        <v/>
      </c>
      <c r="C193" s="4" t="str">
        <f aca="false">IF('دليل الأصناف'!$B$189="","",'دليل الأصناف'!$B$189)</f>
        <v/>
      </c>
      <c r="D193" s="27" t="str">
        <f aca="false">IF($C193="","",IF($B$4&amp;$B$5="",COUNTIFS('المبيعات اليومية'!$C$9:$C$308,$C193),COUNTIFS('المبيعات اليومية'!$C$9:$C$308,$C193,'المبيعات اليومية'!$A$9:$A$308,"&gt;="&amp;IF($B$4="",0,$B$4),'المبيعات اليومية'!$A$9:$A$308,"&lt;="&amp;IF($B$5="",2958465,$B$5))))</f>
        <v/>
      </c>
      <c r="E193" s="28" t="str">
        <f aca="false">IF($C193="","",IF($B$4&amp;$B$5="",SUMIFS('المبيعات اليومية'!$E$9:$E$308,'المبيعات اليومية'!$C$9:$C$308,$C193),SUMIFS('المبيعات اليومية'!$E$9:$E$308,'المبيعات اليومية'!$C$9:$C$308,$C193,'المبيعات اليومية'!$A$9:$A$308,"&gt;="&amp;IF($B$4="",0,$B$4),'المبيعات اليومية'!$A$9:$A$308,"&lt;="&amp;IF($B$5="",2958465,$B$5))))</f>
        <v/>
      </c>
      <c r="F193" s="19" t="str">
        <f aca="false">IF($C193="","",IF($B$4&amp;$B$5="",SUMIFS('المبيعات اليومية'!$H$9:$H$308,'المبيعات اليومية'!$C$9:$C$308,$C193),SUMIFS('المبيعات اليومية'!$H$9:$H$308,'المبيعات اليومية'!$C$9:$C$308,$C193,'المبيعات اليومية'!$A$9:$A$308,"&gt;="&amp;IF($B$4="",0,$B$4),'المبيعات اليومية'!$A$9:$A$308,"&lt;="&amp;IF($B$5="",2958465,$B$5))))</f>
        <v/>
      </c>
      <c r="G193" s="19" t="str">
        <f aca="false">IF($C193="","",IF($B$4&amp;$B$5="",SUMIFS('المبيعات اليومية'!$I$9:$I$308,'المبيعات اليومية'!$C$9:$C$308,$C193),SUMIFS('المبيعات اليومية'!$I$9:$I$308,'المبيعات اليومية'!$C$9:$C$308,$C193,'المبيعات اليومية'!$A$9:$A$308,"&gt;="&amp;IF($B$4="",0,$B$4),'المبيعات اليومية'!$A$9:$A$308,"&lt;="&amp;IF($B$5="",2958465,$B$5))))</f>
        <v/>
      </c>
      <c r="H193" s="20" t="str">
        <f aca="false">IF($C193="","",IF($B$4&amp;$B$5="",SUMIFS('المبيعات اليومية'!$J$9:$J$308,'المبيعات اليومية'!$C$9:$C$308,$C193),SUMIFS('المبيعات اليومية'!$J$9:$J$308,'المبيعات اليومية'!$C$9:$C$308,$C193,'المبيعات اليومية'!$A$9:$A$308,"&gt;="&amp;IF($B$4="",0,$B$4),'المبيعات اليومية'!$A$9:$A$308,"&lt;="&amp;IF($B$5="",2958465,$B$5))))</f>
        <v/>
      </c>
      <c r="I193" s="29" t="str">
        <f aca="false">IF(OR($C193="",$H$208=0),"",H193/$H$208)</f>
        <v/>
      </c>
      <c r="J193" s="19" t="str">
        <f aca="false">IF(OR(C193="",N(E193)=0),"",F193/E193)</f>
        <v/>
      </c>
    </row>
    <row r="194" customFormat="false" ht="15" hidden="false" customHeight="false" outlineLevel="0" collapsed="false">
      <c r="A194" s="21" t="str">
        <f aca="false">IF(C194="","",187)</f>
        <v/>
      </c>
      <c r="B194" s="21" t="str">
        <f aca="false">IF('دليل الأصناف'!$B$190="","",'دليل الأصناف'!$A$190)</f>
        <v/>
      </c>
      <c r="C194" s="4" t="str">
        <f aca="false">IF('دليل الأصناف'!$B$190="","",'دليل الأصناف'!$B$190)</f>
        <v/>
      </c>
      <c r="D194" s="27" t="str">
        <f aca="false">IF($C194="","",IF($B$4&amp;$B$5="",COUNTIFS('المبيعات اليومية'!$C$9:$C$308,$C194),COUNTIFS('المبيعات اليومية'!$C$9:$C$308,$C194,'المبيعات اليومية'!$A$9:$A$308,"&gt;="&amp;IF($B$4="",0,$B$4),'المبيعات اليومية'!$A$9:$A$308,"&lt;="&amp;IF($B$5="",2958465,$B$5))))</f>
        <v/>
      </c>
      <c r="E194" s="28" t="str">
        <f aca="false">IF($C194="","",IF($B$4&amp;$B$5="",SUMIFS('المبيعات اليومية'!$E$9:$E$308,'المبيعات اليومية'!$C$9:$C$308,$C194),SUMIFS('المبيعات اليومية'!$E$9:$E$308,'المبيعات اليومية'!$C$9:$C$308,$C194,'المبيعات اليومية'!$A$9:$A$308,"&gt;="&amp;IF($B$4="",0,$B$4),'المبيعات اليومية'!$A$9:$A$308,"&lt;="&amp;IF($B$5="",2958465,$B$5))))</f>
        <v/>
      </c>
      <c r="F194" s="19" t="str">
        <f aca="false">IF($C194="","",IF($B$4&amp;$B$5="",SUMIFS('المبيعات اليومية'!$H$9:$H$308,'المبيعات اليومية'!$C$9:$C$308,$C194),SUMIFS('المبيعات اليومية'!$H$9:$H$308,'المبيعات اليومية'!$C$9:$C$308,$C194,'المبيعات اليومية'!$A$9:$A$308,"&gt;="&amp;IF($B$4="",0,$B$4),'المبيعات اليومية'!$A$9:$A$308,"&lt;="&amp;IF($B$5="",2958465,$B$5))))</f>
        <v/>
      </c>
      <c r="G194" s="19" t="str">
        <f aca="false">IF($C194="","",IF($B$4&amp;$B$5="",SUMIFS('المبيعات اليومية'!$I$9:$I$308,'المبيعات اليومية'!$C$9:$C$308,$C194),SUMIFS('المبيعات اليومية'!$I$9:$I$308,'المبيعات اليومية'!$C$9:$C$308,$C194,'المبيعات اليومية'!$A$9:$A$308,"&gt;="&amp;IF($B$4="",0,$B$4),'المبيعات اليومية'!$A$9:$A$308,"&lt;="&amp;IF($B$5="",2958465,$B$5))))</f>
        <v/>
      </c>
      <c r="H194" s="20" t="str">
        <f aca="false">IF($C194="","",IF($B$4&amp;$B$5="",SUMIFS('المبيعات اليومية'!$J$9:$J$308,'المبيعات اليومية'!$C$9:$C$308,$C194),SUMIFS('المبيعات اليومية'!$J$9:$J$308,'المبيعات اليومية'!$C$9:$C$308,$C194,'المبيعات اليومية'!$A$9:$A$308,"&gt;="&amp;IF($B$4="",0,$B$4),'المبيعات اليومية'!$A$9:$A$308,"&lt;="&amp;IF($B$5="",2958465,$B$5))))</f>
        <v/>
      </c>
      <c r="I194" s="29" t="str">
        <f aca="false">IF(OR($C194="",$H$208=0),"",H194/$H$208)</f>
        <v/>
      </c>
      <c r="J194" s="19" t="str">
        <f aca="false">IF(OR(C194="",N(E194)=0),"",F194/E194)</f>
        <v/>
      </c>
    </row>
    <row r="195" customFormat="false" ht="15" hidden="false" customHeight="false" outlineLevel="0" collapsed="false">
      <c r="A195" s="21" t="str">
        <f aca="false">IF(C195="","",188)</f>
        <v/>
      </c>
      <c r="B195" s="21" t="str">
        <f aca="false">IF('دليل الأصناف'!$B$191="","",'دليل الأصناف'!$A$191)</f>
        <v/>
      </c>
      <c r="C195" s="4" t="str">
        <f aca="false">IF('دليل الأصناف'!$B$191="","",'دليل الأصناف'!$B$191)</f>
        <v/>
      </c>
      <c r="D195" s="27" t="str">
        <f aca="false">IF($C195="","",IF($B$4&amp;$B$5="",COUNTIFS('المبيعات اليومية'!$C$9:$C$308,$C195),COUNTIFS('المبيعات اليومية'!$C$9:$C$308,$C195,'المبيعات اليومية'!$A$9:$A$308,"&gt;="&amp;IF($B$4="",0,$B$4),'المبيعات اليومية'!$A$9:$A$308,"&lt;="&amp;IF($B$5="",2958465,$B$5))))</f>
        <v/>
      </c>
      <c r="E195" s="28" t="str">
        <f aca="false">IF($C195="","",IF($B$4&amp;$B$5="",SUMIFS('المبيعات اليومية'!$E$9:$E$308,'المبيعات اليومية'!$C$9:$C$308,$C195),SUMIFS('المبيعات اليومية'!$E$9:$E$308,'المبيعات اليومية'!$C$9:$C$308,$C195,'المبيعات اليومية'!$A$9:$A$308,"&gt;="&amp;IF($B$4="",0,$B$4),'المبيعات اليومية'!$A$9:$A$308,"&lt;="&amp;IF($B$5="",2958465,$B$5))))</f>
        <v/>
      </c>
      <c r="F195" s="19" t="str">
        <f aca="false">IF($C195="","",IF($B$4&amp;$B$5="",SUMIFS('المبيعات اليومية'!$H$9:$H$308,'المبيعات اليومية'!$C$9:$C$308,$C195),SUMIFS('المبيعات اليومية'!$H$9:$H$308,'المبيعات اليومية'!$C$9:$C$308,$C195,'المبيعات اليومية'!$A$9:$A$308,"&gt;="&amp;IF($B$4="",0,$B$4),'المبيعات اليومية'!$A$9:$A$308,"&lt;="&amp;IF($B$5="",2958465,$B$5))))</f>
        <v/>
      </c>
      <c r="G195" s="19" t="str">
        <f aca="false">IF($C195="","",IF($B$4&amp;$B$5="",SUMIFS('المبيعات اليومية'!$I$9:$I$308,'المبيعات اليومية'!$C$9:$C$308,$C195),SUMIFS('المبيعات اليومية'!$I$9:$I$308,'المبيعات اليومية'!$C$9:$C$308,$C195,'المبيعات اليومية'!$A$9:$A$308,"&gt;="&amp;IF($B$4="",0,$B$4),'المبيعات اليومية'!$A$9:$A$308,"&lt;="&amp;IF($B$5="",2958465,$B$5))))</f>
        <v/>
      </c>
      <c r="H195" s="20" t="str">
        <f aca="false">IF($C195="","",IF($B$4&amp;$B$5="",SUMIFS('المبيعات اليومية'!$J$9:$J$308,'المبيعات اليومية'!$C$9:$C$308,$C195),SUMIFS('المبيعات اليومية'!$J$9:$J$308,'المبيعات اليومية'!$C$9:$C$308,$C195,'المبيعات اليومية'!$A$9:$A$308,"&gt;="&amp;IF($B$4="",0,$B$4),'المبيعات اليومية'!$A$9:$A$308,"&lt;="&amp;IF($B$5="",2958465,$B$5))))</f>
        <v/>
      </c>
      <c r="I195" s="29" t="str">
        <f aca="false">IF(OR($C195="",$H$208=0),"",H195/$H$208)</f>
        <v/>
      </c>
      <c r="J195" s="19" t="str">
        <f aca="false">IF(OR(C195="",N(E195)=0),"",F195/E195)</f>
        <v/>
      </c>
    </row>
    <row r="196" customFormat="false" ht="15" hidden="false" customHeight="false" outlineLevel="0" collapsed="false">
      <c r="A196" s="21" t="str">
        <f aca="false">IF(C196="","",189)</f>
        <v/>
      </c>
      <c r="B196" s="21" t="str">
        <f aca="false">IF('دليل الأصناف'!$B$192="","",'دليل الأصناف'!$A$192)</f>
        <v/>
      </c>
      <c r="C196" s="4" t="str">
        <f aca="false">IF('دليل الأصناف'!$B$192="","",'دليل الأصناف'!$B$192)</f>
        <v/>
      </c>
      <c r="D196" s="27" t="str">
        <f aca="false">IF($C196="","",IF($B$4&amp;$B$5="",COUNTIFS('المبيعات اليومية'!$C$9:$C$308,$C196),COUNTIFS('المبيعات اليومية'!$C$9:$C$308,$C196,'المبيعات اليومية'!$A$9:$A$308,"&gt;="&amp;IF($B$4="",0,$B$4),'المبيعات اليومية'!$A$9:$A$308,"&lt;="&amp;IF($B$5="",2958465,$B$5))))</f>
        <v/>
      </c>
      <c r="E196" s="28" t="str">
        <f aca="false">IF($C196="","",IF($B$4&amp;$B$5="",SUMIFS('المبيعات اليومية'!$E$9:$E$308,'المبيعات اليومية'!$C$9:$C$308,$C196),SUMIFS('المبيعات اليومية'!$E$9:$E$308,'المبيعات اليومية'!$C$9:$C$308,$C196,'المبيعات اليومية'!$A$9:$A$308,"&gt;="&amp;IF($B$4="",0,$B$4),'المبيعات اليومية'!$A$9:$A$308,"&lt;="&amp;IF($B$5="",2958465,$B$5))))</f>
        <v/>
      </c>
      <c r="F196" s="19" t="str">
        <f aca="false">IF($C196="","",IF($B$4&amp;$B$5="",SUMIFS('المبيعات اليومية'!$H$9:$H$308,'المبيعات اليومية'!$C$9:$C$308,$C196),SUMIFS('المبيعات اليومية'!$H$9:$H$308,'المبيعات اليومية'!$C$9:$C$308,$C196,'المبيعات اليومية'!$A$9:$A$308,"&gt;="&amp;IF($B$4="",0,$B$4),'المبيعات اليومية'!$A$9:$A$308,"&lt;="&amp;IF($B$5="",2958465,$B$5))))</f>
        <v/>
      </c>
      <c r="G196" s="19" t="str">
        <f aca="false">IF($C196="","",IF($B$4&amp;$B$5="",SUMIFS('المبيعات اليومية'!$I$9:$I$308,'المبيعات اليومية'!$C$9:$C$308,$C196),SUMIFS('المبيعات اليومية'!$I$9:$I$308,'المبيعات اليومية'!$C$9:$C$308,$C196,'المبيعات اليومية'!$A$9:$A$308,"&gt;="&amp;IF($B$4="",0,$B$4),'المبيعات اليومية'!$A$9:$A$308,"&lt;="&amp;IF($B$5="",2958465,$B$5))))</f>
        <v/>
      </c>
      <c r="H196" s="20" t="str">
        <f aca="false">IF($C196="","",IF($B$4&amp;$B$5="",SUMIFS('المبيعات اليومية'!$J$9:$J$308,'المبيعات اليومية'!$C$9:$C$308,$C196),SUMIFS('المبيعات اليومية'!$J$9:$J$308,'المبيعات اليومية'!$C$9:$C$308,$C196,'المبيعات اليومية'!$A$9:$A$308,"&gt;="&amp;IF($B$4="",0,$B$4),'المبيعات اليومية'!$A$9:$A$308,"&lt;="&amp;IF($B$5="",2958465,$B$5))))</f>
        <v/>
      </c>
      <c r="I196" s="29" t="str">
        <f aca="false">IF(OR($C196="",$H$208=0),"",H196/$H$208)</f>
        <v/>
      </c>
      <c r="J196" s="19" t="str">
        <f aca="false">IF(OR(C196="",N(E196)=0),"",F196/E196)</f>
        <v/>
      </c>
    </row>
    <row r="197" customFormat="false" ht="15" hidden="false" customHeight="false" outlineLevel="0" collapsed="false">
      <c r="A197" s="21" t="str">
        <f aca="false">IF(C197="","",190)</f>
        <v/>
      </c>
      <c r="B197" s="21" t="str">
        <f aca="false">IF('دليل الأصناف'!$B$193="","",'دليل الأصناف'!$A$193)</f>
        <v/>
      </c>
      <c r="C197" s="4" t="str">
        <f aca="false">IF('دليل الأصناف'!$B$193="","",'دليل الأصناف'!$B$193)</f>
        <v/>
      </c>
      <c r="D197" s="27" t="str">
        <f aca="false">IF($C197="","",IF($B$4&amp;$B$5="",COUNTIFS('المبيعات اليومية'!$C$9:$C$308,$C197),COUNTIFS('المبيعات اليومية'!$C$9:$C$308,$C197,'المبيعات اليومية'!$A$9:$A$308,"&gt;="&amp;IF($B$4="",0,$B$4),'المبيعات اليومية'!$A$9:$A$308,"&lt;="&amp;IF($B$5="",2958465,$B$5))))</f>
        <v/>
      </c>
      <c r="E197" s="28" t="str">
        <f aca="false">IF($C197="","",IF($B$4&amp;$B$5="",SUMIFS('المبيعات اليومية'!$E$9:$E$308,'المبيعات اليومية'!$C$9:$C$308,$C197),SUMIFS('المبيعات اليومية'!$E$9:$E$308,'المبيعات اليومية'!$C$9:$C$308,$C197,'المبيعات اليومية'!$A$9:$A$308,"&gt;="&amp;IF($B$4="",0,$B$4),'المبيعات اليومية'!$A$9:$A$308,"&lt;="&amp;IF($B$5="",2958465,$B$5))))</f>
        <v/>
      </c>
      <c r="F197" s="19" t="str">
        <f aca="false">IF($C197="","",IF($B$4&amp;$B$5="",SUMIFS('المبيعات اليومية'!$H$9:$H$308,'المبيعات اليومية'!$C$9:$C$308,$C197),SUMIFS('المبيعات اليومية'!$H$9:$H$308,'المبيعات اليومية'!$C$9:$C$308,$C197,'المبيعات اليومية'!$A$9:$A$308,"&gt;="&amp;IF($B$4="",0,$B$4),'المبيعات اليومية'!$A$9:$A$308,"&lt;="&amp;IF($B$5="",2958465,$B$5))))</f>
        <v/>
      </c>
      <c r="G197" s="19" t="str">
        <f aca="false">IF($C197="","",IF($B$4&amp;$B$5="",SUMIFS('المبيعات اليومية'!$I$9:$I$308,'المبيعات اليومية'!$C$9:$C$308,$C197),SUMIFS('المبيعات اليومية'!$I$9:$I$308,'المبيعات اليومية'!$C$9:$C$308,$C197,'المبيعات اليومية'!$A$9:$A$308,"&gt;="&amp;IF($B$4="",0,$B$4),'المبيعات اليومية'!$A$9:$A$308,"&lt;="&amp;IF($B$5="",2958465,$B$5))))</f>
        <v/>
      </c>
      <c r="H197" s="20" t="str">
        <f aca="false">IF($C197="","",IF($B$4&amp;$B$5="",SUMIFS('المبيعات اليومية'!$J$9:$J$308,'المبيعات اليومية'!$C$9:$C$308,$C197),SUMIFS('المبيعات اليومية'!$J$9:$J$308,'المبيعات اليومية'!$C$9:$C$308,$C197,'المبيعات اليومية'!$A$9:$A$308,"&gt;="&amp;IF($B$4="",0,$B$4),'المبيعات اليومية'!$A$9:$A$308,"&lt;="&amp;IF($B$5="",2958465,$B$5))))</f>
        <v/>
      </c>
      <c r="I197" s="29" t="str">
        <f aca="false">IF(OR($C197="",$H$208=0),"",H197/$H$208)</f>
        <v/>
      </c>
      <c r="J197" s="19" t="str">
        <f aca="false">IF(OR(C197="",N(E197)=0),"",F197/E197)</f>
        <v/>
      </c>
    </row>
    <row r="198" customFormat="false" ht="15" hidden="false" customHeight="false" outlineLevel="0" collapsed="false">
      <c r="A198" s="21" t="str">
        <f aca="false">IF(C198="","",191)</f>
        <v/>
      </c>
      <c r="B198" s="21" t="str">
        <f aca="false">IF('دليل الأصناف'!$B$194="","",'دليل الأصناف'!$A$194)</f>
        <v/>
      </c>
      <c r="C198" s="4" t="str">
        <f aca="false">IF('دليل الأصناف'!$B$194="","",'دليل الأصناف'!$B$194)</f>
        <v/>
      </c>
      <c r="D198" s="27" t="str">
        <f aca="false">IF($C198="","",IF($B$4&amp;$B$5="",COUNTIFS('المبيعات اليومية'!$C$9:$C$308,$C198),COUNTIFS('المبيعات اليومية'!$C$9:$C$308,$C198,'المبيعات اليومية'!$A$9:$A$308,"&gt;="&amp;IF($B$4="",0,$B$4),'المبيعات اليومية'!$A$9:$A$308,"&lt;="&amp;IF($B$5="",2958465,$B$5))))</f>
        <v/>
      </c>
      <c r="E198" s="28" t="str">
        <f aca="false">IF($C198="","",IF($B$4&amp;$B$5="",SUMIFS('المبيعات اليومية'!$E$9:$E$308,'المبيعات اليومية'!$C$9:$C$308,$C198),SUMIFS('المبيعات اليومية'!$E$9:$E$308,'المبيعات اليومية'!$C$9:$C$308,$C198,'المبيعات اليومية'!$A$9:$A$308,"&gt;="&amp;IF($B$4="",0,$B$4),'المبيعات اليومية'!$A$9:$A$308,"&lt;="&amp;IF($B$5="",2958465,$B$5))))</f>
        <v/>
      </c>
      <c r="F198" s="19" t="str">
        <f aca="false">IF($C198="","",IF($B$4&amp;$B$5="",SUMIFS('المبيعات اليومية'!$H$9:$H$308,'المبيعات اليومية'!$C$9:$C$308,$C198),SUMIFS('المبيعات اليومية'!$H$9:$H$308,'المبيعات اليومية'!$C$9:$C$308,$C198,'المبيعات اليومية'!$A$9:$A$308,"&gt;="&amp;IF($B$4="",0,$B$4),'المبيعات اليومية'!$A$9:$A$308,"&lt;="&amp;IF($B$5="",2958465,$B$5))))</f>
        <v/>
      </c>
      <c r="G198" s="19" t="str">
        <f aca="false">IF($C198="","",IF($B$4&amp;$B$5="",SUMIFS('المبيعات اليومية'!$I$9:$I$308,'المبيعات اليومية'!$C$9:$C$308,$C198),SUMIFS('المبيعات اليومية'!$I$9:$I$308,'المبيعات اليومية'!$C$9:$C$308,$C198,'المبيعات اليومية'!$A$9:$A$308,"&gt;="&amp;IF($B$4="",0,$B$4),'المبيعات اليومية'!$A$9:$A$308,"&lt;="&amp;IF($B$5="",2958465,$B$5))))</f>
        <v/>
      </c>
      <c r="H198" s="20" t="str">
        <f aca="false">IF($C198="","",IF($B$4&amp;$B$5="",SUMIFS('المبيعات اليومية'!$J$9:$J$308,'المبيعات اليومية'!$C$9:$C$308,$C198),SUMIFS('المبيعات اليومية'!$J$9:$J$308,'المبيعات اليومية'!$C$9:$C$308,$C198,'المبيعات اليومية'!$A$9:$A$308,"&gt;="&amp;IF($B$4="",0,$B$4),'المبيعات اليومية'!$A$9:$A$308,"&lt;="&amp;IF($B$5="",2958465,$B$5))))</f>
        <v/>
      </c>
      <c r="I198" s="29" t="str">
        <f aca="false">IF(OR($C198="",$H$208=0),"",H198/$H$208)</f>
        <v/>
      </c>
      <c r="J198" s="19" t="str">
        <f aca="false">IF(OR(C198="",N(E198)=0),"",F198/E198)</f>
        <v/>
      </c>
    </row>
    <row r="199" customFormat="false" ht="15" hidden="false" customHeight="false" outlineLevel="0" collapsed="false">
      <c r="A199" s="21" t="str">
        <f aca="false">IF(C199="","",192)</f>
        <v/>
      </c>
      <c r="B199" s="21" t="str">
        <f aca="false">IF('دليل الأصناف'!$B$195="","",'دليل الأصناف'!$A$195)</f>
        <v/>
      </c>
      <c r="C199" s="4" t="str">
        <f aca="false">IF('دليل الأصناف'!$B$195="","",'دليل الأصناف'!$B$195)</f>
        <v/>
      </c>
      <c r="D199" s="27" t="str">
        <f aca="false">IF($C199="","",IF($B$4&amp;$B$5="",COUNTIFS('المبيعات اليومية'!$C$9:$C$308,$C199),COUNTIFS('المبيعات اليومية'!$C$9:$C$308,$C199,'المبيعات اليومية'!$A$9:$A$308,"&gt;="&amp;IF($B$4="",0,$B$4),'المبيعات اليومية'!$A$9:$A$308,"&lt;="&amp;IF($B$5="",2958465,$B$5))))</f>
        <v/>
      </c>
      <c r="E199" s="28" t="str">
        <f aca="false">IF($C199="","",IF($B$4&amp;$B$5="",SUMIFS('المبيعات اليومية'!$E$9:$E$308,'المبيعات اليومية'!$C$9:$C$308,$C199),SUMIFS('المبيعات اليومية'!$E$9:$E$308,'المبيعات اليومية'!$C$9:$C$308,$C199,'المبيعات اليومية'!$A$9:$A$308,"&gt;="&amp;IF($B$4="",0,$B$4),'المبيعات اليومية'!$A$9:$A$308,"&lt;="&amp;IF($B$5="",2958465,$B$5))))</f>
        <v/>
      </c>
      <c r="F199" s="19" t="str">
        <f aca="false">IF($C199="","",IF($B$4&amp;$B$5="",SUMIFS('المبيعات اليومية'!$H$9:$H$308,'المبيعات اليومية'!$C$9:$C$308,$C199),SUMIFS('المبيعات اليومية'!$H$9:$H$308,'المبيعات اليومية'!$C$9:$C$308,$C199,'المبيعات اليومية'!$A$9:$A$308,"&gt;="&amp;IF($B$4="",0,$B$4),'المبيعات اليومية'!$A$9:$A$308,"&lt;="&amp;IF($B$5="",2958465,$B$5))))</f>
        <v/>
      </c>
      <c r="G199" s="19" t="str">
        <f aca="false">IF($C199="","",IF($B$4&amp;$B$5="",SUMIFS('المبيعات اليومية'!$I$9:$I$308,'المبيعات اليومية'!$C$9:$C$308,$C199),SUMIFS('المبيعات اليومية'!$I$9:$I$308,'المبيعات اليومية'!$C$9:$C$308,$C199,'المبيعات اليومية'!$A$9:$A$308,"&gt;="&amp;IF($B$4="",0,$B$4),'المبيعات اليومية'!$A$9:$A$308,"&lt;="&amp;IF($B$5="",2958465,$B$5))))</f>
        <v/>
      </c>
      <c r="H199" s="20" t="str">
        <f aca="false">IF($C199="","",IF($B$4&amp;$B$5="",SUMIFS('المبيعات اليومية'!$J$9:$J$308,'المبيعات اليومية'!$C$9:$C$308,$C199),SUMIFS('المبيعات اليومية'!$J$9:$J$308,'المبيعات اليومية'!$C$9:$C$308,$C199,'المبيعات اليومية'!$A$9:$A$308,"&gt;="&amp;IF($B$4="",0,$B$4),'المبيعات اليومية'!$A$9:$A$308,"&lt;="&amp;IF($B$5="",2958465,$B$5))))</f>
        <v/>
      </c>
      <c r="I199" s="29" t="str">
        <f aca="false">IF(OR($C199="",$H$208=0),"",H199/$H$208)</f>
        <v/>
      </c>
      <c r="J199" s="19" t="str">
        <f aca="false">IF(OR(C199="",N(E199)=0),"",F199/E199)</f>
        <v/>
      </c>
    </row>
    <row r="200" customFormat="false" ht="15" hidden="false" customHeight="false" outlineLevel="0" collapsed="false">
      <c r="A200" s="21" t="str">
        <f aca="false">IF(C200="","",193)</f>
        <v/>
      </c>
      <c r="B200" s="21" t="str">
        <f aca="false">IF('دليل الأصناف'!$B$196="","",'دليل الأصناف'!$A$196)</f>
        <v/>
      </c>
      <c r="C200" s="4" t="str">
        <f aca="false">IF('دليل الأصناف'!$B$196="","",'دليل الأصناف'!$B$196)</f>
        <v/>
      </c>
      <c r="D200" s="27" t="str">
        <f aca="false">IF($C200="","",IF($B$4&amp;$B$5="",COUNTIFS('المبيعات اليومية'!$C$9:$C$308,$C200),COUNTIFS('المبيعات اليومية'!$C$9:$C$308,$C200,'المبيعات اليومية'!$A$9:$A$308,"&gt;="&amp;IF($B$4="",0,$B$4),'المبيعات اليومية'!$A$9:$A$308,"&lt;="&amp;IF($B$5="",2958465,$B$5))))</f>
        <v/>
      </c>
      <c r="E200" s="28" t="str">
        <f aca="false">IF($C200="","",IF($B$4&amp;$B$5="",SUMIFS('المبيعات اليومية'!$E$9:$E$308,'المبيعات اليومية'!$C$9:$C$308,$C200),SUMIFS('المبيعات اليومية'!$E$9:$E$308,'المبيعات اليومية'!$C$9:$C$308,$C200,'المبيعات اليومية'!$A$9:$A$308,"&gt;="&amp;IF($B$4="",0,$B$4),'المبيعات اليومية'!$A$9:$A$308,"&lt;="&amp;IF($B$5="",2958465,$B$5))))</f>
        <v/>
      </c>
      <c r="F200" s="19" t="str">
        <f aca="false">IF($C200="","",IF($B$4&amp;$B$5="",SUMIFS('المبيعات اليومية'!$H$9:$H$308,'المبيعات اليومية'!$C$9:$C$308,$C200),SUMIFS('المبيعات اليومية'!$H$9:$H$308,'المبيعات اليومية'!$C$9:$C$308,$C200,'المبيعات اليومية'!$A$9:$A$308,"&gt;="&amp;IF($B$4="",0,$B$4),'المبيعات اليومية'!$A$9:$A$308,"&lt;="&amp;IF($B$5="",2958465,$B$5))))</f>
        <v/>
      </c>
      <c r="G200" s="19" t="str">
        <f aca="false">IF($C200="","",IF($B$4&amp;$B$5="",SUMIFS('المبيعات اليومية'!$I$9:$I$308,'المبيعات اليومية'!$C$9:$C$308,$C200),SUMIFS('المبيعات اليومية'!$I$9:$I$308,'المبيعات اليومية'!$C$9:$C$308,$C200,'المبيعات اليومية'!$A$9:$A$308,"&gt;="&amp;IF($B$4="",0,$B$4),'المبيعات اليومية'!$A$9:$A$308,"&lt;="&amp;IF($B$5="",2958465,$B$5))))</f>
        <v/>
      </c>
      <c r="H200" s="20" t="str">
        <f aca="false">IF($C200="","",IF($B$4&amp;$B$5="",SUMIFS('المبيعات اليومية'!$J$9:$J$308,'المبيعات اليومية'!$C$9:$C$308,$C200),SUMIFS('المبيعات اليومية'!$J$9:$J$308,'المبيعات اليومية'!$C$9:$C$308,$C200,'المبيعات اليومية'!$A$9:$A$308,"&gt;="&amp;IF($B$4="",0,$B$4),'المبيعات اليومية'!$A$9:$A$308,"&lt;="&amp;IF($B$5="",2958465,$B$5))))</f>
        <v/>
      </c>
      <c r="I200" s="29" t="str">
        <f aca="false">IF(OR($C200="",$H$208=0),"",H200/$H$208)</f>
        <v/>
      </c>
      <c r="J200" s="19" t="str">
        <f aca="false">IF(OR(C200="",N(E200)=0),"",F200/E200)</f>
        <v/>
      </c>
    </row>
    <row r="201" customFormat="false" ht="15" hidden="false" customHeight="false" outlineLevel="0" collapsed="false">
      <c r="A201" s="21" t="str">
        <f aca="false">IF(C201="","",194)</f>
        <v/>
      </c>
      <c r="B201" s="21" t="str">
        <f aca="false">IF('دليل الأصناف'!$B$197="","",'دليل الأصناف'!$A$197)</f>
        <v/>
      </c>
      <c r="C201" s="4" t="str">
        <f aca="false">IF('دليل الأصناف'!$B$197="","",'دليل الأصناف'!$B$197)</f>
        <v/>
      </c>
      <c r="D201" s="27" t="str">
        <f aca="false">IF($C201="","",IF($B$4&amp;$B$5="",COUNTIFS('المبيعات اليومية'!$C$9:$C$308,$C201),COUNTIFS('المبيعات اليومية'!$C$9:$C$308,$C201,'المبيعات اليومية'!$A$9:$A$308,"&gt;="&amp;IF($B$4="",0,$B$4),'المبيعات اليومية'!$A$9:$A$308,"&lt;="&amp;IF($B$5="",2958465,$B$5))))</f>
        <v/>
      </c>
      <c r="E201" s="28" t="str">
        <f aca="false">IF($C201="","",IF($B$4&amp;$B$5="",SUMIFS('المبيعات اليومية'!$E$9:$E$308,'المبيعات اليومية'!$C$9:$C$308,$C201),SUMIFS('المبيعات اليومية'!$E$9:$E$308,'المبيعات اليومية'!$C$9:$C$308,$C201,'المبيعات اليومية'!$A$9:$A$308,"&gt;="&amp;IF($B$4="",0,$B$4),'المبيعات اليومية'!$A$9:$A$308,"&lt;="&amp;IF($B$5="",2958465,$B$5))))</f>
        <v/>
      </c>
      <c r="F201" s="19" t="str">
        <f aca="false">IF($C201="","",IF($B$4&amp;$B$5="",SUMIFS('المبيعات اليومية'!$H$9:$H$308,'المبيعات اليومية'!$C$9:$C$308,$C201),SUMIFS('المبيعات اليومية'!$H$9:$H$308,'المبيعات اليومية'!$C$9:$C$308,$C201,'المبيعات اليومية'!$A$9:$A$308,"&gt;="&amp;IF($B$4="",0,$B$4),'المبيعات اليومية'!$A$9:$A$308,"&lt;="&amp;IF($B$5="",2958465,$B$5))))</f>
        <v/>
      </c>
      <c r="G201" s="19" t="str">
        <f aca="false">IF($C201="","",IF($B$4&amp;$B$5="",SUMIFS('المبيعات اليومية'!$I$9:$I$308,'المبيعات اليومية'!$C$9:$C$308,$C201),SUMIFS('المبيعات اليومية'!$I$9:$I$308,'المبيعات اليومية'!$C$9:$C$308,$C201,'المبيعات اليومية'!$A$9:$A$308,"&gt;="&amp;IF($B$4="",0,$B$4),'المبيعات اليومية'!$A$9:$A$308,"&lt;="&amp;IF($B$5="",2958465,$B$5))))</f>
        <v/>
      </c>
      <c r="H201" s="20" t="str">
        <f aca="false">IF($C201="","",IF($B$4&amp;$B$5="",SUMIFS('المبيعات اليومية'!$J$9:$J$308,'المبيعات اليومية'!$C$9:$C$308,$C201),SUMIFS('المبيعات اليومية'!$J$9:$J$308,'المبيعات اليومية'!$C$9:$C$308,$C201,'المبيعات اليومية'!$A$9:$A$308,"&gt;="&amp;IF($B$4="",0,$B$4),'المبيعات اليومية'!$A$9:$A$308,"&lt;="&amp;IF($B$5="",2958465,$B$5))))</f>
        <v/>
      </c>
      <c r="I201" s="29" t="str">
        <f aca="false">IF(OR($C201="",$H$208=0),"",H201/$H$208)</f>
        <v/>
      </c>
      <c r="J201" s="19" t="str">
        <f aca="false">IF(OR(C201="",N(E201)=0),"",F201/E201)</f>
        <v/>
      </c>
    </row>
    <row r="202" customFormat="false" ht="15" hidden="false" customHeight="false" outlineLevel="0" collapsed="false">
      <c r="A202" s="21" t="str">
        <f aca="false">IF(C202="","",195)</f>
        <v/>
      </c>
      <c r="B202" s="21" t="str">
        <f aca="false">IF('دليل الأصناف'!$B$198="","",'دليل الأصناف'!$A$198)</f>
        <v/>
      </c>
      <c r="C202" s="4" t="str">
        <f aca="false">IF('دليل الأصناف'!$B$198="","",'دليل الأصناف'!$B$198)</f>
        <v/>
      </c>
      <c r="D202" s="27" t="str">
        <f aca="false">IF($C202="","",IF($B$4&amp;$B$5="",COUNTIFS('المبيعات اليومية'!$C$9:$C$308,$C202),COUNTIFS('المبيعات اليومية'!$C$9:$C$308,$C202,'المبيعات اليومية'!$A$9:$A$308,"&gt;="&amp;IF($B$4="",0,$B$4),'المبيعات اليومية'!$A$9:$A$308,"&lt;="&amp;IF($B$5="",2958465,$B$5))))</f>
        <v/>
      </c>
      <c r="E202" s="28" t="str">
        <f aca="false">IF($C202="","",IF($B$4&amp;$B$5="",SUMIFS('المبيعات اليومية'!$E$9:$E$308,'المبيعات اليومية'!$C$9:$C$308,$C202),SUMIFS('المبيعات اليومية'!$E$9:$E$308,'المبيعات اليومية'!$C$9:$C$308,$C202,'المبيعات اليومية'!$A$9:$A$308,"&gt;="&amp;IF($B$4="",0,$B$4),'المبيعات اليومية'!$A$9:$A$308,"&lt;="&amp;IF($B$5="",2958465,$B$5))))</f>
        <v/>
      </c>
      <c r="F202" s="19" t="str">
        <f aca="false">IF($C202="","",IF($B$4&amp;$B$5="",SUMIFS('المبيعات اليومية'!$H$9:$H$308,'المبيعات اليومية'!$C$9:$C$308,$C202),SUMIFS('المبيعات اليومية'!$H$9:$H$308,'المبيعات اليومية'!$C$9:$C$308,$C202,'المبيعات اليومية'!$A$9:$A$308,"&gt;="&amp;IF($B$4="",0,$B$4),'المبيعات اليومية'!$A$9:$A$308,"&lt;="&amp;IF($B$5="",2958465,$B$5))))</f>
        <v/>
      </c>
      <c r="G202" s="19" t="str">
        <f aca="false">IF($C202="","",IF($B$4&amp;$B$5="",SUMIFS('المبيعات اليومية'!$I$9:$I$308,'المبيعات اليومية'!$C$9:$C$308,$C202),SUMIFS('المبيعات اليومية'!$I$9:$I$308,'المبيعات اليومية'!$C$9:$C$308,$C202,'المبيعات اليومية'!$A$9:$A$308,"&gt;="&amp;IF($B$4="",0,$B$4),'المبيعات اليومية'!$A$9:$A$308,"&lt;="&amp;IF($B$5="",2958465,$B$5))))</f>
        <v/>
      </c>
      <c r="H202" s="20" t="str">
        <f aca="false">IF($C202="","",IF($B$4&amp;$B$5="",SUMIFS('المبيعات اليومية'!$J$9:$J$308,'المبيعات اليومية'!$C$9:$C$308,$C202),SUMIFS('المبيعات اليومية'!$J$9:$J$308,'المبيعات اليومية'!$C$9:$C$308,$C202,'المبيعات اليومية'!$A$9:$A$308,"&gt;="&amp;IF($B$4="",0,$B$4),'المبيعات اليومية'!$A$9:$A$308,"&lt;="&amp;IF($B$5="",2958465,$B$5))))</f>
        <v/>
      </c>
      <c r="I202" s="29" t="str">
        <f aca="false">IF(OR($C202="",$H$208=0),"",H202/$H$208)</f>
        <v/>
      </c>
      <c r="J202" s="19" t="str">
        <f aca="false">IF(OR(C202="",N(E202)=0),"",F202/E202)</f>
        <v/>
      </c>
    </row>
    <row r="203" customFormat="false" ht="15" hidden="false" customHeight="false" outlineLevel="0" collapsed="false">
      <c r="A203" s="21" t="str">
        <f aca="false">IF(C203="","",196)</f>
        <v/>
      </c>
      <c r="B203" s="21" t="str">
        <f aca="false">IF('دليل الأصناف'!$B$199="","",'دليل الأصناف'!$A$199)</f>
        <v/>
      </c>
      <c r="C203" s="4" t="str">
        <f aca="false">IF('دليل الأصناف'!$B$199="","",'دليل الأصناف'!$B$199)</f>
        <v/>
      </c>
      <c r="D203" s="27" t="str">
        <f aca="false">IF($C203="","",IF($B$4&amp;$B$5="",COUNTIFS('المبيعات اليومية'!$C$9:$C$308,$C203),COUNTIFS('المبيعات اليومية'!$C$9:$C$308,$C203,'المبيعات اليومية'!$A$9:$A$308,"&gt;="&amp;IF($B$4="",0,$B$4),'المبيعات اليومية'!$A$9:$A$308,"&lt;="&amp;IF($B$5="",2958465,$B$5))))</f>
        <v/>
      </c>
      <c r="E203" s="28" t="str">
        <f aca="false">IF($C203="","",IF($B$4&amp;$B$5="",SUMIFS('المبيعات اليومية'!$E$9:$E$308,'المبيعات اليومية'!$C$9:$C$308,$C203),SUMIFS('المبيعات اليومية'!$E$9:$E$308,'المبيعات اليومية'!$C$9:$C$308,$C203,'المبيعات اليومية'!$A$9:$A$308,"&gt;="&amp;IF($B$4="",0,$B$4),'المبيعات اليومية'!$A$9:$A$308,"&lt;="&amp;IF($B$5="",2958465,$B$5))))</f>
        <v/>
      </c>
      <c r="F203" s="19" t="str">
        <f aca="false">IF($C203="","",IF($B$4&amp;$B$5="",SUMIFS('المبيعات اليومية'!$H$9:$H$308,'المبيعات اليومية'!$C$9:$C$308,$C203),SUMIFS('المبيعات اليومية'!$H$9:$H$308,'المبيعات اليومية'!$C$9:$C$308,$C203,'المبيعات اليومية'!$A$9:$A$308,"&gt;="&amp;IF($B$4="",0,$B$4),'المبيعات اليومية'!$A$9:$A$308,"&lt;="&amp;IF($B$5="",2958465,$B$5))))</f>
        <v/>
      </c>
      <c r="G203" s="19" t="str">
        <f aca="false">IF($C203="","",IF($B$4&amp;$B$5="",SUMIFS('المبيعات اليومية'!$I$9:$I$308,'المبيعات اليومية'!$C$9:$C$308,$C203),SUMIFS('المبيعات اليومية'!$I$9:$I$308,'المبيعات اليومية'!$C$9:$C$308,$C203,'المبيعات اليومية'!$A$9:$A$308,"&gt;="&amp;IF($B$4="",0,$B$4),'المبيعات اليومية'!$A$9:$A$308,"&lt;="&amp;IF($B$5="",2958465,$B$5))))</f>
        <v/>
      </c>
      <c r="H203" s="20" t="str">
        <f aca="false">IF($C203="","",IF($B$4&amp;$B$5="",SUMIFS('المبيعات اليومية'!$J$9:$J$308,'المبيعات اليومية'!$C$9:$C$308,$C203),SUMIFS('المبيعات اليومية'!$J$9:$J$308,'المبيعات اليومية'!$C$9:$C$308,$C203,'المبيعات اليومية'!$A$9:$A$308,"&gt;="&amp;IF($B$4="",0,$B$4),'المبيعات اليومية'!$A$9:$A$308,"&lt;="&amp;IF($B$5="",2958465,$B$5))))</f>
        <v/>
      </c>
      <c r="I203" s="29" t="str">
        <f aca="false">IF(OR($C203="",$H$208=0),"",H203/$H$208)</f>
        <v/>
      </c>
      <c r="J203" s="19" t="str">
        <f aca="false">IF(OR(C203="",N(E203)=0),"",F203/E203)</f>
        <v/>
      </c>
    </row>
    <row r="204" customFormat="false" ht="15" hidden="false" customHeight="false" outlineLevel="0" collapsed="false">
      <c r="A204" s="21" t="str">
        <f aca="false">IF(C204="","",197)</f>
        <v/>
      </c>
      <c r="B204" s="21" t="str">
        <f aca="false">IF('دليل الأصناف'!$B$200="","",'دليل الأصناف'!$A$200)</f>
        <v/>
      </c>
      <c r="C204" s="4" t="str">
        <f aca="false">IF('دليل الأصناف'!$B$200="","",'دليل الأصناف'!$B$200)</f>
        <v/>
      </c>
      <c r="D204" s="27" t="str">
        <f aca="false">IF($C204="","",IF($B$4&amp;$B$5="",COUNTIFS('المبيعات اليومية'!$C$9:$C$308,$C204),COUNTIFS('المبيعات اليومية'!$C$9:$C$308,$C204,'المبيعات اليومية'!$A$9:$A$308,"&gt;="&amp;IF($B$4="",0,$B$4),'المبيعات اليومية'!$A$9:$A$308,"&lt;="&amp;IF($B$5="",2958465,$B$5))))</f>
        <v/>
      </c>
      <c r="E204" s="28" t="str">
        <f aca="false">IF($C204="","",IF($B$4&amp;$B$5="",SUMIFS('المبيعات اليومية'!$E$9:$E$308,'المبيعات اليومية'!$C$9:$C$308,$C204),SUMIFS('المبيعات اليومية'!$E$9:$E$308,'المبيعات اليومية'!$C$9:$C$308,$C204,'المبيعات اليومية'!$A$9:$A$308,"&gt;="&amp;IF($B$4="",0,$B$4),'المبيعات اليومية'!$A$9:$A$308,"&lt;="&amp;IF($B$5="",2958465,$B$5))))</f>
        <v/>
      </c>
      <c r="F204" s="19" t="str">
        <f aca="false">IF($C204="","",IF($B$4&amp;$B$5="",SUMIFS('المبيعات اليومية'!$H$9:$H$308,'المبيعات اليومية'!$C$9:$C$308,$C204),SUMIFS('المبيعات اليومية'!$H$9:$H$308,'المبيعات اليومية'!$C$9:$C$308,$C204,'المبيعات اليومية'!$A$9:$A$308,"&gt;="&amp;IF($B$4="",0,$B$4),'المبيعات اليومية'!$A$9:$A$308,"&lt;="&amp;IF($B$5="",2958465,$B$5))))</f>
        <v/>
      </c>
      <c r="G204" s="19" t="str">
        <f aca="false">IF($C204="","",IF($B$4&amp;$B$5="",SUMIFS('المبيعات اليومية'!$I$9:$I$308,'المبيعات اليومية'!$C$9:$C$308,$C204),SUMIFS('المبيعات اليومية'!$I$9:$I$308,'المبيعات اليومية'!$C$9:$C$308,$C204,'المبيعات اليومية'!$A$9:$A$308,"&gt;="&amp;IF($B$4="",0,$B$4),'المبيعات اليومية'!$A$9:$A$308,"&lt;="&amp;IF($B$5="",2958465,$B$5))))</f>
        <v/>
      </c>
      <c r="H204" s="20" t="str">
        <f aca="false">IF($C204="","",IF($B$4&amp;$B$5="",SUMIFS('المبيعات اليومية'!$J$9:$J$308,'المبيعات اليومية'!$C$9:$C$308,$C204),SUMIFS('المبيعات اليومية'!$J$9:$J$308,'المبيعات اليومية'!$C$9:$C$308,$C204,'المبيعات اليومية'!$A$9:$A$308,"&gt;="&amp;IF($B$4="",0,$B$4),'المبيعات اليومية'!$A$9:$A$308,"&lt;="&amp;IF($B$5="",2958465,$B$5))))</f>
        <v/>
      </c>
      <c r="I204" s="29" t="str">
        <f aca="false">IF(OR($C204="",$H$208=0),"",H204/$H$208)</f>
        <v/>
      </c>
      <c r="J204" s="19" t="str">
        <f aca="false">IF(OR(C204="",N(E204)=0),"",F204/E204)</f>
        <v/>
      </c>
    </row>
    <row r="205" customFormat="false" ht="15" hidden="false" customHeight="false" outlineLevel="0" collapsed="false">
      <c r="A205" s="21" t="str">
        <f aca="false">IF(C205="","",198)</f>
        <v/>
      </c>
      <c r="B205" s="21" t="str">
        <f aca="false">IF('دليل الأصناف'!$B$201="","",'دليل الأصناف'!$A$201)</f>
        <v/>
      </c>
      <c r="C205" s="4" t="str">
        <f aca="false">IF('دليل الأصناف'!$B$201="","",'دليل الأصناف'!$B$201)</f>
        <v/>
      </c>
      <c r="D205" s="27" t="str">
        <f aca="false">IF($C205="","",IF($B$4&amp;$B$5="",COUNTIFS('المبيعات اليومية'!$C$9:$C$308,$C205),COUNTIFS('المبيعات اليومية'!$C$9:$C$308,$C205,'المبيعات اليومية'!$A$9:$A$308,"&gt;="&amp;IF($B$4="",0,$B$4),'المبيعات اليومية'!$A$9:$A$308,"&lt;="&amp;IF($B$5="",2958465,$B$5))))</f>
        <v/>
      </c>
      <c r="E205" s="28" t="str">
        <f aca="false">IF($C205="","",IF($B$4&amp;$B$5="",SUMIFS('المبيعات اليومية'!$E$9:$E$308,'المبيعات اليومية'!$C$9:$C$308,$C205),SUMIFS('المبيعات اليومية'!$E$9:$E$308,'المبيعات اليومية'!$C$9:$C$308,$C205,'المبيعات اليومية'!$A$9:$A$308,"&gt;="&amp;IF($B$4="",0,$B$4),'المبيعات اليومية'!$A$9:$A$308,"&lt;="&amp;IF($B$5="",2958465,$B$5))))</f>
        <v/>
      </c>
      <c r="F205" s="19" t="str">
        <f aca="false">IF($C205="","",IF($B$4&amp;$B$5="",SUMIFS('المبيعات اليومية'!$H$9:$H$308,'المبيعات اليومية'!$C$9:$C$308,$C205),SUMIFS('المبيعات اليومية'!$H$9:$H$308,'المبيعات اليومية'!$C$9:$C$308,$C205,'المبيعات اليومية'!$A$9:$A$308,"&gt;="&amp;IF($B$4="",0,$B$4),'المبيعات اليومية'!$A$9:$A$308,"&lt;="&amp;IF($B$5="",2958465,$B$5))))</f>
        <v/>
      </c>
      <c r="G205" s="19" t="str">
        <f aca="false">IF($C205="","",IF($B$4&amp;$B$5="",SUMIFS('المبيعات اليومية'!$I$9:$I$308,'المبيعات اليومية'!$C$9:$C$308,$C205),SUMIFS('المبيعات اليومية'!$I$9:$I$308,'المبيعات اليومية'!$C$9:$C$308,$C205,'المبيعات اليومية'!$A$9:$A$308,"&gt;="&amp;IF($B$4="",0,$B$4),'المبيعات اليومية'!$A$9:$A$308,"&lt;="&amp;IF($B$5="",2958465,$B$5))))</f>
        <v/>
      </c>
      <c r="H205" s="20" t="str">
        <f aca="false">IF($C205="","",IF($B$4&amp;$B$5="",SUMIFS('المبيعات اليومية'!$J$9:$J$308,'المبيعات اليومية'!$C$9:$C$308,$C205),SUMIFS('المبيعات اليومية'!$J$9:$J$308,'المبيعات اليومية'!$C$9:$C$308,$C205,'المبيعات اليومية'!$A$9:$A$308,"&gt;="&amp;IF($B$4="",0,$B$4),'المبيعات اليومية'!$A$9:$A$308,"&lt;="&amp;IF($B$5="",2958465,$B$5))))</f>
        <v/>
      </c>
      <c r="I205" s="29" t="str">
        <f aca="false">IF(OR($C205="",$H$208=0),"",H205/$H$208)</f>
        <v/>
      </c>
      <c r="J205" s="19" t="str">
        <f aca="false">IF(OR(C205="",N(E205)=0),"",F205/E205)</f>
        <v/>
      </c>
    </row>
    <row r="206" customFormat="false" ht="15" hidden="false" customHeight="false" outlineLevel="0" collapsed="false">
      <c r="A206" s="21" t="str">
        <f aca="false">IF(C206="","",199)</f>
        <v/>
      </c>
      <c r="B206" s="21" t="str">
        <f aca="false">IF('دليل الأصناف'!$B$202="","",'دليل الأصناف'!$A$202)</f>
        <v/>
      </c>
      <c r="C206" s="4" t="str">
        <f aca="false">IF('دليل الأصناف'!$B$202="","",'دليل الأصناف'!$B$202)</f>
        <v/>
      </c>
      <c r="D206" s="27" t="str">
        <f aca="false">IF($C206="","",IF($B$4&amp;$B$5="",COUNTIFS('المبيعات اليومية'!$C$9:$C$308,$C206),COUNTIFS('المبيعات اليومية'!$C$9:$C$308,$C206,'المبيعات اليومية'!$A$9:$A$308,"&gt;="&amp;IF($B$4="",0,$B$4),'المبيعات اليومية'!$A$9:$A$308,"&lt;="&amp;IF($B$5="",2958465,$B$5))))</f>
        <v/>
      </c>
      <c r="E206" s="28" t="str">
        <f aca="false">IF($C206="","",IF($B$4&amp;$B$5="",SUMIFS('المبيعات اليومية'!$E$9:$E$308,'المبيعات اليومية'!$C$9:$C$308,$C206),SUMIFS('المبيعات اليومية'!$E$9:$E$308,'المبيعات اليومية'!$C$9:$C$308,$C206,'المبيعات اليومية'!$A$9:$A$308,"&gt;="&amp;IF($B$4="",0,$B$4),'المبيعات اليومية'!$A$9:$A$308,"&lt;="&amp;IF($B$5="",2958465,$B$5))))</f>
        <v/>
      </c>
      <c r="F206" s="19" t="str">
        <f aca="false">IF($C206="","",IF($B$4&amp;$B$5="",SUMIFS('المبيعات اليومية'!$H$9:$H$308,'المبيعات اليومية'!$C$9:$C$308,$C206),SUMIFS('المبيعات اليومية'!$H$9:$H$308,'المبيعات اليومية'!$C$9:$C$308,$C206,'المبيعات اليومية'!$A$9:$A$308,"&gt;="&amp;IF($B$4="",0,$B$4),'المبيعات اليومية'!$A$9:$A$308,"&lt;="&amp;IF($B$5="",2958465,$B$5))))</f>
        <v/>
      </c>
      <c r="G206" s="19" t="str">
        <f aca="false">IF($C206="","",IF($B$4&amp;$B$5="",SUMIFS('المبيعات اليومية'!$I$9:$I$308,'المبيعات اليومية'!$C$9:$C$308,$C206),SUMIFS('المبيعات اليومية'!$I$9:$I$308,'المبيعات اليومية'!$C$9:$C$308,$C206,'المبيعات اليومية'!$A$9:$A$308,"&gt;="&amp;IF($B$4="",0,$B$4),'المبيعات اليومية'!$A$9:$A$308,"&lt;="&amp;IF($B$5="",2958465,$B$5))))</f>
        <v/>
      </c>
      <c r="H206" s="20" t="str">
        <f aca="false">IF($C206="","",IF($B$4&amp;$B$5="",SUMIFS('المبيعات اليومية'!$J$9:$J$308,'المبيعات اليومية'!$C$9:$C$308,$C206),SUMIFS('المبيعات اليومية'!$J$9:$J$308,'المبيعات اليومية'!$C$9:$C$308,$C206,'المبيعات اليومية'!$A$9:$A$308,"&gt;="&amp;IF($B$4="",0,$B$4),'المبيعات اليومية'!$A$9:$A$308,"&lt;="&amp;IF($B$5="",2958465,$B$5))))</f>
        <v/>
      </c>
      <c r="I206" s="29" t="str">
        <f aca="false">IF(OR($C206="",$H$208=0),"",H206/$H$208)</f>
        <v/>
      </c>
      <c r="J206" s="19" t="str">
        <f aca="false">IF(OR(C206="",N(E206)=0),"",F206/E206)</f>
        <v/>
      </c>
    </row>
    <row r="207" customFormat="false" ht="15" hidden="false" customHeight="false" outlineLevel="0" collapsed="false">
      <c r="A207" s="21" t="str">
        <f aca="false">IF(C207="","",200)</f>
        <v/>
      </c>
      <c r="B207" s="21" t="str">
        <f aca="false">IF('دليل الأصناف'!$B$203="","",'دليل الأصناف'!$A$203)</f>
        <v/>
      </c>
      <c r="C207" s="4" t="str">
        <f aca="false">IF('دليل الأصناف'!$B$203="","",'دليل الأصناف'!$B$203)</f>
        <v/>
      </c>
      <c r="D207" s="27" t="str">
        <f aca="false">IF($C207="","",IF($B$4&amp;$B$5="",COUNTIFS('المبيعات اليومية'!$C$9:$C$308,$C207),COUNTIFS('المبيعات اليومية'!$C$9:$C$308,$C207,'المبيعات اليومية'!$A$9:$A$308,"&gt;="&amp;IF($B$4="",0,$B$4),'المبيعات اليومية'!$A$9:$A$308,"&lt;="&amp;IF($B$5="",2958465,$B$5))))</f>
        <v/>
      </c>
      <c r="E207" s="28" t="str">
        <f aca="false">IF($C207="","",IF($B$4&amp;$B$5="",SUMIFS('المبيعات اليومية'!$E$9:$E$308,'المبيعات اليومية'!$C$9:$C$308,$C207),SUMIFS('المبيعات اليومية'!$E$9:$E$308,'المبيعات اليومية'!$C$9:$C$308,$C207,'المبيعات اليومية'!$A$9:$A$308,"&gt;="&amp;IF($B$4="",0,$B$4),'المبيعات اليومية'!$A$9:$A$308,"&lt;="&amp;IF($B$5="",2958465,$B$5))))</f>
        <v/>
      </c>
      <c r="F207" s="19" t="str">
        <f aca="false">IF($C207="","",IF($B$4&amp;$B$5="",SUMIFS('المبيعات اليومية'!$H$9:$H$308,'المبيعات اليومية'!$C$9:$C$308,$C207),SUMIFS('المبيعات اليومية'!$H$9:$H$308,'المبيعات اليومية'!$C$9:$C$308,$C207,'المبيعات اليومية'!$A$9:$A$308,"&gt;="&amp;IF($B$4="",0,$B$4),'المبيعات اليومية'!$A$9:$A$308,"&lt;="&amp;IF($B$5="",2958465,$B$5))))</f>
        <v/>
      </c>
      <c r="G207" s="19" t="str">
        <f aca="false">IF($C207="","",IF($B$4&amp;$B$5="",SUMIFS('المبيعات اليومية'!$I$9:$I$308,'المبيعات اليومية'!$C$9:$C$308,$C207),SUMIFS('المبيعات اليومية'!$I$9:$I$308,'المبيعات اليومية'!$C$9:$C$308,$C207,'المبيعات اليومية'!$A$9:$A$308,"&gt;="&amp;IF($B$4="",0,$B$4),'المبيعات اليومية'!$A$9:$A$308,"&lt;="&amp;IF($B$5="",2958465,$B$5))))</f>
        <v/>
      </c>
      <c r="H207" s="20" t="str">
        <f aca="false">IF($C207="","",IF($B$4&amp;$B$5="",SUMIFS('المبيعات اليومية'!$J$9:$J$308,'المبيعات اليومية'!$C$9:$C$308,$C207),SUMIFS('المبيعات اليومية'!$J$9:$J$308,'المبيعات اليومية'!$C$9:$C$308,$C207,'المبيعات اليومية'!$A$9:$A$308,"&gt;="&amp;IF($B$4="",0,$B$4),'المبيعات اليومية'!$A$9:$A$308,"&lt;="&amp;IF($B$5="",2958465,$B$5))))</f>
        <v/>
      </c>
      <c r="I207" s="29" t="str">
        <f aca="false">IF(OR($C207="",$H$208=0),"",H207/$H$208)</f>
        <v/>
      </c>
      <c r="J207" s="19" t="str">
        <f aca="false">IF(OR(C207="",N(E207)=0),"",F207/E207)</f>
        <v/>
      </c>
    </row>
    <row r="208" customFormat="false" ht="15" hidden="false" customHeight="true" outlineLevel="0" collapsed="false">
      <c r="A208" s="30" t="s">
        <v>90</v>
      </c>
      <c r="B208" s="30"/>
      <c r="C208" s="30"/>
      <c r="D208" s="31" t="n">
        <f aca="false">SUM(D8:D207)</f>
        <v>8</v>
      </c>
      <c r="E208" s="32" t="n">
        <f aca="false">SUM(E8:E207)</f>
        <v>1817</v>
      </c>
      <c r="F208" s="30" t="n">
        <f aca="false">SUM(F8:F207)</f>
        <v>11944.5</v>
      </c>
      <c r="G208" s="30" t="n">
        <f aca="false">SUM(G8:G207)</f>
        <v>1791.68</v>
      </c>
      <c r="H208" s="30" t="n">
        <f aca="false">SUM(H8:H207)</f>
        <v>13736.18</v>
      </c>
      <c r="I208" s="33" t="n">
        <f aca="false">IF(H208=0,"",1)</f>
        <v>1</v>
      </c>
      <c r="J208" s="30"/>
    </row>
    <row r="209" customFormat="false" ht="15" hidden="false" customHeight="true" outlineLevel="0" collapsed="false">
      <c r="A209" s="30" t="s">
        <v>96</v>
      </c>
      <c r="B209" s="30"/>
      <c r="C209" s="30"/>
      <c r="D209" s="30"/>
      <c r="E209" s="30"/>
      <c r="F209" s="30"/>
      <c r="G209" s="30"/>
      <c r="H209" s="30" t="n">
        <f aca="false">ROUND(IF($B$4&amp;$B$5="",SUM('المبيعات اليومية'!$J$9:$J$308),SUMIFS('المبيعات اليومية'!$J$9:$J$308,'المبيعات اليومية'!$A$9:$A$308,"&gt;="&amp;IF($B$4="",0,$B$4),'المبيعات اليومية'!$A$9:$A$308,"&lt;="&amp;IF($B$5="",2958465,$B$5)))-H208,2)</f>
        <v>0</v>
      </c>
      <c r="I209" s="33"/>
      <c r="J209" s="30"/>
    </row>
  </sheetData>
  <mergeCells count="5">
    <mergeCell ref="A1:J1"/>
    <mergeCell ref="A2:J2"/>
    <mergeCell ref="D4:H4"/>
    <mergeCell ref="A208:C208"/>
    <mergeCell ref="A209:G209"/>
  </mergeCells>
  <conditionalFormatting sqref="H209">
    <cfRule type="cellIs" priority="2" operator="notEqual" aboveAverage="0" equalAverage="0" bottom="0" percent="0" rank="0" text="" dxfId="9">
      <formula>0</formula>
    </cfRule>
  </conditionalFormatting>
  <conditionalFormatting sqref="A8:J207">
    <cfRule type="expression" priority="3" aboveAverage="0" equalAverage="0" bottom="0" percent="0" rank="0" text="" dxfId="12">
      <formula>AND($C8&lt;&gt;"",MOD(ROW(),2)=0)</formula>
    </cfRule>
  </conditionalFormatting>
  <dataValidations count="1">
    <dataValidation allowBlank="true" error="أدخل تاريخاً صحيحاً أو اترك الخلية فارغة." errorStyle="stop" errorTitle="تاريخ غير صحيح" operator="between" showDropDown="false" showErrorMessage="true" showInputMessage="true" sqref="B4:B5" type="date">
      <formula1>DATE(2020,1,1)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36" hidden="false" customHeight="true" outlineLevel="0" collapsed="false">
      <c r="A1" s="1" t="s">
        <v>97</v>
      </c>
      <c r="B1" s="1"/>
      <c r="C1" s="1"/>
    </row>
    <row r="2" customFormat="false" ht="15" hidden="false" customHeight="true" outlineLevel="0" collapsed="false">
      <c r="A2" s="7" t="s">
        <v>98</v>
      </c>
      <c r="B2" s="7"/>
      <c r="C2" s="7"/>
    </row>
    <row r="3" customFormat="false" ht="42" hidden="false" customHeight="true" outlineLevel="0" collapsed="false">
      <c r="A3" s="12" t="s">
        <v>83</v>
      </c>
      <c r="B3" s="12" t="s">
        <v>99</v>
      </c>
      <c r="C3" s="12" t="s">
        <v>100</v>
      </c>
      <c r="E3" s="34" t="s">
        <v>101</v>
      </c>
    </row>
    <row r="4" customFormat="false" ht="15" hidden="false" customHeight="false" outlineLevel="0" collapsed="false">
      <c r="A4" s="18" t="n">
        <v>101</v>
      </c>
      <c r="B4" s="14" t="s">
        <v>102</v>
      </c>
      <c r="C4" s="14" t="s">
        <v>103</v>
      </c>
      <c r="E4" s="35" t="str">
        <f aca="false">IF(SUMPRODUCT((B4:B203&lt;&gt;"")/COUNTIF(B4:B203,B4:B203&amp;""))&lt;COUNTA(B4:B203),"⚠ يوجد اسم مكرر (مُظلل بالأحمر)","✓ لا يوجد تكرار")</f>
        <v>✓ لا يوجد تكرار</v>
      </c>
    </row>
    <row r="5" customFormat="false" ht="15" hidden="false" customHeight="false" outlineLevel="0" collapsed="false">
      <c r="A5" s="18" t="n">
        <v>102</v>
      </c>
      <c r="B5" s="14" t="s">
        <v>55</v>
      </c>
      <c r="C5" s="14" t="s">
        <v>104</v>
      </c>
    </row>
    <row r="6" customFormat="false" ht="15" hidden="false" customHeight="false" outlineLevel="0" collapsed="false">
      <c r="A6" s="18" t="n">
        <v>103</v>
      </c>
      <c r="B6" s="14" t="s">
        <v>105</v>
      </c>
      <c r="C6" s="14" t="s">
        <v>106</v>
      </c>
    </row>
    <row r="7" customFormat="false" ht="15" hidden="false" customHeight="false" outlineLevel="0" collapsed="false">
      <c r="A7" s="18" t="n">
        <v>104</v>
      </c>
      <c r="B7" s="14" t="s">
        <v>59</v>
      </c>
      <c r="C7" s="14" t="s">
        <v>107</v>
      </c>
    </row>
    <row r="8" customFormat="false" ht="15" hidden="false" customHeight="false" outlineLevel="0" collapsed="false">
      <c r="A8" s="18" t="n">
        <v>105</v>
      </c>
      <c r="B8" s="14" t="s">
        <v>51</v>
      </c>
      <c r="C8" s="14" t="s">
        <v>108</v>
      </c>
    </row>
    <row r="9" customFormat="false" ht="15" hidden="false" customHeight="false" outlineLevel="0" collapsed="false">
      <c r="A9" s="18" t="n">
        <v>106</v>
      </c>
      <c r="B9" s="14" t="s">
        <v>109</v>
      </c>
      <c r="C9" s="14" t="s">
        <v>110</v>
      </c>
    </row>
    <row r="10" customFormat="false" ht="15" hidden="false" customHeight="false" outlineLevel="0" collapsed="false">
      <c r="A10" s="18" t="n">
        <v>107</v>
      </c>
      <c r="B10" s="14" t="s">
        <v>62</v>
      </c>
      <c r="C10" s="14" t="s">
        <v>111</v>
      </c>
    </row>
    <row r="11" customFormat="false" ht="15" hidden="false" customHeight="false" outlineLevel="0" collapsed="false">
      <c r="A11" s="18" t="n">
        <v>108</v>
      </c>
      <c r="B11" s="14" t="s">
        <v>65</v>
      </c>
      <c r="C11" s="14" t="s">
        <v>112</v>
      </c>
    </row>
    <row r="12" customFormat="false" ht="15" hidden="false" customHeight="false" outlineLevel="0" collapsed="false">
      <c r="A12" s="18" t="n">
        <v>109</v>
      </c>
      <c r="B12" s="14" t="s">
        <v>68</v>
      </c>
      <c r="C12" s="14" t="s">
        <v>113</v>
      </c>
    </row>
    <row r="13" customFormat="false" ht="15" hidden="false" customHeight="false" outlineLevel="0" collapsed="false">
      <c r="A13" s="18" t="n">
        <v>110</v>
      </c>
      <c r="B13" s="14" t="s">
        <v>71</v>
      </c>
      <c r="C13" s="14" t="s">
        <v>114</v>
      </c>
    </row>
    <row r="14" customFormat="false" ht="15" hidden="false" customHeight="false" outlineLevel="0" collapsed="false">
      <c r="A14" s="18" t="n">
        <v>111</v>
      </c>
      <c r="B14" s="14" t="s">
        <v>74</v>
      </c>
      <c r="C14" s="14" t="s">
        <v>115</v>
      </c>
    </row>
    <row r="15" customFormat="false" ht="15" hidden="false" customHeight="false" outlineLevel="0" collapsed="false">
      <c r="A15" s="18"/>
      <c r="B15" s="14"/>
      <c r="C15" s="14"/>
    </row>
    <row r="16" customFormat="false" ht="15" hidden="false" customHeight="false" outlineLevel="0" collapsed="false">
      <c r="A16" s="18"/>
      <c r="B16" s="14"/>
      <c r="C16" s="14"/>
    </row>
    <row r="17" customFormat="false" ht="15" hidden="false" customHeight="false" outlineLevel="0" collapsed="false">
      <c r="A17" s="18"/>
      <c r="B17" s="14"/>
      <c r="C17" s="14"/>
    </row>
    <row r="18" customFormat="false" ht="15" hidden="false" customHeight="false" outlineLevel="0" collapsed="false">
      <c r="A18" s="18"/>
      <c r="B18" s="14"/>
      <c r="C18" s="14"/>
    </row>
    <row r="19" customFormat="false" ht="15" hidden="false" customHeight="false" outlineLevel="0" collapsed="false">
      <c r="A19" s="18"/>
      <c r="B19" s="14"/>
      <c r="C19" s="14"/>
    </row>
    <row r="20" customFormat="false" ht="15" hidden="false" customHeight="false" outlineLevel="0" collapsed="false">
      <c r="A20" s="18"/>
      <c r="B20" s="14"/>
      <c r="C20" s="14"/>
    </row>
    <row r="21" customFormat="false" ht="15" hidden="false" customHeight="false" outlineLevel="0" collapsed="false">
      <c r="A21" s="18"/>
      <c r="B21" s="14"/>
      <c r="C21" s="14"/>
    </row>
    <row r="22" customFormat="false" ht="15" hidden="false" customHeight="false" outlineLevel="0" collapsed="false">
      <c r="A22" s="18"/>
      <c r="B22" s="14"/>
      <c r="C22" s="14"/>
    </row>
    <row r="23" customFormat="false" ht="15" hidden="false" customHeight="false" outlineLevel="0" collapsed="false">
      <c r="A23" s="18"/>
      <c r="B23" s="14"/>
      <c r="C23" s="14"/>
    </row>
    <row r="24" customFormat="false" ht="15" hidden="false" customHeight="false" outlineLevel="0" collapsed="false">
      <c r="A24" s="18"/>
      <c r="B24" s="14"/>
      <c r="C24" s="14"/>
    </row>
    <row r="25" customFormat="false" ht="15" hidden="false" customHeight="false" outlineLevel="0" collapsed="false">
      <c r="A25" s="18"/>
      <c r="B25" s="14"/>
      <c r="C25" s="14"/>
    </row>
    <row r="26" customFormat="false" ht="15" hidden="false" customHeight="false" outlineLevel="0" collapsed="false">
      <c r="A26" s="18"/>
      <c r="B26" s="14"/>
      <c r="C26" s="14"/>
    </row>
    <row r="27" customFormat="false" ht="15" hidden="false" customHeight="false" outlineLevel="0" collapsed="false">
      <c r="A27" s="18"/>
      <c r="B27" s="14"/>
      <c r="C27" s="14"/>
    </row>
    <row r="28" customFormat="false" ht="15" hidden="false" customHeight="false" outlineLevel="0" collapsed="false">
      <c r="A28" s="18"/>
      <c r="B28" s="14"/>
      <c r="C28" s="14"/>
    </row>
    <row r="29" customFormat="false" ht="15" hidden="false" customHeight="false" outlineLevel="0" collapsed="false">
      <c r="A29" s="18"/>
      <c r="B29" s="14"/>
      <c r="C29" s="14"/>
    </row>
    <row r="30" customFormat="false" ht="15" hidden="false" customHeight="false" outlineLevel="0" collapsed="false">
      <c r="A30" s="18"/>
      <c r="B30" s="14"/>
      <c r="C30" s="14"/>
    </row>
    <row r="31" customFormat="false" ht="15" hidden="false" customHeight="false" outlineLevel="0" collapsed="false">
      <c r="A31" s="18"/>
      <c r="B31" s="14"/>
      <c r="C31" s="14"/>
    </row>
    <row r="32" customFormat="false" ht="15" hidden="false" customHeight="false" outlineLevel="0" collapsed="false">
      <c r="A32" s="18"/>
      <c r="B32" s="14"/>
      <c r="C32" s="14"/>
    </row>
    <row r="33" customFormat="false" ht="15" hidden="false" customHeight="false" outlineLevel="0" collapsed="false">
      <c r="A33" s="18"/>
      <c r="B33" s="14"/>
      <c r="C33" s="14"/>
    </row>
    <row r="34" customFormat="false" ht="15" hidden="false" customHeight="false" outlineLevel="0" collapsed="false">
      <c r="A34" s="18"/>
      <c r="B34" s="14"/>
      <c r="C34" s="14"/>
    </row>
    <row r="35" customFormat="false" ht="15" hidden="false" customHeight="false" outlineLevel="0" collapsed="false">
      <c r="A35" s="18"/>
      <c r="B35" s="14"/>
      <c r="C35" s="14"/>
    </row>
    <row r="36" customFormat="false" ht="15" hidden="false" customHeight="false" outlineLevel="0" collapsed="false">
      <c r="A36" s="18"/>
      <c r="B36" s="14"/>
      <c r="C36" s="14"/>
    </row>
    <row r="37" customFormat="false" ht="15" hidden="false" customHeight="false" outlineLevel="0" collapsed="false">
      <c r="A37" s="18"/>
      <c r="B37" s="14"/>
      <c r="C37" s="14"/>
    </row>
    <row r="38" customFormat="false" ht="15" hidden="false" customHeight="false" outlineLevel="0" collapsed="false">
      <c r="A38" s="18"/>
      <c r="B38" s="14"/>
      <c r="C38" s="14"/>
    </row>
    <row r="39" customFormat="false" ht="15" hidden="false" customHeight="false" outlineLevel="0" collapsed="false">
      <c r="A39" s="18"/>
      <c r="B39" s="14"/>
      <c r="C39" s="14"/>
    </row>
    <row r="40" customFormat="false" ht="15" hidden="false" customHeight="false" outlineLevel="0" collapsed="false">
      <c r="A40" s="18"/>
      <c r="B40" s="14"/>
      <c r="C40" s="14"/>
    </row>
    <row r="41" customFormat="false" ht="15" hidden="false" customHeight="false" outlineLevel="0" collapsed="false">
      <c r="A41" s="18"/>
      <c r="B41" s="14"/>
      <c r="C41" s="14"/>
    </row>
    <row r="42" customFormat="false" ht="15" hidden="false" customHeight="false" outlineLevel="0" collapsed="false">
      <c r="A42" s="18"/>
      <c r="B42" s="14"/>
      <c r="C42" s="14"/>
    </row>
    <row r="43" customFormat="false" ht="15" hidden="false" customHeight="false" outlineLevel="0" collapsed="false">
      <c r="A43" s="18"/>
      <c r="B43" s="14"/>
      <c r="C43" s="14"/>
    </row>
    <row r="44" customFormat="false" ht="15" hidden="false" customHeight="false" outlineLevel="0" collapsed="false">
      <c r="A44" s="18"/>
      <c r="B44" s="14"/>
      <c r="C44" s="14"/>
    </row>
    <row r="45" customFormat="false" ht="15" hidden="false" customHeight="false" outlineLevel="0" collapsed="false">
      <c r="A45" s="18"/>
      <c r="B45" s="14"/>
      <c r="C45" s="14"/>
    </row>
    <row r="46" customFormat="false" ht="15" hidden="false" customHeight="false" outlineLevel="0" collapsed="false">
      <c r="A46" s="18"/>
      <c r="B46" s="14"/>
      <c r="C46" s="14"/>
    </row>
    <row r="47" customFormat="false" ht="15" hidden="false" customHeight="false" outlineLevel="0" collapsed="false">
      <c r="A47" s="18"/>
      <c r="B47" s="14"/>
      <c r="C47" s="14"/>
    </row>
    <row r="48" customFormat="false" ht="15" hidden="false" customHeight="false" outlineLevel="0" collapsed="false">
      <c r="A48" s="18"/>
      <c r="B48" s="14"/>
      <c r="C48" s="14"/>
    </row>
    <row r="49" customFormat="false" ht="15" hidden="false" customHeight="false" outlineLevel="0" collapsed="false">
      <c r="A49" s="18"/>
      <c r="B49" s="14"/>
      <c r="C49" s="14"/>
    </row>
    <row r="50" customFormat="false" ht="15" hidden="false" customHeight="false" outlineLevel="0" collapsed="false">
      <c r="A50" s="18"/>
      <c r="B50" s="14"/>
      <c r="C50" s="14"/>
    </row>
    <row r="51" customFormat="false" ht="15" hidden="false" customHeight="false" outlineLevel="0" collapsed="false">
      <c r="A51" s="18"/>
      <c r="B51" s="14"/>
      <c r="C51" s="14"/>
    </row>
    <row r="52" customFormat="false" ht="15" hidden="false" customHeight="false" outlineLevel="0" collapsed="false">
      <c r="A52" s="18"/>
      <c r="B52" s="14"/>
      <c r="C52" s="14"/>
    </row>
    <row r="53" customFormat="false" ht="15" hidden="false" customHeight="false" outlineLevel="0" collapsed="false">
      <c r="A53" s="18"/>
      <c r="B53" s="14"/>
      <c r="C53" s="14"/>
    </row>
    <row r="54" customFormat="false" ht="15" hidden="false" customHeight="false" outlineLevel="0" collapsed="false">
      <c r="A54" s="18"/>
      <c r="B54" s="14"/>
      <c r="C54" s="14"/>
    </row>
    <row r="55" customFormat="false" ht="15" hidden="false" customHeight="false" outlineLevel="0" collapsed="false">
      <c r="A55" s="18"/>
      <c r="B55" s="14"/>
      <c r="C55" s="14"/>
    </row>
    <row r="56" customFormat="false" ht="15" hidden="false" customHeight="false" outlineLevel="0" collapsed="false">
      <c r="A56" s="18"/>
      <c r="B56" s="14"/>
      <c r="C56" s="14"/>
    </row>
    <row r="57" customFormat="false" ht="15" hidden="false" customHeight="false" outlineLevel="0" collapsed="false">
      <c r="A57" s="18"/>
      <c r="B57" s="14"/>
      <c r="C57" s="14"/>
    </row>
    <row r="58" customFormat="false" ht="15" hidden="false" customHeight="false" outlineLevel="0" collapsed="false">
      <c r="A58" s="18"/>
      <c r="B58" s="14"/>
      <c r="C58" s="14"/>
    </row>
    <row r="59" customFormat="false" ht="15" hidden="false" customHeight="false" outlineLevel="0" collapsed="false">
      <c r="A59" s="18"/>
      <c r="B59" s="14"/>
      <c r="C59" s="14"/>
    </row>
    <row r="60" customFormat="false" ht="15" hidden="false" customHeight="false" outlineLevel="0" collapsed="false">
      <c r="A60" s="18"/>
      <c r="B60" s="14"/>
      <c r="C60" s="14"/>
    </row>
    <row r="61" customFormat="false" ht="15" hidden="false" customHeight="false" outlineLevel="0" collapsed="false">
      <c r="A61" s="18"/>
      <c r="B61" s="14"/>
      <c r="C61" s="14"/>
    </row>
    <row r="62" customFormat="false" ht="15" hidden="false" customHeight="false" outlineLevel="0" collapsed="false">
      <c r="A62" s="18"/>
      <c r="B62" s="14"/>
      <c r="C62" s="14"/>
    </row>
    <row r="63" customFormat="false" ht="15" hidden="false" customHeight="false" outlineLevel="0" collapsed="false">
      <c r="A63" s="18"/>
      <c r="B63" s="14"/>
      <c r="C63" s="14"/>
    </row>
    <row r="64" customFormat="false" ht="15" hidden="false" customHeight="false" outlineLevel="0" collapsed="false">
      <c r="A64" s="18"/>
      <c r="B64" s="14"/>
      <c r="C64" s="14"/>
    </row>
    <row r="65" customFormat="false" ht="15" hidden="false" customHeight="false" outlineLevel="0" collapsed="false">
      <c r="A65" s="18"/>
      <c r="B65" s="14"/>
      <c r="C65" s="14"/>
    </row>
    <row r="66" customFormat="false" ht="15" hidden="false" customHeight="false" outlineLevel="0" collapsed="false">
      <c r="A66" s="18"/>
      <c r="B66" s="14"/>
      <c r="C66" s="14"/>
    </row>
    <row r="67" customFormat="false" ht="15" hidden="false" customHeight="false" outlineLevel="0" collapsed="false">
      <c r="A67" s="18"/>
      <c r="B67" s="14"/>
      <c r="C67" s="14"/>
    </row>
    <row r="68" customFormat="false" ht="15" hidden="false" customHeight="false" outlineLevel="0" collapsed="false">
      <c r="A68" s="18"/>
      <c r="B68" s="14"/>
      <c r="C68" s="14"/>
    </row>
    <row r="69" customFormat="false" ht="15" hidden="false" customHeight="false" outlineLevel="0" collapsed="false">
      <c r="A69" s="18"/>
      <c r="B69" s="14"/>
      <c r="C69" s="14"/>
    </row>
    <row r="70" customFormat="false" ht="15" hidden="false" customHeight="false" outlineLevel="0" collapsed="false">
      <c r="A70" s="18"/>
      <c r="B70" s="14"/>
      <c r="C70" s="14"/>
    </row>
    <row r="71" customFormat="false" ht="15" hidden="false" customHeight="false" outlineLevel="0" collapsed="false">
      <c r="A71" s="18"/>
      <c r="B71" s="14"/>
      <c r="C71" s="14"/>
    </row>
    <row r="72" customFormat="false" ht="15" hidden="false" customHeight="false" outlineLevel="0" collapsed="false">
      <c r="A72" s="18"/>
      <c r="B72" s="14"/>
      <c r="C72" s="14"/>
    </row>
    <row r="73" customFormat="false" ht="15" hidden="false" customHeight="false" outlineLevel="0" collapsed="false">
      <c r="A73" s="18"/>
      <c r="B73" s="14"/>
      <c r="C73" s="14"/>
    </row>
    <row r="74" customFormat="false" ht="15" hidden="false" customHeight="false" outlineLevel="0" collapsed="false">
      <c r="A74" s="18"/>
      <c r="B74" s="14"/>
      <c r="C74" s="14"/>
    </row>
    <row r="75" customFormat="false" ht="15" hidden="false" customHeight="false" outlineLevel="0" collapsed="false">
      <c r="A75" s="18"/>
      <c r="B75" s="14"/>
      <c r="C75" s="14"/>
    </row>
    <row r="76" customFormat="false" ht="15" hidden="false" customHeight="false" outlineLevel="0" collapsed="false">
      <c r="A76" s="18"/>
      <c r="B76" s="14"/>
      <c r="C76" s="14"/>
    </row>
    <row r="77" customFormat="false" ht="15" hidden="false" customHeight="false" outlineLevel="0" collapsed="false">
      <c r="A77" s="18"/>
      <c r="B77" s="14"/>
      <c r="C77" s="14"/>
    </row>
    <row r="78" customFormat="false" ht="15" hidden="false" customHeight="false" outlineLevel="0" collapsed="false">
      <c r="A78" s="18"/>
      <c r="B78" s="14"/>
      <c r="C78" s="14"/>
    </row>
    <row r="79" customFormat="false" ht="15" hidden="false" customHeight="false" outlineLevel="0" collapsed="false">
      <c r="A79" s="18"/>
      <c r="B79" s="14"/>
      <c r="C79" s="14"/>
    </row>
    <row r="80" customFormat="false" ht="15" hidden="false" customHeight="false" outlineLevel="0" collapsed="false">
      <c r="A80" s="18"/>
      <c r="B80" s="14"/>
      <c r="C80" s="14"/>
    </row>
    <row r="81" customFormat="false" ht="15" hidden="false" customHeight="false" outlineLevel="0" collapsed="false">
      <c r="A81" s="18"/>
      <c r="B81" s="14"/>
      <c r="C81" s="14"/>
    </row>
    <row r="82" customFormat="false" ht="15" hidden="false" customHeight="false" outlineLevel="0" collapsed="false">
      <c r="A82" s="18"/>
      <c r="B82" s="14"/>
      <c r="C82" s="14"/>
    </row>
    <row r="83" customFormat="false" ht="15" hidden="false" customHeight="false" outlineLevel="0" collapsed="false">
      <c r="A83" s="18"/>
      <c r="B83" s="14"/>
      <c r="C83" s="14"/>
    </row>
    <row r="84" customFormat="false" ht="15" hidden="false" customHeight="false" outlineLevel="0" collapsed="false">
      <c r="A84" s="18"/>
      <c r="B84" s="14"/>
      <c r="C84" s="14"/>
    </row>
    <row r="85" customFormat="false" ht="15" hidden="false" customHeight="false" outlineLevel="0" collapsed="false">
      <c r="A85" s="18"/>
      <c r="B85" s="14"/>
      <c r="C85" s="14"/>
    </row>
    <row r="86" customFormat="false" ht="15" hidden="false" customHeight="false" outlineLevel="0" collapsed="false">
      <c r="A86" s="18"/>
      <c r="B86" s="14"/>
      <c r="C86" s="14"/>
    </row>
    <row r="87" customFormat="false" ht="15" hidden="false" customHeight="false" outlineLevel="0" collapsed="false">
      <c r="A87" s="18"/>
      <c r="B87" s="14"/>
      <c r="C87" s="14"/>
    </row>
    <row r="88" customFormat="false" ht="15" hidden="false" customHeight="false" outlineLevel="0" collapsed="false">
      <c r="A88" s="18"/>
      <c r="B88" s="14"/>
      <c r="C88" s="14"/>
    </row>
    <row r="89" customFormat="false" ht="15" hidden="false" customHeight="false" outlineLevel="0" collapsed="false">
      <c r="A89" s="18"/>
      <c r="B89" s="14"/>
      <c r="C89" s="14"/>
    </row>
    <row r="90" customFormat="false" ht="15" hidden="false" customHeight="false" outlineLevel="0" collapsed="false">
      <c r="A90" s="18"/>
      <c r="B90" s="14"/>
      <c r="C90" s="14"/>
    </row>
    <row r="91" customFormat="false" ht="15" hidden="false" customHeight="false" outlineLevel="0" collapsed="false">
      <c r="A91" s="18"/>
      <c r="B91" s="14"/>
      <c r="C91" s="14"/>
    </row>
    <row r="92" customFormat="false" ht="15" hidden="false" customHeight="false" outlineLevel="0" collapsed="false">
      <c r="A92" s="18"/>
      <c r="B92" s="14"/>
      <c r="C92" s="14"/>
    </row>
    <row r="93" customFormat="false" ht="15" hidden="false" customHeight="false" outlineLevel="0" collapsed="false">
      <c r="A93" s="18"/>
      <c r="B93" s="14"/>
      <c r="C93" s="14"/>
    </row>
    <row r="94" customFormat="false" ht="15" hidden="false" customHeight="false" outlineLevel="0" collapsed="false">
      <c r="A94" s="18"/>
      <c r="B94" s="14"/>
      <c r="C94" s="14"/>
    </row>
    <row r="95" customFormat="false" ht="15" hidden="false" customHeight="false" outlineLevel="0" collapsed="false">
      <c r="A95" s="18"/>
      <c r="B95" s="14"/>
      <c r="C95" s="14"/>
    </row>
    <row r="96" customFormat="false" ht="15" hidden="false" customHeight="false" outlineLevel="0" collapsed="false">
      <c r="A96" s="18"/>
      <c r="B96" s="14"/>
      <c r="C96" s="14"/>
    </row>
    <row r="97" customFormat="false" ht="15" hidden="false" customHeight="false" outlineLevel="0" collapsed="false">
      <c r="A97" s="18"/>
      <c r="B97" s="14"/>
      <c r="C97" s="14"/>
    </row>
    <row r="98" customFormat="false" ht="15" hidden="false" customHeight="false" outlineLevel="0" collapsed="false">
      <c r="A98" s="18"/>
      <c r="B98" s="14"/>
      <c r="C98" s="14"/>
    </row>
    <row r="99" customFormat="false" ht="15" hidden="false" customHeight="false" outlineLevel="0" collapsed="false">
      <c r="A99" s="18"/>
      <c r="B99" s="14"/>
      <c r="C99" s="14"/>
    </row>
    <row r="100" customFormat="false" ht="15" hidden="false" customHeight="false" outlineLevel="0" collapsed="false">
      <c r="A100" s="18"/>
      <c r="B100" s="14"/>
      <c r="C100" s="14"/>
    </row>
    <row r="101" customFormat="false" ht="15" hidden="false" customHeight="false" outlineLevel="0" collapsed="false">
      <c r="A101" s="18"/>
      <c r="B101" s="14"/>
      <c r="C101" s="14"/>
    </row>
    <row r="102" customFormat="false" ht="15" hidden="false" customHeight="false" outlineLevel="0" collapsed="false">
      <c r="A102" s="18"/>
      <c r="B102" s="14"/>
      <c r="C102" s="14"/>
    </row>
    <row r="103" customFormat="false" ht="15" hidden="false" customHeight="false" outlineLevel="0" collapsed="false">
      <c r="A103" s="18"/>
      <c r="B103" s="14"/>
      <c r="C103" s="14"/>
    </row>
    <row r="104" customFormat="false" ht="15" hidden="false" customHeight="false" outlineLevel="0" collapsed="false">
      <c r="A104" s="18"/>
      <c r="B104" s="14"/>
      <c r="C104" s="14"/>
    </row>
    <row r="105" customFormat="false" ht="15" hidden="false" customHeight="false" outlineLevel="0" collapsed="false">
      <c r="A105" s="18"/>
      <c r="B105" s="14"/>
      <c r="C105" s="14"/>
    </row>
    <row r="106" customFormat="false" ht="15" hidden="false" customHeight="false" outlineLevel="0" collapsed="false">
      <c r="A106" s="18"/>
      <c r="B106" s="14"/>
      <c r="C106" s="14"/>
    </row>
    <row r="107" customFormat="false" ht="15" hidden="false" customHeight="false" outlineLevel="0" collapsed="false">
      <c r="A107" s="18"/>
      <c r="B107" s="14"/>
      <c r="C107" s="14"/>
    </row>
    <row r="108" customFormat="false" ht="15" hidden="false" customHeight="false" outlineLevel="0" collapsed="false">
      <c r="A108" s="18"/>
      <c r="B108" s="14"/>
      <c r="C108" s="14"/>
    </row>
    <row r="109" customFormat="false" ht="15" hidden="false" customHeight="false" outlineLevel="0" collapsed="false">
      <c r="A109" s="18"/>
      <c r="B109" s="14"/>
      <c r="C109" s="14"/>
    </row>
    <row r="110" customFormat="false" ht="15" hidden="false" customHeight="false" outlineLevel="0" collapsed="false">
      <c r="A110" s="18"/>
      <c r="B110" s="14"/>
      <c r="C110" s="14"/>
    </row>
    <row r="111" customFormat="false" ht="15" hidden="false" customHeight="false" outlineLevel="0" collapsed="false">
      <c r="A111" s="18"/>
      <c r="B111" s="14"/>
      <c r="C111" s="14"/>
    </row>
    <row r="112" customFormat="false" ht="15" hidden="false" customHeight="false" outlineLevel="0" collapsed="false">
      <c r="A112" s="18"/>
      <c r="B112" s="14"/>
      <c r="C112" s="14"/>
    </row>
    <row r="113" customFormat="false" ht="15" hidden="false" customHeight="false" outlineLevel="0" collapsed="false">
      <c r="A113" s="18"/>
      <c r="B113" s="14"/>
      <c r="C113" s="14"/>
    </row>
    <row r="114" customFormat="false" ht="15" hidden="false" customHeight="false" outlineLevel="0" collapsed="false">
      <c r="A114" s="18"/>
      <c r="B114" s="14"/>
      <c r="C114" s="14"/>
    </row>
    <row r="115" customFormat="false" ht="15" hidden="false" customHeight="false" outlineLevel="0" collapsed="false">
      <c r="A115" s="18"/>
      <c r="B115" s="14"/>
      <c r="C115" s="14"/>
    </row>
    <row r="116" customFormat="false" ht="15" hidden="false" customHeight="false" outlineLevel="0" collapsed="false">
      <c r="A116" s="18"/>
      <c r="B116" s="14"/>
      <c r="C116" s="14"/>
    </row>
    <row r="117" customFormat="false" ht="15" hidden="false" customHeight="false" outlineLevel="0" collapsed="false">
      <c r="A117" s="18"/>
      <c r="B117" s="14"/>
      <c r="C117" s="14"/>
    </row>
    <row r="118" customFormat="false" ht="15" hidden="false" customHeight="false" outlineLevel="0" collapsed="false">
      <c r="A118" s="18"/>
      <c r="B118" s="14"/>
      <c r="C118" s="14"/>
    </row>
    <row r="119" customFormat="false" ht="15" hidden="false" customHeight="false" outlineLevel="0" collapsed="false">
      <c r="A119" s="18"/>
      <c r="B119" s="14"/>
      <c r="C119" s="14"/>
    </row>
    <row r="120" customFormat="false" ht="15" hidden="false" customHeight="false" outlineLevel="0" collapsed="false">
      <c r="A120" s="18"/>
      <c r="B120" s="14"/>
      <c r="C120" s="14"/>
    </row>
    <row r="121" customFormat="false" ht="15" hidden="false" customHeight="false" outlineLevel="0" collapsed="false">
      <c r="A121" s="18"/>
      <c r="B121" s="14"/>
      <c r="C121" s="14"/>
    </row>
    <row r="122" customFormat="false" ht="15" hidden="false" customHeight="false" outlineLevel="0" collapsed="false">
      <c r="A122" s="18"/>
      <c r="B122" s="14"/>
      <c r="C122" s="14"/>
    </row>
    <row r="123" customFormat="false" ht="15" hidden="false" customHeight="false" outlineLevel="0" collapsed="false">
      <c r="A123" s="18"/>
      <c r="B123" s="14"/>
      <c r="C123" s="14"/>
    </row>
    <row r="124" customFormat="false" ht="15" hidden="false" customHeight="false" outlineLevel="0" collapsed="false">
      <c r="A124" s="18"/>
      <c r="B124" s="14"/>
      <c r="C124" s="14"/>
    </row>
    <row r="125" customFormat="false" ht="15" hidden="false" customHeight="false" outlineLevel="0" collapsed="false">
      <c r="A125" s="18"/>
      <c r="B125" s="14"/>
      <c r="C125" s="14"/>
    </row>
    <row r="126" customFormat="false" ht="15" hidden="false" customHeight="false" outlineLevel="0" collapsed="false">
      <c r="A126" s="18"/>
      <c r="B126" s="14"/>
      <c r="C126" s="14"/>
    </row>
    <row r="127" customFormat="false" ht="15" hidden="false" customHeight="false" outlineLevel="0" collapsed="false">
      <c r="A127" s="18"/>
      <c r="B127" s="14"/>
      <c r="C127" s="14"/>
    </row>
    <row r="128" customFormat="false" ht="15" hidden="false" customHeight="false" outlineLevel="0" collapsed="false">
      <c r="A128" s="18"/>
      <c r="B128" s="14"/>
      <c r="C128" s="14"/>
    </row>
    <row r="129" customFormat="false" ht="15" hidden="false" customHeight="false" outlineLevel="0" collapsed="false">
      <c r="A129" s="18"/>
      <c r="B129" s="14"/>
      <c r="C129" s="14"/>
    </row>
    <row r="130" customFormat="false" ht="15" hidden="false" customHeight="false" outlineLevel="0" collapsed="false">
      <c r="A130" s="18"/>
      <c r="B130" s="14"/>
      <c r="C130" s="14"/>
    </row>
    <row r="131" customFormat="false" ht="15" hidden="false" customHeight="false" outlineLevel="0" collapsed="false">
      <c r="A131" s="18"/>
      <c r="B131" s="14"/>
      <c r="C131" s="14"/>
    </row>
    <row r="132" customFormat="false" ht="15" hidden="false" customHeight="false" outlineLevel="0" collapsed="false">
      <c r="A132" s="18"/>
      <c r="B132" s="14"/>
      <c r="C132" s="14"/>
    </row>
    <row r="133" customFormat="false" ht="15" hidden="false" customHeight="false" outlineLevel="0" collapsed="false">
      <c r="A133" s="18"/>
      <c r="B133" s="14"/>
      <c r="C133" s="14"/>
    </row>
    <row r="134" customFormat="false" ht="15" hidden="false" customHeight="false" outlineLevel="0" collapsed="false">
      <c r="A134" s="18"/>
      <c r="B134" s="14"/>
      <c r="C134" s="14"/>
    </row>
    <row r="135" customFormat="false" ht="15" hidden="false" customHeight="false" outlineLevel="0" collapsed="false">
      <c r="A135" s="18"/>
      <c r="B135" s="14"/>
      <c r="C135" s="14"/>
    </row>
    <row r="136" customFormat="false" ht="15" hidden="false" customHeight="false" outlineLevel="0" collapsed="false">
      <c r="A136" s="18"/>
      <c r="B136" s="14"/>
      <c r="C136" s="14"/>
    </row>
    <row r="137" customFormat="false" ht="15" hidden="false" customHeight="false" outlineLevel="0" collapsed="false">
      <c r="A137" s="18"/>
      <c r="B137" s="14"/>
      <c r="C137" s="14"/>
    </row>
    <row r="138" customFormat="false" ht="15" hidden="false" customHeight="false" outlineLevel="0" collapsed="false">
      <c r="A138" s="18"/>
      <c r="B138" s="14"/>
      <c r="C138" s="14"/>
    </row>
    <row r="139" customFormat="false" ht="15" hidden="false" customHeight="false" outlineLevel="0" collapsed="false">
      <c r="A139" s="18"/>
      <c r="B139" s="14"/>
      <c r="C139" s="14"/>
    </row>
    <row r="140" customFormat="false" ht="15" hidden="false" customHeight="false" outlineLevel="0" collapsed="false">
      <c r="A140" s="18"/>
      <c r="B140" s="14"/>
      <c r="C140" s="14"/>
    </row>
    <row r="141" customFormat="false" ht="15" hidden="false" customHeight="false" outlineLevel="0" collapsed="false">
      <c r="A141" s="18"/>
      <c r="B141" s="14"/>
      <c r="C141" s="14"/>
    </row>
    <row r="142" customFormat="false" ht="15" hidden="false" customHeight="false" outlineLevel="0" collapsed="false">
      <c r="A142" s="18"/>
      <c r="B142" s="14"/>
      <c r="C142" s="14"/>
    </row>
    <row r="143" customFormat="false" ht="15" hidden="false" customHeight="false" outlineLevel="0" collapsed="false">
      <c r="A143" s="18"/>
      <c r="B143" s="14"/>
      <c r="C143" s="14"/>
    </row>
    <row r="144" customFormat="false" ht="15" hidden="false" customHeight="false" outlineLevel="0" collapsed="false">
      <c r="A144" s="18"/>
      <c r="B144" s="14"/>
      <c r="C144" s="14"/>
    </row>
    <row r="145" customFormat="false" ht="15" hidden="false" customHeight="false" outlineLevel="0" collapsed="false">
      <c r="A145" s="18"/>
      <c r="B145" s="14"/>
      <c r="C145" s="14"/>
    </row>
    <row r="146" customFormat="false" ht="15" hidden="false" customHeight="false" outlineLevel="0" collapsed="false">
      <c r="A146" s="18"/>
      <c r="B146" s="14"/>
      <c r="C146" s="14"/>
    </row>
    <row r="147" customFormat="false" ht="15" hidden="false" customHeight="false" outlineLevel="0" collapsed="false">
      <c r="A147" s="18"/>
      <c r="B147" s="14"/>
      <c r="C147" s="14"/>
    </row>
    <row r="148" customFormat="false" ht="15" hidden="false" customHeight="false" outlineLevel="0" collapsed="false">
      <c r="A148" s="18"/>
      <c r="B148" s="14"/>
      <c r="C148" s="14"/>
    </row>
    <row r="149" customFormat="false" ht="15" hidden="false" customHeight="false" outlineLevel="0" collapsed="false">
      <c r="A149" s="18"/>
      <c r="B149" s="14"/>
      <c r="C149" s="14"/>
    </row>
    <row r="150" customFormat="false" ht="15" hidden="false" customHeight="false" outlineLevel="0" collapsed="false">
      <c r="A150" s="18"/>
      <c r="B150" s="14"/>
      <c r="C150" s="14"/>
    </row>
    <row r="151" customFormat="false" ht="15" hidden="false" customHeight="false" outlineLevel="0" collapsed="false">
      <c r="A151" s="18"/>
      <c r="B151" s="14"/>
      <c r="C151" s="14"/>
    </row>
    <row r="152" customFormat="false" ht="15" hidden="false" customHeight="false" outlineLevel="0" collapsed="false">
      <c r="A152" s="18"/>
      <c r="B152" s="14"/>
      <c r="C152" s="14"/>
    </row>
    <row r="153" customFormat="false" ht="15" hidden="false" customHeight="false" outlineLevel="0" collapsed="false">
      <c r="A153" s="18"/>
      <c r="B153" s="14"/>
      <c r="C153" s="14"/>
    </row>
    <row r="154" customFormat="false" ht="15" hidden="false" customHeight="false" outlineLevel="0" collapsed="false">
      <c r="A154" s="18"/>
      <c r="B154" s="14"/>
      <c r="C154" s="14"/>
    </row>
    <row r="155" customFormat="false" ht="15" hidden="false" customHeight="false" outlineLevel="0" collapsed="false">
      <c r="A155" s="18"/>
      <c r="B155" s="14"/>
      <c r="C155" s="14"/>
    </row>
    <row r="156" customFormat="false" ht="15" hidden="false" customHeight="false" outlineLevel="0" collapsed="false">
      <c r="A156" s="18"/>
      <c r="B156" s="14"/>
      <c r="C156" s="14"/>
    </row>
    <row r="157" customFormat="false" ht="15" hidden="false" customHeight="false" outlineLevel="0" collapsed="false">
      <c r="A157" s="18"/>
      <c r="B157" s="14"/>
      <c r="C157" s="14"/>
    </row>
    <row r="158" customFormat="false" ht="15" hidden="false" customHeight="false" outlineLevel="0" collapsed="false">
      <c r="A158" s="18"/>
      <c r="B158" s="14"/>
      <c r="C158" s="14"/>
    </row>
    <row r="159" customFormat="false" ht="15" hidden="false" customHeight="false" outlineLevel="0" collapsed="false">
      <c r="A159" s="18"/>
      <c r="B159" s="14"/>
      <c r="C159" s="14"/>
    </row>
    <row r="160" customFormat="false" ht="15" hidden="false" customHeight="false" outlineLevel="0" collapsed="false">
      <c r="A160" s="18"/>
      <c r="B160" s="14"/>
      <c r="C160" s="14"/>
    </row>
    <row r="161" customFormat="false" ht="15" hidden="false" customHeight="false" outlineLevel="0" collapsed="false">
      <c r="A161" s="18"/>
      <c r="B161" s="14"/>
      <c r="C161" s="14"/>
    </row>
    <row r="162" customFormat="false" ht="15" hidden="false" customHeight="false" outlineLevel="0" collapsed="false">
      <c r="A162" s="18"/>
      <c r="B162" s="14"/>
      <c r="C162" s="14"/>
    </row>
    <row r="163" customFormat="false" ht="15" hidden="false" customHeight="false" outlineLevel="0" collapsed="false">
      <c r="A163" s="18"/>
      <c r="B163" s="14"/>
      <c r="C163" s="14"/>
    </row>
    <row r="164" customFormat="false" ht="15" hidden="false" customHeight="false" outlineLevel="0" collapsed="false">
      <c r="A164" s="18"/>
      <c r="B164" s="14"/>
      <c r="C164" s="14"/>
    </row>
    <row r="165" customFormat="false" ht="15" hidden="false" customHeight="false" outlineLevel="0" collapsed="false">
      <c r="A165" s="18"/>
      <c r="B165" s="14"/>
      <c r="C165" s="14"/>
    </row>
    <row r="166" customFormat="false" ht="15" hidden="false" customHeight="false" outlineLevel="0" collapsed="false">
      <c r="A166" s="18"/>
      <c r="B166" s="14"/>
      <c r="C166" s="14"/>
    </row>
    <row r="167" customFormat="false" ht="15" hidden="false" customHeight="false" outlineLevel="0" collapsed="false">
      <c r="A167" s="18"/>
      <c r="B167" s="14"/>
      <c r="C167" s="14"/>
    </row>
    <row r="168" customFormat="false" ht="15" hidden="false" customHeight="false" outlineLevel="0" collapsed="false">
      <c r="A168" s="18"/>
      <c r="B168" s="14"/>
      <c r="C168" s="14"/>
    </row>
    <row r="169" customFormat="false" ht="15" hidden="false" customHeight="false" outlineLevel="0" collapsed="false">
      <c r="A169" s="18"/>
      <c r="B169" s="14"/>
      <c r="C169" s="14"/>
    </row>
    <row r="170" customFormat="false" ht="15" hidden="false" customHeight="false" outlineLevel="0" collapsed="false">
      <c r="A170" s="18"/>
      <c r="B170" s="14"/>
      <c r="C170" s="14"/>
    </row>
    <row r="171" customFormat="false" ht="15" hidden="false" customHeight="false" outlineLevel="0" collapsed="false">
      <c r="A171" s="18"/>
      <c r="B171" s="14"/>
      <c r="C171" s="14"/>
    </row>
    <row r="172" customFormat="false" ht="15" hidden="false" customHeight="false" outlineLevel="0" collapsed="false">
      <c r="A172" s="18"/>
      <c r="B172" s="14"/>
      <c r="C172" s="14"/>
    </row>
    <row r="173" customFormat="false" ht="15" hidden="false" customHeight="false" outlineLevel="0" collapsed="false">
      <c r="A173" s="18"/>
      <c r="B173" s="14"/>
      <c r="C173" s="14"/>
    </row>
    <row r="174" customFormat="false" ht="15" hidden="false" customHeight="false" outlineLevel="0" collapsed="false">
      <c r="A174" s="18"/>
      <c r="B174" s="14"/>
      <c r="C174" s="14"/>
    </row>
    <row r="175" customFormat="false" ht="15" hidden="false" customHeight="false" outlineLevel="0" collapsed="false">
      <c r="A175" s="18"/>
      <c r="B175" s="14"/>
      <c r="C175" s="14"/>
    </row>
    <row r="176" customFormat="false" ht="15" hidden="false" customHeight="false" outlineLevel="0" collapsed="false">
      <c r="A176" s="18"/>
      <c r="B176" s="14"/>
      <c r="C176" s="14"/>
    </row>
    <row r="177" customFormat="false" ht="15" hidden="false" customHeight="false" outlineLevel="0" collapsed="false">
      <c r="A177" s="18"/>
      <c r="B177" s="14"/>
      <c r="C177" s="14"/>
    </row>
    <row r="178" customFormat="false" ht="15" hidden="false" customHeight="false" outlineLevel="0" collapsed="false">
      <c r="A178" s="18"/>
      <c r="B178" s="14"/>
      <c r="C178" s="14"/>
    </row>
    <row r="179" customFormat="false" ht="15" hidden="false" customHeight="false" outlineLevel="0" collapsed="false">
      <c r="A179" s="18"/>
      <c r="B179" s="14"/>
      <c r="C179" s="14"/>
    </row>
    <row r="180" customFormat="false" ht="15" hidden="false" customHeight="false" outlineLevel="0" collapsed="false">
      <c r="A180" s="18"/>
      <c r="B180" s="14"/>
      <c r="C180" s="14"/>
    </row>
    <row r="181" customFormat="false" ht="15" hidden="false" customHeight="false" outlineLevel="0" collapsed="false">
      <c r="A181" s="18"/>
      <c r="B181" s="14"/>
      <c r="C181" s="14"/>
    </row>
    <row r="182" customFormat="false" ht="15" hidden="false" customHeight="false" outlineLevel="0" collapsed="false">
      <c r="A182" s="18"/>
      <c r="B182" s="14"/>
      <c r="C182" s="14"/>
    </row>
    <row r="183" customFormat="false" ht="15" hidden="false" customHeight="false" outlineLevel="0" collapsed="false">
      <c r="A183" s="18"/>
      <c r="B183" s="14"/>
      <c r="C183" s="14"/>
    </row>
    <row r="184" customFormat="false" ht="15" hidden="false" customHeight="false" outlineLevel="0" collapsed="false">
      <c r="A184" s="18"/>
      <c r="B184" s="14"/>
      <c r="C184" s="14"/>
    </row>
    <row r="185" customFormat="false" ht="15" hidden="false" customHeight="false" outlineLevel="0" collapsed="false">
      <c r="A185" s="18"/>
      <c r="B185" s="14"/>
      <c r="C185" s="14"/>
    </row>
    <row r="186" customFormat="false" ht="15" hidden="false" customHeight="false" outlineLevel="0" collapsed="false">
      <c r="A186" s="18"/>
      <c r="B186" s="14"/>
      <c r="C186" s="14"/>
    </row>
    <row r="187" customFormat="false" ht="15" hidden="false" customHeight="false" outlineLevel="0" collapsed="false">
      <c r="A187" s="18"/>
      <c r="B187" s="14"/>
      <c r="C187" s="14"/>
    </row>
    <row r="188" customFormat="false" ht="15" hidden="false" customHeight="false" outlineLevel="0" collapsed="false">
      <c r="A188" s="18"/>
      <c r="B188" s="14"/>
      <c r="C188" s="14"/>
    </row>
    <row r="189" customFormat="false" ht="15" hidden="false" customHeight="false" outlineLevel="0" collapsed="false">
      <c r="A189" s="18"/>
      <c r="B189" s="14"/>
      <c r="C189" s="14"/>
    </row>
    <row r="190" customFormat="false" ht="15" hidden="false" customHeight="false" outlineLevel="0" collapsed="false">
      <c r="A190" s="18"/>
      <c r="B190" s="14"/>
      <c r="C190" s="14"/>
    </row>
    <row r="191" customFormat="false" ht="15" hidden="false" customHeight="false" outlineLevel="0" collapsed="false">
      <c r="A191" s="18"/>
      <c r="B191" s="14"/>
      <c r="C191" s="14"/>
    </row>
    <row r="192" customFormat="false" ht="15" hidden="false" customHeight="false" outlineLevel="0" collapsed="false">
      <c r="A192" s="18"/>
      <c r="B192" s="14"/>
      <c r="C192" s="14"/>
    </row>
    <row r="193" customFormat="false" ht="15" hidden="false" customHeight="false" outlineLevel="0" collapsed="false">
      <c r="A193" s="18"/>
      <c r="B193" s="14"/>
      <c r="C193" s="14"/>
    </row>
    <row r="194" customFormat="false" ht="15" hidden="false" customHeight="false" outlineLevel="0" collapsed="false">
      <c r="A194" s="18"/>
      <c r="B194" s="14"/>
      <c r="C194" s="14"/>
    </row>
    <row r="195" customFormat="false" ht="15" hidden="false" customHeight="false" outlineLevel="0" collapsed="false">
      <c r="A195" s="18"/>
      <c r="B195" s="14"/>
      <c r="C195" s="14"/>
    </row>
    <row r="196" customFormat="false" ht="15" hidden="false" customHeight="false" outlineLevel="0" collapsed="false">
      <c r="A196" s="18"/>
      <c r="B196" s="14"/>
      <c r="C196" s="14"/>
    </row>
    <row r="197" customFormat="false" ht="15" hidden="false" customHeight="false" outlineLevel="0" collapsed="false">
      <c r="A197" s="18"/>
      <c r="B197" s="14"/>
      <c r="C197" s="14"/>
    </row>
    <row r="198" customFormat="false" ht="15" hidden="false" customHeight="false" outlineLevel="0" collapsed="false">
      <c r="A198" s="18"/>
      <c r="B198" s="14"/>
      <c r="C198" s="14"/>
    </row>
    <row r="199" customFormat="false" ht="15" hidden="false" customHeight="false" outlineLevel="0" collapsed="false">
      <c r="A199" s="18"/>
      <c r="B199" s="14"/>
      <c r="C199" s="14"/>
    </row>
    <row r="200" customFormat="false" ht="15" hidden="false" customHeight="false" outlineLevel="0" collapsed="false">
      <c r="A200" s="18"/>
      <c r="B200" s="14"/>
      <c r="C200" s="14"/>
    </row>
    <row r="201" customFormat="false" ht="15" hidden="false" customHeight="false" outlineLevel="0" collapsed="false">
      <c r="A201" s="18"/>
      <c r="B201" s="14"/>
      <c r="C201" s="14"/>
    </row>
    <row r="202" customFormat="false" ht="15" hidden="false" customHeight="false" outlineLevel="0" collapsed="false">
      <c r="A202" s="18"/>
      <c r="B202" s="14"/>
      <c r="C202" s="14"/>
    </row>
    <row r="203" customFormat="false" ht="15" hidden="false" customHeight="false" outlineLevel="0" collapsed="false">
      <c r="A203" s="18"/>
      <c r="B203" s="14"/>
      <c r="C203" s="14"/>
    </row>
  </sheetData>
  <mergeCells count="2">
    <mergeCell ref="A1:C1"/>
    <mergeCell ref="A2:C2"/>
  </mergeCells>
  <conditionalFormatting sqref="A4:A203">
    <cfRule type="expression" priority="2" aboveAverage="0" equalAverage="0" bottom="0" percent="0" rank="0" text="" dxfId="9">
      <formula>AND(A4&lt;&gt;"",COUNTIF($A$4:$A$203,A4)&gt;1)</formula>
    </cfRule>
  </conditionalFormatting>
  <conditionalFormatting sqref="B4:B203">
    <cfRule type="expression" priority="3" aboveAverage="0" equalAverage="0" bottom="0" percent="0" rank="0" text="" dxfId="9">
      <formula>AND(B4&lt;&gt;"",COUNTIF($B$4:$B$203,B4)&gt;1)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36" hidden="false" customHeight="true" outlineLevel="0" collapsed="false">
      <c r="A1" s="1" t="s">
        <v>116</v>
      </c>
      <c r="B1" s="1"/>
      <c r="C1" s="1"/>
    </row>
    <row r="2" customFormat="false" ht="15" hidden="false" customHeight="true" outlineLevel="0" collapsed="false">
      <c r="A2" s="7" t="s">
        <v>98</v>
      </c>
      <c r="B2" s="7"/>
      <c r="C2" s="7"/>
    </row>
    <row r="3" customFormat="false" ht="42" hidden="false" customHeight="true" outlineLevel="0" collapsed="false">
      <c r="A3" s="12" t="s">
        <v>93</v>
      </c>
      <c r="B3" s="12" t="s">
        <v>94</v>
      </c>
      <c r="C3" s="12" t="s">
        <v>117</v>
      </c>
      <c r="E3" s="34" t="s">
        <v>101</v>
      </c>
    </row>
    <row r="4" customFormat="false" ht="15" hidden="false" customHeight="false" outlineLevel="0" collapsed="false">
      <c r="A4" s="18" t="n">
        <v>20211</v>
      </c>
      <c r="B4" s="14" t="s">
        <v>52</v>
      </c>
      <c r="C4" s="36" t="n">
        <v>4.5</v>
      </c>
      <c r="E4" s="35" t="str">
        <f aca="false">IF(SUMPRODUCT((B4:B203&lt;&gt;"")/COUNTIF(B4:B203,B4:B203&amp;""))&lt;COUNTA(B4:B203),"⚠ يوجد اسم مكرر (مُظلل بالأحمر)","✓ لا يوجد تكرار")</f>
        <v>✓ لا يوجد تكرار</v>
      </c>
    </row>
    <row r="5" customFormat="false" ht="15" hidden="false" customHeight="false" outlineLevel="0" collapsed="false">
      <c r="A5" s="18" t="n">
        <v>20212</v>
      </c>
      <c r="B5" s="14" t="s">
        <v>118</v>
      </c>
      <c r="C5" s="36" t="n">
        <v>1.8</v>
      </c>
    </row>
    <row r="6" customFormat="false" ht="15" hidden="false" customHeight="false" outlineLevel="0" collapsed="false">
      <c r="A6" s="18" t="n">
        <v>20213</v>
      </c>
      <c r="B6" s="14" t="s">
        <v>56</v>
      </c>
      <c r="C6" s="36" t="n">
        <v>8.5</v>
      </c>
    </row>
    <row r="7" customFormat="false" ht="15" hidden="false" customHeight="false" outlineLevel="0" collapsed="false">
      <c r="A7" s="18" t="n">
        <v>20301</v>
      </c>
      <c r="B7" s="14" t="s">
        <v>119</v>
      </c>
      <c r="C7" s="36" t="n">
        <v>12</v>
      </c>
    </row>
    <row r="8" customFormat="false" ht="15" hidden="false" customHeight="false" outlineLevel="0" collapsed="false">
      <c r="A8" s="18" t="n">
        <v>448660</v>
      </c>
      <c r="B8" s="14" t="s">
        <v>60</v>
      </c>
      <c r="C8" s="36" t="n">
        <v>5</v>
      </c>
    </row>
    <row r="9" customFormat="false" ht="15" hidden="false" customHeight="false" outlineLevel="0" collapsed="false">
      <c r="A9" s="18" t="n">
        <v>20214</v>
      </c>
      <c r="B9" s="14" t="s">
        <v>120</v>
      </c>
      <c r="C9" s="36" t="n">
        <v>6.5</v>
      </c>
    </row>
    <row r="10" customFormat="false" ht="15" hidden="false" customHeight="false" outlineLevel="0" collapsed="false">
      <c r="A10" s="18" t="n">
        <v>20215</v>
      </c>
      <c r="B10" s="14" t="s">
        <v>121</v>
      </c>
      <c r="C10" s="36" t="n">
        <v>4</v>
      </c>
    </row>
    <row r="11" customFormat="false" ht="15" hidden="false" customHeight="false" outlineLevel="0" collapsed="false">
      <c r="A11" s="18" t="n">
        <v>20216</v>
      </c>
      <c r="B11" s="14" t="s">
        <v>122</v>
      </c>
      <c r="C11" s="36" t="n">
        <v>5.5</v>
      </c>
    </row>
    <row r="12" customFormat="false" ht="15" hidden="false" customHeight="false" outlineLevel="0" collapsed="false">
      <c r="A12" s="18" t="n">
        <v>20217</v>
      </c>
      <c r="B12" s="14" t="s">
        <v>123</v>
      </c>
      <c r="C12" s="36" t="n">
        <v>4.8</v>
      </c>
    </row>
    <row r="13" customFormat="false" ht="15" hidden="false" customHeight="false" outlineLevel="0" collapsed="false">
      <c r="A13" s="18" t="n">
        <v>20218</v>
      </c>
      <c r="B13" s="14" t="s">
        <v>69</v>
      </c>
      <c r="C13" s="36" t="n">
        <v>12.5</v>
      </c>
    </row>
    <row r="14" customFormat="false" ht="15" hidden="false" customHeight="false" outlineLevel="0" collapsed="false">
      <c r="A14" s="18" t="n">
        <v>20219</v>
      </c>
      <c r="B14" s="14" t="s">
        <v>124</v>
      </c>
      <c r="C14" s="36" t="n">
        <v>15</v>
      </c>
    </row>
    <row r="15" customFormat="false" ht="15" hidden="false" customHeight="false" outlineLevel="0" collapsed="false">
      <c r="A15" s="18" t="n">
        <v>20220</v>
      </c>
      <c r="B15" s="14" t="s">
        <v>125</v>
      </c>
      <c r="C15" s="36" t="n">
        <v>6</v>
      </c>
    </row>
    <row r="16" customFormat="false" ht="15" hidden="false" customHeight="false" outlineLevel="0" collapsed="false">
      <c r="A16" s="18" t="n">
        <v>20221</v>
      </c>
      <c r="B16" s="14" t="s">
        <v>72</v>
      </c>
      <c r="C16" s="36" t="n">
        <v>5</v>
      </c>
    </row>
    <row r="17" customFormat="false" ht="15" hidden="false" customHeight="false" outlineLevel="0" collapsed="false">
      <c r="A17" s="18" t="n">
        <v>20222</v>
      </c>
      <c r="B17" s="14" t="s">
        <v>126</v>
      </c>
      <c r="C17" s="36" t="n">
        <v>5.5</v>
      </c>
    </row>
    <row r="18" customFormat="false" ht="15" hidden="false" customHeight="false" outlineLevel="0" collapsed="false">
      <c r="A18" s="18" t="n">
        <v>20223</v>
      </c>
      <c r="B18" s="14" t="s">
        <v>127</v>
      </c>
      <c r="C18" s="36" t="n">
        <v>14</v>
      </c>
    </row>
    <row r="19" customFormat="false" ht="15" hidden="false" customHeight="false" outlineLevel="0" collapsed="false">
      <c r="A19" s="18" t="n">
        <v>20224</v>
      </c>
      <c r="B19" s="14" t="s">
        <v>75</v>
      </c>
      <c r="C19" s="36" t="n">
        <v>9</v>
      </c>
    </row>
    <row r="20" customFormat="false" ht="15" hidden="false" customHeight="false" outlineLevel="0" collapsed="false">
      <c r="A20" s="18" t="n">
        <v>20225</v>
      </c>
      <c r="B20" s="14" t="s">
        <v>66</v>
      </c>
      <c r="C20" s="36" t="n">
        <v>7.5</v>
      </c>
    </row>
    <row r="21" customFormat="false" ht="15" hidden="false" customHeight="false" outlineLevel="0" collapsed="false">
      <c r="A21" s="18" t="n">
        <v>20226</v>
      </c>
      <c r="B21" s="14" t="s">
        <v>128</v>
      </c>
      <c r="C21" s="36" t="n">
        <v>7.5</v>
      </c>
    </row>
    <row r="22" customFormat="false" ht="15" hidden="false" customHeight="false" outlineLevel="0" collapsed="false">
      <c r="A22" s="18" t="n">
        <v>20227</v>
      </c>
      <c r="B22" s="14" t="s">
        <v>63</v>
      </c>
      <c r="C22" s="36" t="n">
        <v>8</v>
      </c>
    </row>
    <row r="23" customFormat="false" ht="15" hidden="false" customHeight="false" outlineLevel="0" collapsed="false">
      <c r="A23" s="18" t="n">
        <v>20228</v>
      </c>
      <c r="B23" s="14" t="s">
        <v>129</v>
      </c>
      <c r="C23" s="36" t="n">
        <v>6.5</v>
      </c>
    </row>
    <row r="24" customFormat="false" ht="15" hidden="false" customHeight="false" outlineLevel="0" collapsed="false">
      <c r="A24" s="18"/>
      <c r="B24" s="14"/>
      <c r="C24" s="36"/>
    </row>
    <row r="25" customFormat="false" ht="15" hidden="false" customHeight="false" outlineLevel="0" collapsed="false">
      <c r="A25" s="18"/>
      <c r="B25" s="14"/>
      <c r="C25" s="36"/>
    </row>
    <row r="26" customFormat="false" ht="15" hidden="false" customHeight="false" outlineLevel="0" collapsed="false">
      <c r="A26" s="18"/>
      <c r="B26" s="14"/>
      <c r="C26" s="36"/>
    </row>
    <row r="27" customFormat="false" ht="15" hidden="false" customHeight="false" outlineLevel="0" collapsed="false">
      <c r="A27" s="18"/>
      <c r="B27" s="14"/>
      <c r="C27" s="36"/>
    </row>
    <row r="28" customFormat="false" ht="15" hidden="false" customHeight="false" outlineLevel="0" collapsed="false">
      <c r="A28" s="18"/>
      <c r="B28" s="14"/>
      <c r="C28" s="36"/>
    </row>
    <row r="29" customFormat="false" ht="15" hidden="false" customHeight="false" outlineLevel="0" collapsed="false">
      <c r="A29" s="18"/>
      <c r="B29" s="14"/>
      <c r="C29" s="36"/>
    </row>
    <row r="30" customFormat="false" ht="15" hidden="false" customHeight="false" outlineLevel="0" collapsed="false">
      <c r="A30" s="18"/>
      <c r="B30" s="14"/>
      <c r="C30" s="36"/>
    </row>
    <row r="31" customFormat="false" ht="15" hidden="false" customHeight="false" outlineLevel="0" collapsed="false">
      <c r="A31" s="18"/>
      <c r="B31" s="14"/>
      <c r="C31" s="36"/>
    </row>
    <row r="32" customFormat="false" ht="15" hidden="false" customHeight="false" outlineLevel="0" collapsed="false">
      <c r="A32" s="18"/>
      <c r="B32" s="14"/>
      <c r="C32" s="36"/>
    </row>
    <row r="33" customFormat="false" ht="15" hidden="false" customHeight="false" outlineLevel="0" collapsed="false">
      <c r="A33" s="18"/>
      <c r="B33" s="14"/>
      <c r="C33" s="36"/>
    </row>
    <row r="34" customFormat="false" ht="15" hidden="false" customHeight="false" outlineLevel="0" collapsed="false">
      <c r="A34" s="18"/>
      <c r="B34" s="14"/>
      <c r="C34" s="36"/>
    </row>
    <row r="35" customFormat="false" ht="15" hidden="false" customHeight="false" outlineLevel="0" collapsed="false">
      <c r="A35" s="18"/>
      <c r="B35" s="14"/>
      <c r="C35" s="36"/>
    </row>
    <row r="36" customFormat="false" ht="15" hidden="false" customHeight="false" outlineLevel="0" collapsed="false">
      <c r="A36" s="18"/>
      <c r="B36" s="14"/>
      <c r="C36" s="36"/>
    </row>
    <row r="37" customFormat="false" ht="15" hidden="false" customHeight="false" outlineLevel="0" collapsed="false">
      <c r="A37" s="18"/>
      <c r="B37" s="14"/>
      <c r="C37" s="36"/>
    </row>
    <row r="38" customFormat="false" ht="15" hidden="false" customHeight="false" outlineLevel="0" collapsed="false">
      <c r="A38" s="18"/>
      <c r="B38" s="14"/>
      <c r="C38" s="36"/>
    </row>
    <row r="39" customFormat="false" ht="15" hidden="false" customHeight="false" outlineLevel="0" collapsed="false">
      <c r="A39" s="18"/>
      <c r="B39" s="14"/>
      <c r="C39" s="36"/>
    </row>
    <row r="40" customFormat="false" ht="15" hidden="false" customHeight="false" outlineLevel="0" collapsed="false">
      <c r="A40" s="18"/>
      <c r="B40" s="14"/>
      <c r="C40" s="36"/>
    </row>
    <row r="41" customFormat="false" ht="15" hidden="false" customHeight="false" outlineLevel="0" collapsed="false">
      <c r="A41" s="18"/>
      <c r="B41" s="14"/>
      <c r="C41" s="36"/>
    </row>
    <row r="42" customFormat="false" ht="15" hidden="false" customHeight="false" outlineLevel="0" collapsed="false">
      <c r="A42" s="18"/>
      <c r="B42" s="14"/>
      <c r="C42" s="36"/>
    </row>
    <row r="43" customFormat="false" ht="15" hidden="false" customHeight="false" outlineLevel="0" collapsed="false">
      <c r="A43" s="18"/>
      <c r="B43" s="14"/>
      <c r="C43" s="36"/>
    </row>
    <row r="44" customFormat="false" ht="15" hidden="false" customHeight="false" outlineLevel="0" collapsed="false">
      <c r="A44" s="18"/>
      <c r="B44" s="14"/>
      <c r="C44" s="36"/>
    </row>
    <row r="45" customFormat="false" ht="15" hidden="false" customHeight="false" outlineLevel="0" collapsed="false">
      <c r="A45" s="18"/>
      <c r="B45" s="14"/>
      <c r="C45" s="36"/>
    </row>
    <row r="46" customFormat="false" ht="15" hidden="false" customHeight="false" outlineLevel="0" collapsed="false">
      <c r="A46" s="18"/>
      <c r="B46" s="14"/>
      <c r="C46" s="36"/>
    </row>
    <row r="47" customFormat="false" ht="15" hidden="false" customHeight="false" outlineLevel="0" collapsed="false">
      <c r="A47" s="18"/>
      <c r="B47" s="14"/>
      <c r="C47" s="36"/>
    </row>
    <row r="48" customFormat="false" ht="15" hidden="false" customHeight="false" outlineLevel="0" collapsed="false">
      <c r="A48" s="18"/>
      <c r="B48" s="14"/>
      <c r="C48" s="36"/>
    </row>
    <row r="49" customFormat="false" ht="15" hidden="false" customHeight="false" outlineLevel="0" collapsed="false">
      <c r="A49" s="18"/>
      <c r="B49" s="14"/>
      <c r="C49" s="36"/>
    </row>
    <row r="50" customFormat="false" ht="15" hidden="false" customHeight="false" outlineLevel="0" collapsed="false">
      <c r="A50" s="18"/>
      <c r="B50" s="14"/>
      <c r="C50" s="36"/>
    </row>
    <row r="51" customFormat="false" ht="15" hidden="false" customHeight="false" outlineLevel="0" collapsed="false">
      <c r="A51" s="18"/>
      <c r="B51" s="14"/>
      <c r="C51" s="36"/>
    </row>
    <row r="52" customFormat="false" ht="15" hidden="false" customHeight="false" outlineLevel="0" collapsed="false">
      <c r="A52" s="18"/>
      <c r="B52" s="14"/>
      <c r="C52" s="36"/>
    </row>
    <row r="53" customFormat="false" ht="15" hidden="false" customHeight="false" outlineLevel="0" collapsed="false">
      <c r="A53" s="18"/>
      <c r="B53" s="14"/>
      <c r="C53" s="36"/>
    </row>
    <row r="54" customFormat="false" ht="15" hidden="false" customHeight="false" outlineLevel="0" collapsed="false">
      <c r="A54" s="18"/>
      <c r="B54" s="14"/>
      <c r="C54" s="36"/>
    </row>
    <row r="55" customFormat="false" ht="15" hidden="false" customHeight="false" outlineLevel="0" collapsed="false">
      <c r="A55" s="18"/>
      <c r="B55" s="14"/>
      <c r="C55" s="36"/>
    </row>
    <row r="56" customFormat="false" ht="15" hidden="false" customHeight="false" outlineLevel="0" collapsed="false">
      <c r="A56" s="18"/>
      <c r="B56" s="14"/>
      <c r="C56" s="36"/>
    </row>
    <row r="57" customFormat="false" ht="15" hidden="false" customHeight="false" outlineLevel="0" collapsed="false">
      <c r="A57" s="18"/>
      <c r="B57" s="14"/>
      <c r="C57" s="36"/>
    </row>
    <row r="58" customFormat="false" ht="15" hidden="false" customHeight="false" outlineLevel="0" collapsed="false">
      <c r="A58" s="18"/>
      <c r="B58" s="14"/>
      <c r="C58" s="36"/>
    </row>
    <row r="59" customFormat="false" ht="15" hidden="false" customHeight="false" outlineLevel="0" collapsed="false">
      <c r="A59" s="18"/>
      <c r="B59" s="14"/>
      <c r="C59" s="36"/>
    </row>
    <row r="60" customFormat="false" ht="15" hidden="false" customHeight="false" outlineLevel="0" collapsed="false">
      <c r="A60" s="18"/>
      <c r="B60" s="14"/>
      <c r="C60" s="36"/>
    </row>
    <row r="61" customFormat="false" ht="15" hidden="false" customHeight="false" outlineLevel="0" collapsed="false">
      <c r="A61" s="18"/>
      <c r="B61" s="14"/>
      <c r="C61" s="36"/>
    </row>
    <row r="62" customFormat="false" ht="15" hidden="false" customHeight="false" outlineLevel="0" collapsed="false">
      <c r="A62" s="18"/>
      <c r="B62" s="14"/>
      <c r="C62" s="36"/>
    </row>
    <row r="63" customFormat="false" ht="15" hidden="false" customHeight="false" outlineLevel="0" collapsed="false">
      <c r="A63" s="18"/>
      <c r="B63" s="14"/>
      <c r="C63" s="36"/>
    </row>
    <row r="64" customFormat="false" ht="15" hidden="false" customHeight="false" outlineLevel="0" collapsed="false">
      <c r="A64" s="18"/>
      <c r="B64" s="14"/>
      <c r="C64" s="36"/>
    </row>
    <row r="65" customFormat="false" ht="15" hidden="false" customHeight="false" outlineLevel="0" collapsed="false">
      <c r="A65" s="18"/>
      <c r="B65" s="14"/>
      <c r="C65" s="36"/>
    </row>
    <row r="66" customFormat="false" ht="15" hidden="false" customHeight="false" outlineLevel="0" collapsed="false">
      <c r="A66" s="18"/>
      <c r="B66" s="14"/>
      <c r="C66" s="36"/>
    </row>
    <row r="67" customFormat="false" ht="15" hidden="false" customHeight="false" outlineLevel="0" collapsed="false">
      <c r="A67" s="18"/>
      <c r="B67" s="14"/>
      <c r="C67" s="36"/>
    </row>
    <row r="68" customFormat="false" ht="15" hidden="false" customHeight="false" outlineLevel="0" collapsed="false">
      <c r="A68" s="18"/>
      <c r="B68" s="14"/>
      <c r="C68" s="36"/>
    </row>
    <row r="69" customFormat="false" ht="15" hidden="false" customHeight="false" outlineLevel="0" collapsed="false">
      <c r="A69" s="18"/>
      <c r="B69" s="14"/>
      <c r="C69" s="36"/>
    </row>
    <row r="70" customFormat="false" ht="15" hidden="false" customHeight="false" outlineLevel="0" collapsed="false">
      <c r="A70" s="18"/>
      <c r="B70" s="14"/>
      <c r="C70" s="36"/>
    </row>
    <row r="71" customFormat="false" ht="15" hidden="false" customHeight="false" outlineLevel="0" collapsed="false">
      <c r="A71" s="18"/>
      <c r="B71" s="14"/>
      <c r="C71" s="36"/>
    </row>
    <row r="72" customFormat="false" ht="15" hidden="false" customHeight="false" outlineLevel="0" collapsed="false">
      <c r="A72" s="18"/>
      <c r="B72" s="14"/>
      <c r="C72" s="36"/>
    </row>
    <row r="73" customFormat="false" ht="15" hidden="false" customHeight="false" outlineLevel="0" collapsed="false">
      <c r="A73" s="18"/>
      <c r="B73" s="14"/>
      <c r="C73" s="36"/>
    </row>
    <row r="74" customFormat="false" ht="15" hidden="false" customHeight="false" outlineLevel="0" collapsed="false">
      <c r="A74" s="18"/>
      <c r="B74" s="14"/>
      <c r="C74" s="36"/>
    </row>
    <row r="75" customFormat="false" ht="15" hidden="false" customHeight="false" outlineLevel="0" collapsed="false">
      <c r="A75" s="18"/>
      <c r="B75" s="14"/>
      <c r="C75" s="36"/>
    </row>
    <row r="76" customFormat="false" ht="15" hidden="false" customHeight="false" outlineLevel="0" collapsed="false">
      <c r="A76" s="18"/>
      <c r="B76" s="14"/>
      <c r="C76" s="36"/>
    </row>
    <row r="77" customFormat="false" ht="15" hidden="false" customHeight="false" outlineLevel="0" collapsed="false">
      <c r="A77" s="18"/>
      <c r="B77" s="14"/>
      <c r="C77" s="36"/>
    </row>
    <row r="78" customFormat="false" ht="15" hidden="false" customHeight="false" outlineLevel="0" collapsed="false">
      <c r="A78" s="18"/>
      <c r="B78" s="14"/>
      <c r="C78" s="36"/>
    </row>
    <row r="79" customFormat="false" ht="15" hidden="false" customHeight="false" outlineLevel="0" collapsed="false">
      <c r="A79" s="18"/>
      <c r="B79" s="14"/>
      <c r="C79" s="36"/>
    </row>
    <row r="80" customFormat="false" ht="15" hidden="false" customHeight="false" outlineLevel="0" collapsed="false">
      <c r="A80" s="18"/>
      <c r="B80" s="14"/>
      <c r="C80" s="36"/>
    </row>
    <row r="81" customFormat="false" ht="15" hidden="false" customHeight="false" outlineLevel="0" collapsed="false">
      <c r="A81" s="18"/>
      <c r="B81" s="14"/>
      <c r="C81" s="36"/>
    </row>
    <row r="82" customFormat="false" ht="15" hidden="false" customHeight="false" outlineLevel="0" collapsed="false">
      <c r="A82" s="18"/>
      <c r="B82" s="14"/>
      <c r="C82" s="36"/>
    </row>
    <row r="83" customFormat="false" ht="15" hidden="false" customHeight="false" outlineLevel="0" collapsed="false">
      <c r="A83" s="18"/>
      <c r="B83" s="14"/>
      <c r="C83" s="36"/>
    </row>
    <row r="84" customFormat="false" ht="15" hidden="false" customHeight="false" outlineLevel="0" collapsed="false">
      <c r="A84" s="18"/>
      <c r="B84" s="14"/>
      <c r="C84" s="36"/>
    </row>
    <row r="85" customFormat="false" ht="15" hidden="false" customHeight="false" outlineLevel="0" collapsed="false">
      <c r="A85" s="18"/>
      <c r="B85" s="14"/>
      <c r="C85" s="36"/>
    </row>
    <row r="86" customFormat="false" ht="15" hidden="false" customHeight="false" outlineLevel="0" collapsed="false">
      <c r="A86" s="18"/>
      <c r="B86" s="14"/>
      <c r="C86" s="36"/>
    </row>
    <row r="87" customFormat="false" ht="15" hidden="false" customHeight="false" outlineLevel="0" collapsed="false">
      <c r="A87" s="18"/>
      <c r="B87" s="14"/>
      <c r="C87" s="36"/>
    </row>
    <row r="88" customFormat="false" ht="15" hidden="false" customHeight="false" outlineLevel="0" collapsed="false">
      <c r="A88" s="18"/>
      <c r="B88" s="14"/>
      <c r="C88" s="36"/>
    </row>
    <row r="89" customFormat="false" ht="15" hidden="false" customHeight="false" outlineLevel="0" collapsed="false">
      <c r="A89" s="18"/>
      <c r="B89" s="14"/>
      <c r="C89" s="36"/>
    </row>
    <row r="90" customFormat="false" ht="15" hidden="false" customHeight="false" outlineLevel="0" collapsed="false">
      <c r="A90" s="18"/>
      <c r="B90" s="14"/>
      <c r="C90" s="36"/>
    </row>
    <row r="91" customFormat="false" ht="15" hidden="false" customHeight="false" outlineLevel="0" collapsed="false">
      <c r="A91" s="18"/>
      <c r="B91" s="14"/>
      <c r="C91" s="36"/>
    </row>
    <row r="92" customFormat="false" ht="15" hidden="false" customHeight="false" outlineLevel="0" collapsed="false">
      <c r="A92" s="18"/>
      <c r="B92" s="14"/>
      <c r="C92" s="36"/>
    </row>
    <row r="93" customFormat="false" ht="15" hidden="false" customHeight="false" outlineLevel="0" collapsed="false">
      <c r="A93" s="18"/>
      <c r="B93" s="14"/>
      <c r="C93" s="36"/>
    </row>
    <row r="94" customFormat="false" ht="15" hidden="false" customHeight="false" outlineLevel="0" collapsed="false">
      <c r="A94" s="18"/>
      <c r="B94" s="14"/>
      <c r="C94" s="36"/>
    </row>
    <row r="95" customFormat="false" ht="15" hidden="false" customHeight="false" outlineLevel="0" collapsed="false">
      <c r="A95" s="18"/>
      <c r="B95" s="14"/>
      <c r="C95" s="36"/>
    </row>
    <row r="96" customFormat="false" ht="15" hidden="false" customHeight="false" outlineLevel="0" collapsed="false">
      <c r="A96" s="18"/>
      <c r="B96" s="14"/>
      <c r="C96" s="36"/>
    </row>
    <row r="97" customFormat="false" ht="15" hidden="false" customHeight="false" outlineLevel="0" collapsed="false">
      <c r="A97" s="18"/>
      <c r="B97" s="14"/>
      <c r="C97" s="36"/>
    </row>
    <row r="98" customFormat="false" ht="15" hidden="false" customHeight="false" outlineLevel="0" collapsed="false">
      <c r="A98" s="18"/>
      <c r="B98" s="14"/>
      <c r="C98" s="36"/>
    </row>
    <row r="99" customFormat="false" ht="15" hidden="false" customHeight="false" outlineLevel="0" collapsed="false">
      <c r="A99" s="18"/>
      <c r="B99" s="14"/>
      <c r="C99" s="36"/>
    </row>
    <row r="100" customFormat="false" ht="15" hidden="false" customHeight="false" outlineLevel="0" collapsed="false">
      <c r="A100" s="18"/>
      <c r="B100" s="14"/>
      <c r="C100" s="36"/>
    </row>
    <row r="101" customFormat="false" ht="15" hidden="false" customHeight="false" outlineLevel="0" collapsed="false">
      <c r="A101" s="18"/>
      <c r="B101" s="14"/>
      <c r="C101" s="36"/>
    </row>
    <row r="102" customFormat="false" ht="15" hidden="false" customHeight="false" outlineLevel="0" collapsed="false">
      <c r="A102" s="18"/>
      <c r="B102" s="14"/>
      <c r="C102" s="36"/>
    </row>
    <row r="103" customFormat="false" ht="15" hidden="false" customHeight="false" outlineLevel="0" collapsed="false">
      <c r="A103" s="18"/>
      <c r="B103" s="14"/>
      <c r="C103" s="36"/>
    </row>
    <row r="104" customFormat="false" ht="15" hidden="false" customHeight="false" outlineLevel="0" collapsed="false">
      <c r="A104" s="18"/>
      <c r="B104" s="14"/>
      <c r="C104" s="36"/>
    </row>
    <row r="105" customFormat="false" ht="15" hidden="false" customHeight="false" outlineLevel="0" collapsed="false">
      <c r="A105" s="18"/>
      <c r="B105" s="14"/>
      <c r="C105" s="36"/>
    </row>
    <row r="106" customFormat="false" ht="15" hidden="false" customHeight="false" outlineLevel="0" collapsed="false">
      <c r="A106" s="18"/>
      <c r="B106" s="14"/>
      <c r="C106" s="36"/>
    </row>
    <row r="107" customFormat="false" ht="15" hidden="false" customHeight="false" outlineLevel="0" collapsed="false">
      <c r="A107" s="18"/>
      <c r="B107" s="14"/>
      <c r="C107" s="36"/>
    </row>
    <row r="108" customFormat="false" ht="15" hidden="false" customHeight="false" outlineLevel="0" collapsed="false">
      <c r="A108" s="18"/>
      <c r="B108" s="14"/>
      <c r="C108" s="36"/>
    </row>
    <row r="109" customFormat="false" ht="15" hidden="false" customHeight="false" outlineLevel="0" collapsed="false">
      <c r="A109" s="18"/>
      <c r="B109" s="14"/>
      <c r="C109" s="36"/>
    </row>
    <row r="110" customFormat="false" ht="15" hidden="false" customHeight="false" outlineLevel="0" collapsed="false">
      <c r="A110" s="18"/>
      <c r="B110" s="14"/>
      <c r="C110" s="36"/>
    </row>
    <row r="111" customFormat="false" ht="15" hidden="false" customHeight="false" outlineLevel="0" collapsed="false">
      <c r="A111" s="18"/>
      <c r="B111" s="14"/>
      <c r="C111" s="36"/>
    </row>
    <row r="112" customFormat="false" ht="15" hidden="false" customHeight="false" outlineLevel="0" collapsed="false">
      <c r="A112" s="18"/>
      <c r="B112" s="14"/>
      <c r="C112" s="36"/>
    </row>
    <row r="113" customFormat="false" ht="15" hidden="false" customHeight="false" outlineLevel="0" collapsed="false">
      <c r="A113" s="18"/>
      <c r="B113" s="14"/>
      <c r="C113" s="36"/>
    </row>
    <row r="114" customFormat="false" ht="15" hidden="false" customHeight="false" outlineLevel="0" collapsed="false">
      <c r="A114" s="18"/>
      <c r="B114" s="14"/>
      <c r="C114" s="36"/>
    </row>
    <row r="115" customFormat="false" ht="15" hidden="false" customHeight="false" outlineLevel="0" collapsed="false">
      <c r="A115" s="18"/>
      <c r="B115" s="14"/>
      <c r="C115" s="36"/>
    </row>
    <row r="116" customFormat="false" ht="15" hidden="false" customHeight="false" outlineLevel="0" collapsed="false">
      <c r="A116" s="18"/>
      <c r="B116" s="14"/>
      <c r="C116" s="36"/>
    </row>
    <row r="117" customFormat="false" ht="15" hidden="false" customHeight="false" outlineLevel="0" collapsed="false">
      <c r="A117" s="18"/>
      <c r="B117" s="14"/>
      <c r="C117" s="36"/>
    </row>
    <row r="118" customFormat="false" ht="15" hidden="false" customHeight="false" outlineLevel="0" collapsed="false">
      <c r="A118" s="18"/>
      <c r="B118" s="14"/>
      <c r="C118" s="36"/>
    </row>
    <row r="119" customFormat="false" ht="15" hidden="false" customHeight="false" outlineLevel="0" collapsed="false">
      <c r="A119" s="18"/>
      <c r="B119" s="14"/>
      <c r="C119" s="36"/>
    </row>
    <row r="120" customFormat="false" ht="15" hidden="false" customHeight="false" outlineLevel="0" collapsed="false">
      <c r="A120" s="18"/>
      <c r="B120" s="14"/>
      <c r="C120" s="36"/>
    </row>
    <row r="121" customFormat="false" ht="15" hidden="false" customHeight="false" outlineLevel="0" collapsed="false">
      <c r="A121" s="18"/>
      <c r="B121" s="14"/>
      <c r="C121" s="36"/>
    </row>
    <row r="122" customFormat="false" ht="15" hidden="false" customHeight="false" outlineLevel="0" collapsed="false">
      <c r="A122" s="18"/>
      <c r="B122" s="14"/>
      <c r="C122" s="36"/>
    </row>
    <row r="123" customFormat="false" ht="15" hidden="false" customHeight="false" outlineLevel="0" collapsed="false">
      <c r="A123" s="18"/>
      <c r="B123" s="14"/>
      <c r="C123" s="36"/>
    </row>
    <row r="124" customFormat="false" ht="15" hidden="false" customHeight="false" outlineLevel="0" collapsed="false">
      <c r="A124" s="18"/>
      <c r="B124" s="14"/>
      <c r="C124" s="36"/>
    </row>
    <row r="125" customFormat="false" ht="15" hidden="false" customHeight="false" outlineLevel="0" collapsed="false">
      <c r="A125" s="18"/>
      <c r="B125" s="14"/>
      <c r="C125" s="36"/>
    </row>
    <row r="126" customFormat="false" ht="15" hidden="false" customHeight="false" outlineLevel="0" collapsed="false">
      <c r="A126" s="18"/>
      <c r="B126" s="14"/>
      <c r="C126" s="36"/>
    </row>
    <row r="127" customFormat="false" ht="15" hidden="false" customHeight="false" outlineLevel="0" collapsed="false">
      <c r="A127" s="18"/>
      <c r="B127" s="14"/>
      <c r="C127" s="36"/>
    </row>
    <row r="128" customFormat="false" ht="15" hidden="false" customHeight="false" outlineLevel="0" collapsed="false">
      <c r="A128" s="18"/>
      <c r="B128" s="14"/>
      <c r="C128" s="36"/>
    </row>
    <row r="129" customFormat="false" ht="15" hidden="false" customHeight="false" outlineLevel="0" collapsed="false">
      <c r="A129" s="18"/>
      <c r="B129" s="14"/>
      <c r="C129" s="36"/>
    </row>
    <row r="130" customFormat="false" ht="15" hidden="false" customHeight="false" outlineLevel="0" collapsed="false">
      <c r="A130" s="18"/>
      <c r="B130" s="14"/>
      <c r="C130" s="36"/>
    </row>
    <row r="131" customFormat="false" ht="15" hidden="false" customHeight="false" outlineLevel="0" collapsed="false">
      <c r="A131" s="18"/>
      <c r="B131" s="14"/>
      <c r="C131" s="36"/>
    </row>
    <row r="132" customFormat="false" ht="15" hidden="false" customHeight="false" outlineLevel="0" collapsed="false">
      <c r="A132" s="18"/>
      <c r="B132" s="14"/>
      <c r="C132" s="36"/>
    </row>
    <row r="133" customFormat="false" ht="15" hidden="false" customHeight="false" outlineLevel="0" collapsed="false">
      <c r="A133" s="18"/>
      <c r="B133" s="14"/>
      <c r="C133" s="36"/>
    </row>
    <row r="134" customFormat="false" ht="15" hidden="false" customHeight="false" outlineLevel="0" collapsed="false">
      <c r="A134" s="18"/>
      <c r="B134" s="14"/>
      <c r="C134" s="36"/>
    </row>
    <row r="135" customFormat="false" ht="15" hidden="false" customHeight="false" outlineLevel="0" collapsed="false">
      <c r="A135" s="18"/>
      <c r="B135" s="14"/>
      <c r="C135" s="36"/>
    </row>
    <row r="136" customFormat="false" ht="15" hidden="false" customHeight="false" outlineLevel="0" collapsed="false">
      <c r="A136" s="18"/>
      <c r="B136" s="14"/>
      <c r="C136" s="36"/>
    </row>
    <row r="137" customFormat="false" ht="15" hidden="false" customHeight="false" outlineLevel="0" collapsed="false">
      <c r="A137" s="18"/>
      <c r="B137" s="14"/>
      <c r="C137" s="36"/>
    </row>
    <row r="138" customFormat="false" ht="15" hidden="false" customHeight="false" outlineLevel="0" collapsed="false">
      <c r="A138" s="18"/>
      <c r="B138" s="14"/>
      <c r="C138" s="36"/>
    </row>
    <row r="139" customFormat="false" ht="15" hidden="false" customHeight="false" outlineLevel="0" collapsed="false">
      <c r="A139" s="18"/>
      <c r="B139" s="14"/>
      <c r="C139" s="36"/>
    </row>
    <row r="140" customFormat="false" ht="15" hidden="false" customHeight="false" outlineLevel="0" collapsed="false">
      <c r="A140" s="18"/>
      <c r="B140" s="14"/>
      <c r="C140" s="36"/>
    </row>
    <row r="141" customFormat="false" ht="15" hidden="false" customHeight="false" outlineLevel="0" collapsed="false">
      <c r="A141" s="18"/>
      <c r="B141" s="14"/>
      <c r="C141" s="36"/>
    </row>
    <row r="142" customFormat="false" ht="15" hidden="false" customHeight="false" outlineLevel="0" collapsed="false">
      <c r="A142" s="18"/>
      <c r="B142" s="14"/>
      <c r="C142" s="36"/>
    </row>
    <row r="143" customFormat="false" ht="15" hidden="false" customHeight="false" outlineLevel="0" collapsed="false">
      <c r="A143" s="18"/>
      <c r="B143" s="14"/>
      <c r="C143" s="36"/>
    </row>
    <row r="144" customFormat="false" ht="15" hidden="false" customHeight="false" outlineLevel="0" collapsed="false">
      <c r="A144" s="18"/>
      <c r="B144" s="14"/>
      <c r="C144" s="36"/>
    </row>
    <row r="145" customFormat="false" ht="15" hidden="false" customHeight="false" outlineLevel="0" collapsed="false">
      <c r="A145" s="18"/>
      <c r="B145" s="14"/>
      <c r="C145" s="36"/>
    </row>
    <row r="146" customFormat="false" ht="15" hidden="false" customHeight="false" outlineLevel="0" collapsed="false">
      <c r="A146" s="18"/>
      <c r="B146" s="14"/>
      <c r="C146" s="36"/>
    </row>
    <row r="147" customFormat="false" ht="15" hidden="false" customHeight="false" outlineLevel="0" collapsed="false">
      <c r="A147" s="18"/>
      <c r="B147" s="14"/>
      <c r="C147" s="36"/>
    </row>
    <row r="148" customFormat="false" ht="15" hidden="false" customHeight="false" outlineLevel="0" collapsed="false">
      <c r="A148" s="18"/>
      <c r="B148" s="14"/>
      <c r="C148" s="36"/>
    </row>
    <row r="149" customFormat="false" ht="15" hidden="false" customHeight="false" outlineLevel="0" collapsed="false">
      <c r="A149" s="18"/>
      <c r="B149" s="14"/>
      <c r="C149" s="36"/>
    </row>
    <row r="150" customFormat="false" ht="15" hidden="false" customHeight="false" outlineLevel="0" collapsed="false">
      <c r="A150" s="18"/>
      <c r="B150" s="14"/>
      <c r="C150" s="36"/>
    </row>
    <row r="151" customFormat="false" ht="15" hidden="false" customHeight="false" outlineLevel="0" collapsed="false">
      <c r="A151" s="18"/>
      <c r="B151" s="14"/>
      <c r="C151" s="36"/>
    </row>
    <row r="152" customFormat="false" ht="15" hidden="false" customHeight="false" outlineLevel="0" collapsed="false">
      <c r="A152" s="18"/>
      <c r="B152" s="14"/>
      <c r="C152" s="36"/>
    </row>
    <row r="153" customFormat="false" ht="15" hidden="false" customHeight="false" outlineLevel="0" collapsed="false">
      <c r="A153" s="18"/>
      <c r="B153" s="14"/>
      <c r="C153" s="36"/>
    </row>
    <row r="154" customFormat="false" ht="15" hidden="false" customHeight="false" outlineLevel="0" collapsed="false">
      <c r="A154" s="18"/>
      <c r="B154" s="14"/>
      <c r="C154" s="36"/>
    </row>
    <row r="155" customFormat="false" ht="15" hidden="false" customHeight="false" outlineLevel="0" collapsed="false">
      <c r="A155" s="18"/>
      <c r="B155" s="14"/>
      <c r="C155" s="36"/>
    </row>
    <row r="156" customFormat="false" ht="15" hidden="false" customHeight="false" outlineLevel="0" collapsed="false">
      <c r="A156" s="18"/>
      <c r="B156" s="14"/>
      <c r="C156" s="36"/>
    </row>
    <row r="157" customFormat="false" ht="15" hidden="false" customHeight="false" outlineLevel="0" collapsed="false">
      <c r="A157" s="18"/>
      <c r="B157" s="14"/>
      <c r="C157" s="36"/>
    </row>
    <row r="158" customFormat="false" ht="15" hidden="false" customHeight="false" outlineLevel="0" collapsed="false">
      <c r="A158" s="18"/>
      <c r="B158" s="14"/>
      <c r="C158" s="36"/>
    </row>
    <row r="159" customFormat="false" ht="15" hidden="false" customHeight="false" outlineLevel="0" collapsed="false">
      <c r="A159" s="18"/>
      <c r="B159" s="14"/>
      <c r="C159" s="36"/>
    </row>
    <row r="160" customFormat="false" ht="15" hidden="false" customHeight="false" outlineLevel="0" collapsed="false">
      <c r="A160" s="18"/>
      <c r="B160" s="14"/>
      <c r="C160" s="36"/>
    </row>
    <row r="161" customFormat="false" ht="15" hidden="false" customHeight="false" outlineLevel="0" collapsed="false">
      <c r="A161" s="18"/>
      <c r="B161" s="14"/>
      <c r="C161" s="36"/>
    </row>
    <row r="162" customFormat="false" ht="15" hidden="false" customHeight="false" outlineLevel="0" collapsed="false">
      <c r="A162" s="18"/>
      <c r="B162" s="14"/>
      <c r="C162" s="36"/>
    </row>
    <row r="163" customFormat="false" ht="15" hidden="false" customHeight="false" outlineLevel="0" collapsed="false">
      <c r="A163" s="18"/>
      <c r="B163" s="14"/>
      <c r="C163" s="36"/>
    </row>
    <row r="164" customFormat="false" ht="15" hidden="false" customHeight="false" outlineLevel="0" collapsed="false">
      <c r="A164" s="18"/>
      <c r="B164" s="14"/>
      <c r="C164" s="36"/>
    </row>
    <row r="165" customFormat="false" ht="15" hidden="false" customHeight="false" outlineLevel="0" collapsed="false">
      <c r="A165" s="18"/>
      <c r="B165" s="14"/>
      <c r="C165" s="36"/>
    </row>
    <row r="166" customFormat="false" ht="15" hidden="false" customHeight="false" outlineLevel="0" collapsed="false">
      <c r="A166" s="18"/>
      <c r="B166" s="14"/>
      <c r="C166" s="36"/>
    </row>
    <row r="167" customFormat="false" ht="15" hidden="false" customHeight="false" outlineLevel="0" collapsed="false">
      <c r="A167" s="18"/>
      <c r="B167" s="14"/>
      <c r="C167" s="36"/>
    </row>
    <row r="168" customFormat="false" ht="15" hidden="false" customHeight="false" outlineLevel="0" collapsed="false">
      <c r="A168" s="18"/>
      <c r="B168" s="14"/>
      <c r="C168" s="36"/>
    </row>
    <row r="169" customFormat="false" ht="15" hidden="false" customHeight="false" outlineLevel="0" collapsed="false">
      <c r="A169" s="18"/>
      <c r="B169" s="14"/>
      <c r="C169" s="36"/>
    </row>
    <row r="170" customFormat="false" ht="15" hidden="false" customHeight="false" outlineLevel="0" collapsed="false">
      <c r="A170" s="18"/>
      <c r="B170" s="14"/>
      <c r="C170" s="36"/>
    </row>
    <row r="171" customFormat="false" ht="15" hidden="false" customHeight="false" outlineLevel="0" collapsed="false">
      <c r="A171" s="18"/>
      <c r="B171" s="14"/>
      <c r="C171" s="36"/>
    </row>
    <row r="172" customFormat="false" ht="15" hidden="false" customHeight="false" outlineLevel="0" collapsed="false">
      <c r="A172" s="18"/>
      <c r="B172" s="14"/>
      <c r="C172" s="36"/>
    </row>
    <row r="173" customFormat="false" ht="15" hidden="false" customHeight="false" outlineLevel="0" collapsed="false">
      <c r="A173" s="18"/>
      <c r="B173" s="14"/>
      <c r="C173" s="36"/>
    </row>
    <row r="174" customFormat="false" ht="15" hidden="false" customHeight="false" outlineLevel="0" collapsed="false">
      <c r="A174" s="18"/>
      <c r="B174" s="14"/>
      <c r="C174" s="36"/>
    </row>
    <row r="175" customFormat="false" ht="15" hidden="false" customHeight="false" outlineLevel="0" collapsed="false">
      <c r="A175" s="18"/>
      <c r="B175" s="14"/>
      <c r="C175" s="36"/>
    </row>
    <row r="176" customFormat="false" ht="15" hidden="false" customHeight="false" outlineLevel="0" collapsed="false">
      <c r="A176" s="18"/>
      <c r="B176" s="14"/>
      <c r="C176" s="36"/>
    </row>
    <row r="177" customFormat="false" ht="15" hidden="false" customHeight="false" outlineLevel="0" collapsed="false">
      <c r="A177" s="18"/>
      <c r="B177" s="14"/>
      <c r="C177" s="36"/>
    </row>
    <row r="178" customFormat="false" ht="15" hidden="false" customHeight="false" outlineLevel="0" collapsed="false">
      <c r="A178" s="18"/>
      <c r="B178" s="14"/>
      <c r="C178" s="36"/>
    </row>
    <row r="179" customFormat="false" ht="15" hidden="false" customHeight="false" outlineLevel="0" collapsed="false">
      <c r="A179" s="18"/>
      <c r="B179" s="14"/>
      <c r="C179" s="36"/>
    </row>
    <row r="180" customFormat="false" ht="15" hidden="false" customHeight="false" outlineLevel="0" collapsed="false">
      <c r="A180" s="18"/>
      <c r="B180" s="14"/>
      <c r="C180" s="36"/>
    </row>
    <row r="181" customFormat="false" ht="15" hidden="false" customHeight="false" outlineLevel="0" collapsed="false">
      <c r="A181" s="18"/>
      <c r="B181" s="14"/>
      <c r="C181" s="36"/>
    </row>
    <row r="182" customFormat="false" ht="15" hidden="false" customHeight="false" outlineLevel="0" collapsed="false">
      <c r="A182" s="18"/>
      <c r="B182" s="14"/>
      <c r="C182" s="36"/>
    </row>
    <row r="183" customFormat="false" ht="15" hidden="false" customHeight="false" outlineLevel="0" collapsed="false">
      <c r="A183" s="18"/>
      <c r="B183" s="14"/>
      <c r="C183" s="36"/>
    </row>
    <row r="184" customFormat="false" ht="15" hidden="false" customHeight="false" outlineLevel="0" collapsed="false">
      <c r="A184" s="18"/>
      <c r="B184" s="14"/>
      <c r="C184" s="36"/>
    </row>
    <row r="185" customFormat="false" ht="15" hidden="false" customHeight="false" outlineLevel="0" collapsed="false">
      <c r="A185" s="18"/>
      <c r="B185" s="14"/>
      <c r="C185" s="36"/>
    </row>
    <row r="186" customFormat="false" ht="15" hidden="false" customHeight="false" outlineLevel="0" collapsed="false">
      <c r="A186" s="18"/>
      <c r="B186" s="14"/>
      <c r="C186" s="36"/>
    </row>
    <row r="187" customFormat="false" ht="15" hidden="false" customHeight="false" outlineLevel="0" collapsed="false">
      <c r="A187" s="18"/>
      <c r="B187" s="14"/>
      <c r="C187" s="36"/>
    </row>
    <row r="188" customFormat="false" ht="15" hidden="false" customHeight="false" outlineLevel="0" collapsed="false">
      <c r="A188" s="18"/>
      <c r="B188" s="14"/>
      <c r="C188" s="36"/>
    </row>
    <row r="189" customFormat="false" ht="15" hidden="false" customHeight="false" outlineLevel="0" collapsed="false">
      <c r="A189" s="18"/>
      <c r="B189" s="14"/>
      <c r="C189" s="36"/>
    </row>
    <row r="190" customFormat="false" ht="15" hidden="false" customHeight="false" outlineLevel="0" collapsed="false">
      <c r="A190" s="18"/>
      <c r="B190" s="14"/>
      <c r="C190" s="36"/>
    </row>
    <row r="191" customFormat="false" ht="15" hidden="false" customHeight="false" outlineLevel="0" collapsed="false">
      <c r="A191" s="18"/>
      <c r="B191" s="14"/>
      <c r="C191" s="36"/>
    </row>
    <row r="192" customFormat="false" ht="15" hidden="false" customHeight="false" outlineLevel="0" collapsed="false">
      <c r="A192" s="18"/>
      <c r="B192" s="14"/>
      <c r="C192" s="36"/>
    </row>
    <row r="193" customFormat="false" ht="15" hidden="false" customHeight="false" outlineLevel="0" collapsed="false">
      <c r="A193" s="18"/>
      <c r="B193" s="14"/>
      <c r="C193" s="36"/>
    </row>
    <row r="194" customFormat="false" ht="15" hidden="false" customHeight="false" outlineLevel="0" collapsed="false">
      <c r="A194" s="18"/>
      <c r="B194" s="14"/>
      <c r="C194" s="36"/>
    </row>
    <row r="195" customFormat="false" ht="15" hidden="false" customHeight="false" outlineLevel="0" collapsed="false">
      <c r="A195" s="18"/>
      <c r="B195" s="14"/>
      <c r="C195" s="36"/>
    </row>
    <row r="196" customFormat="false" ht="15" hidden="false" customHeight="false" outlineLevel="0" collapsed="false">
      <c r="A196" s="18"/>
      <c r="B196" s="14"/>
      <c r="C196" s="36"/>
    </row>
    <row r="197" customFormat="false" ht="15" hidden="false" customHeight="false" outlineLevel="0" collapsed="false">
      <c r="A197" s="18"/>
      <c r="B197" s="14"/>
      <c r="C197" s="36"/>
    </row>
    <row r="198" customFormat="false" ht="15" hidden="false" customHeight="false" outlineLevel="0" collapsed="false">
      <c r="A198" s="18"/>
      <c r="B198" s="14"/>
      <c r="C198" s="36"/>
    </row>
    <row r="199" customFormat="false" ht="15" hidden="false" customHeight="false" outlineLevel="0" collapsed="false">
      <c r="A199" s="18"/>
      <c r="B199" s="14"/>
      <c r="C199" s="36"/>
    </row>
    <row r="200" customFormat="false" ht="15" hidden="false" customHeight="false" outlineLevel="0" collapsed="false">
      <c r="A200" s="18"/>
      <c r="B200" s="14"/>
      <c r="C200" s="36"/>
    </row>
    <row r="201" customFormat="false" ht="15" hidden="false" customHeight="false" outlineLevel="0" collapsed="false">
      <c r="A201" s="18"/>
      <c r="B201" s="14"/>
      <c r="C201" s="36"/>
    </row>
    <row r="202" customFormat="false" ht="15" hidden="false" customHeight="false" outlineLevel="0" collapsed="false">
      <c r="A202" s="18"/>
      <c r="B202" s="14"/>
      <c r="C202" s="36"/>
    </row>
    <row r="203" customFormat="false" ht="15" hidden="false" customHeight="false" outlineLevel="0" collapsed="false">
      <c r="A203" s="18"/>
      <c r="B203" s="14"/>
      <c r="C203" s="36"/>
    </row>
  </sheetData>
  <mergeCells count="2">
    <mergeCell ref="A1:C1"/>
    <mergeCell ref="A2:C2"/>
  </mergeCells>
  <conditionalFormatting sqref="A4:A203">
    <cfRule type="expression" priority="2" aboveAverage="0" equalAverage="0" bottom="0" percent="0" rank="0" text="" dxfId="9">
      <formula>AND(A4&lt;&gt;"",COUNTIF($A$4:$A$203,A4)&gt;1)</formula>
    </cfRule>
  </conditionalFormatting>
  <conditionalFormatting sqref="B4:B203">
    <cfRule type="expression" priority="3" aboveAverage="0" equalAverage="0" bottom="0" percent="0" rank="0" text="" dxfId="9">
      <formula>AND(B4&lt;&gt;"",COUNTIF($B$4:$B$203,B4)&gt;1)</formula>
    </cfRule>
  </conditionalFormatting>
  <dataValidations count="1">
    <dataValidation allowBlank="true" error="أدخل رقماً." errorStyle="stop" errorTitle="سعر غير صحيح" operator="greaterThanOrEqual" showDropDown="false" showErrorMessage="true" showInputMessage="true" sqref="C4:C20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58"/>
  </cols>
  <sheetData>
    <row r="1" customFormat="false" ht="36" hidden="false" customHeight="true" outlineLevel="0" collapsed="false">
      <c r="A1" s="1" t="s">
        <v>130</v>
      </c>
      <c r="B1" s="1"/>
      <c r="C1" s="1"/>
    </row>
    <row r="3" customFormat="false" ht="42" hidden="false" customHeight="true" outlineLevel="0" collapsed="false">
      <c r="A3" s="12" t="s">
        <v>131</v>
      </c>
      <c r="B3" s="12" t="s">
        <v>132</v>
      </c>
      <c r="C3" s="12" t="s">
        <v>133</v>
      </c>
    </row>
    <row r="4" customFormat="false" ht="15" hidden="false" customHeight="false" outlineLevel="0" collapsed="false">
      <c r="A4" s="37" t="s">
        <v>134</v>
      </c>
      <c r="B4" s="18" t="s">
        <v>135</v>
      </c>
      <c r="C4" s="4" t="s">
        <v>136</v>
      </c>
    </row>
    <row r="5" customFormat="false" ht="15" hidden="false" customHeight="false" outlineLevel="0" collapsed="false">
      <c r="A5" s="37" t="s">
        <v>137</v>
      </c>
      <c r="B5" s="38" t="n">
        <v>0.15</v>
      </c>
      <c r="C5" s="4" t="s">
        <v>138</v>
      </c>
    </row>
    <row r="6" customFormat="false" ht="15" hidden="false" customHeight="false" outlineLevel="0" collapsed="false">
      <c r="A6" s="37" t="s">
        <v>139</v>
      </c>
      <c r="B6" s="18" t="s">
        <v>140</v>
      </c>
      <c r="C6" s="4" t="s">
        <v>141</v>
      </c>
    </row>
  </sheetData>
  <mergeCells count="1">
    <mergeCell ref="A1:C1"/>
  </mergeCells>
  <dataValidations count="1">
    <dataValidation allowBlank="true" error="أدخل النسبة كنسبة مئوية، مثال: 15%" errorStyle="stop" errorTitle="نسبة غير صحيحة" operator="between" showDropDown="false" showErrorMessage="true" showInputMessage="true" sqref="B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2026-10-24T07:40:22Z</dcterms:created>
  <dc:creator>openpyxl</dc:creator>
  <dc:description/>
  <dc:language>en-US</dc:language>
  <cp:lastModifiedBy/>
  <dcterms:modified xsi:type="dcterms:W3CDTF">2026-10-24T07:40:23Z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