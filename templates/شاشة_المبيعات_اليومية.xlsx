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مبيعات اليومية" sheetId="1" state="visible" r:id="rId3"/>
    <sheet name="ملخص العملاء" sheetId="2" state="visible" r:id="rId4"/>
    <sheet name="دليل العملاء" sheetId="3" state="visible" r:id="rId5"/>
    <sheet name="دليل الأصناف" sheetId="4" state="visible" r:id="rId6"/>
  </sheets>
  <definedNames>
    <definedName function="false" hidden="false" localSheetId="0" name="_xlnm.Print_Area" vbProcedure="false">'المبيعات اليومية'!$A$1:$K$108</definedName>
    <definedName function="false" hidden="false" localSheetId="0" name="_xlnm.Print_Titles" vbProcedure="false">'المبيعات اليومية'!$7:$7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<sst xmlns="http://schemas.openxmlformats.org/spreadsheetml/2006/main" count="212" uniqueCount="90">
  <si>
    <t xml:space="preserve">شاشة إدخال المبيعات اليومية</t>
  </si>
  <si>
    <t xml:space="preserve">الإجمالي شامل الضريبة</t>
  </si>
  <si>
    <t xml:space="preserve">الإجمالي قبل الضريبة</t>
  </si>
  <si>
    <t xml:space="preserve">إجمالي الضريبة 15%</t>
  </si>
  <si>
    <t xml:space="preserve">عدد السطور</t>
  </si>
  <si>
    <t xml:space="preserve">سطور تحتاج مراجعة</t>
  </si>
  <si>
    <t xml:space="preserve">اكتب في الخلايا الصفراء فقط. يكفي كتابة أي جزء من الاسم (مثل: حراء) وسيظهر الاسم الكامل تلقائياً.</t>
  </si>
  <si>
    <t xml:space="preserve">العميل
(اكتب أي جزء من الاسم)</t>
  </si>
  <si>
    <t xml:space="preserve">اسم العميل
(تلقائي)</t>
  </si>
  <si>
    <t xml:space="preserve">الصنف
(اكتب أي جزء من الاسم)</t>
  </si>
  <si>
    <t xml:space="preserve">اسم الصنف
(تلقائي)</t>
  </si>
  <si>
    <t xml:space="preserve">الكمية</t>
  </si>
  <si>
    <t xml:space="preserve">السعر</t>
  </si>
  <si>
    <t xml:space="preserve">نوع السعر</t>
  </si>
  <si>
    <t xml:space="preserve">الإجمالي
قبل الضريبة</t>
  </si>
  <si>
    <t xml:space="preserve">الضريبة
15%</t>
  </si>
  <si>
    <t xml:space="preserve">الإجمالي
شامل الضريبة</t>
  </si>
  <si>
    <t xml:space="preserve">ملاحظات</t>
  </si>
  <si>
    <t xml:space="preserve">شركة التخصص الذهبي -الربوه</t>
  </si>
  <si>
    <t xml:space="preserve">بصل كبير</t>
  </si>
  <si>
    <t xml:space="preserve">غير شامل الضريبة</t>
  </si>
  <si>
    <t xml:space="preserve">توريد صباحي</t>
  </si>
  <si>
    <t xml:space="preserve">شركة التخصص الذهبي -حراء</t>
  </si>
  <si>
    <t xml:space="preserve">بطاطس كبير</t>
  </si>
  <si>
    <t xml:space="preserve">شامل الضريبة</t>
  </si>
  <si>
    <t xml:space="preserve">فرع حراء</t>
  </si>
  <si>
    <t xml:space="preserve">شركة التخصص الذهبي -الصفا</t>
  </si>
  <si>
    <t xml:space="preserve">بصل ابيض</t>
  </si>
  <si>
    <t xml:space="preserve">طلب خاص</t>
  </si>
  <si>
    <t xml:space="preserve">عبر الإقليم</t>
  </si>
  <si>
    <t xml:space="preserve">رمان</t>
  </si>
  <si>
    <t xml:space="preserve">آجل 30 يوم</t>
  </si>
  <si>
    <t xml:space="preserve">حقيبة الفواكه</t>
  </si>
  <si>
    <t xml:space="preserve">تفاح احمر</t>
  </si>
  <si>
    <t xml:space="preserve">طلب مميز</t>
  </si>
  <si>
    <t xml:space="preserve">فيض الكرم</t>
  </si>
  <si>
    <t xml:space="preserve">عنب ابيض</t>
  </si>
  <si>
    <t xml:space="preserve">كاش</t>
  </si>
  <si>
    <t xml:space="preserve">غصون الفاكهه</t>
  </si>
  <si>
    <t xml:space="preserve">برتقال عصير</t>
  </si>
  <si>
    <t xml:space="preserve">تسليم موقع</t>
  </si>
  <si>
    <t xml:space="preserve">نقاوه بس</t>
  </si>
  <si>
    <t xml:space="preserve">فراوله</t>
  </si>
  <si>
    <t xml:space="preserve">عميل جديد</t>
  </si>
  <si>
    <t xml:space="preserve">الإجمالي العام</t>
  </si>
  <si>
    <t xml:space="preserve">ملخص حسابات العملاء</t>
  </si>
  <si>
    <t xml:space="preserve">م</t>
  </si>
  <si>
    <t xml:space="preserve">اسم العميل</t>
  </si>
  <si>
    <t xml:space="preserve">إجمالي الكمية</t>
  </si>
  <si>
    <t xml:space="preserve">الضريبة</t>
  </si>
  <si>
    <t xml:space="preserve">الإجمالي</t>
  </si>
  <si>
    <t xml:space="preserve">دليل العملاء</t>
  </si>
  <si>
    <t xml:space="preserve">أضف الاسم في أول صف فارغ. الكلمات المفتاحية: أي كلمة تكتبها في شاشة المبيعات ليتعرف عليه (افصل بينها بـ / ).</t>
  </si>
  <si>
    <t xml:space="preserve">كلمات مفتاحية للبحث</t>
  </si>
  <si>
    <t xml:space="preserve">مساعد 1</t>
  </si>
  <si>
    <t xml:space="preserve">مساعد 2</t>
  </si>
  <si>
    <t xml:space="preserve">شركة التخصص الذهبي -النسيم</t>
  </si>
  <si>
    <t xml:space="preserve">النسيم</t>
  </si>
  <si>
    <t xml:space="preserve">حراء</t>
  </si>
  <si>
    <t xml:space="preserve">شركة التخصص الذهبي -المنار</t>
  </si>
  <si>
    <t xml:space="preserve">المنار</t>
  </si>
  <si>
    <t xml:space="preserve">الصفا</t>
  </si>
  <si>
    <t xml:space="preserve">الربوة</t>
  </si>
  <si>
    <t xml:space="preserve">شركة التخصص الذهبي -الرحاب</t>
  </si>
  <si>
    <t xml:space="preserve">الرحاب</t>
  </si>
  <si>
    <t xml:space="preserve">عبر الاقليم / آجل</t>
  </si>
  <si>
    <t xml:space="preserve">حقيبة / مميز</t>
  </si>
  <si>
    <t xml:space="preserve">فيض / جملة</t>
  </si>
  <si>
    <t xml:space="preserve">غصون / تجزئة</t>
  </si>
  <si>
    <t xml:space="preserve">نقاوة / جديد</t>
  </si>
  <si>
    <t xml:space="preserve">دليل الأصناف</t>
  </si>
  <si>
    <t xml:space="preserve">اسم الصنف</t>
  </si>
  <si>
    <t xml:space="preserve">بصل صغير</t>
  </si>
  <si>
    <t xml:space="preserve">بطاطس 2 K</t>
  </si>
  <si>
    <t xml:space="preserve">بطاطس 2 كيلو</t>
  </si>
  <si>
    <t xml:space="preserve">طماطم محمية</t>
  </si>
  <si>
    <t xml:space="preserve">خيار بلدي</t>
  </si>
  <si>
    <t xml:space="preserve">كوسة طازجة</t>
  </si>
  <si>
    <t xml:space="preserve">جزر استرالي</t>
  </si>
  <si>
    <t xml:space="preserve">جزر</t>
  </si>
  <si>
    <t xml:space="preserve">كيوي</t>
  </si>
  <si>
    <t xml:space="preserve">ليمون</t>
  </si>
  <si>
    <t xml:space="preserve">برتقال أبو صرة</t>
  </si>
  <si>
    <t xml:space="preserve">ابو صره</t>
  </si>
  <si>
    <t xml:space="preserve">كاكا</t>
  </si>
  <si>
    <t xml:space="preserve">كاكي</t>
  </si>
  <si>
    <t xml:space="preserve">فراولة</t>
  </si>
  <si>
    <t xml:space="preserve">تفاح ابيض</t>
  </si>
  <si>
    <t xml:space="preserve">افندي</t>
  </si>
  <si>
    <t xml:space="preserve">يوسفي / يوسف افندي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</si>
</sst>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[RED]\-#,##0.00;\-"/>
    <numFmt numFmtId="166" formatCode="0"/>
    <numFmt numFmtId="167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b val="true"/>
      <sz val="16"/>
      <color rgb="FF1F4E78"/>
      <name val="Arial"/>
      <family val="0"/>
      <charset val="1"/>
    </font>
    <font>
      <sz val="10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7F7F7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5F9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F2F5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C00000"/>
      </font>
      <fill>
        <patternFill>
          <bgColor rgb="FFFDE9E7"/>
        </patternFill>
      </fill>
    </dxf>
    <dxf>
      <fill>
        <patternFill>
          <bgColor rgb="FFFDE9E7"/>
        </patternFill>
      </fill>
    </dxf>
    <dxf>
      <font>
        <color rgb="FFA6A6A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9D9"/>
      <rgbColor rgb="FF7F7F7F"/>
      <rgbColor rgb="FF9999FF"/>
      <rgbColor rgb="FF7030A0"/>
      <rgbColor rgb="FFFFF9E6"/>
      <rgbColor rgb="FFF2F5F9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M10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22"/>
    <col collapsed="false" customWidth="true" hidden="false" outlineLevel="0" max="6" min="5" style="0" width="11"/>
    <col collapsed="false" customWidth="true" hidden="false" outlineLevel="0" max="7" min="7" style="0" width="18"/>
    <col collapsed="false" customWidth="true" hidden="false" outlineLevel="0" max="8" min="8" style="0" width="15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0"/>
    <col collapsed="false" customWidth="true" hidden="true" outlineLevel="0" max="13" min="12" style="0" width="4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tr">
        <f aca="true">"تاريخ اليوم: "&amp;TEXT(TODAY(),"yyyy/mm/dd")</f>
        <v>تاريخ اليوم: 2026/10/24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5.5" hidden="false" customHeight="true" outlineLevel="0" collapsed="false">
      <c r="A3" s="3" t="s">
        <v>1</v>
      </c>
      <c r="B3" s="3"/>
      <c r="C3" s="3" t="s">
        <v>2</v>
      </c>
      <c r="D3" s="3"/>
      <c r="E3" s="3" t="s">
        <v>3</v>
      </c>
      <c r="F3" s="3"/>
      <c r="G3" s="3"/>
      <c r="H3" s="3" t="s">
        <v>4</v>
      </c>
      <c r="I3" s="3"/>
      <c r="J3" s="3" t="s">
        <v>5</v>
      </c>
      <c r="K3" s="3"/>
    </row>
    <row r="4" customFormat="false" ht="31.5" hidden="false" customHeight="true" outlineLevel="0" collapsed="false">
      <c r="A4" s="4" t="n">
        <f aca="false">SUM(J8:J107)</f>
        <v>13736.18</v>
      </c>
      <c r="B4" s="4"/>
      <c r="C4" s="4" t="n">
        <f aca="false">SUM(H8:H107)</f>
        <v>11944.5</v>
      </c>
      <c r="D4" s="4"/>
      <c r="E4" s="4" t="n">
        <f aca="false">SUM(I8:I107)</f>
        <v>1791.68</v>
      </c>
      <c r="F4" s="4"/>
      <c r="G4" s="4"/>
      <c r="H4" s="5" t="n">
        <f aca="false">COUNTIF(B8:B107,"?*")-COUNTIF(B8:B107,"⚠*")</f>
        <v>8</v>
      </c>
      <c r="I4" s="5"/>
      <c r="J4" s="5" t="n">
        <f aca="false">COUNTIF(B8:B107,"⚠*")+COUNTIF(D8:D107,"⚠*")+COUNTIFS(A8:A107,"",J8:J107,"&gt;0")</f>
        <v>0</v>
      </c>
      <c r="K4" s="5"/>
    </row>
    <row r="6" customFormat="false" ht="15" hidden="false" customHeight="true" outlineLevel="0" collapsed="false">
      <c r="A6" s="6" t="s">
        <v>6</v>
      </c>
      <c r="B6" s="6"/>
      <c r="C6" s="6"/>
      <c r="D6" s="6"/>
      <c r="E6" s="6"/>
      <c r="F6" s="6"/>
      <c r="G6" s="6"/>
      <c r="H6" s="6"/>
      <c r="I6" s="6"/>
      <c r="J6" s="6"/>
      <c r="K6" s="6"/>
    </row>
    <row r="7" customFormat="false" ht="39.75" hidden="false" customHeight="true" outlineLevel="0" collapsed="false">
      <c r="A7" s="7" t="s">
        <v>7</v>
      </c>
      <c r="B7" s="7" t="s">
        <v>8</v>
      </c>
      <c r="C7" s="7" t="s">
        <v>9</v>
      </c>
      <c r="D7" s="7" t="s">
        <v>10</v>
      </c>
      <c r="E7" s="7" t="s">
        <v>11</v>
      </c>
      <c r="F7" s="7" t="s">
        <v>12</v>
      </c>
      <c r="G7" s="7" t="s">
        <v>13</v>
      </c>
      <c r="H7" s="7" t="s">
        <v>14</v>
      </c>
      <c r="I7" s="7" t="s">
        <v>15</v>
      </c>
      <c r="J7" s="7" t="s">
        <v>16</v>
      </c>
      <c r="K7" s="7" t="s">
        <v>17</v>
      </c>
    </row>
    <row r="8" customFormat="false" ht="15" hidden="false" customHeight="false" outlineLevel="0" collapsed="false">
      <c r="A8" s="8" t="s">
        <v>18</v>
      </c>
      <c r="B8" s="9" t="str">
        <f aca="false">IF(L8="","",IFERROR(INDEX('دليل العملاء'!$A$4:$A$203,MATCH(L8,'دليل العملاء'!$C$4:$C$203,0)),IF(COUNTIF('دليل العملاء'!$D$4:$D$203,"*"&amp;L8&amp;"*")=1,INDEX('دليل العملاء'!$A$4:$A$203,MATCH("*"&amp;L8&amp;"*",'دليل العملاء'!$D$4:$D$203,0)),IF(COUNTIF('دليل العملاء'!$D$4:$D$203,"*"&amp;L8&amp;"*")&gt;1,"⚠ أكثر من عميل — اكتب كلمة أوضح","⚠ غير موجود في الدليل"))))</f>
        <v>شركة التخصص الذهبي -الربوه</v>
      </c>
      <c r="C8" s="8" t="s">
        <v>19</v>
      </c>
      <c r="D8" s="9" t="str">
        <f aca="false">IF(M8="","",IFERROR(INDEX('دليل الأصناف'!$A$4:$A$203,MATCH(M8,'دليل الأصناف'!$C$4:$C$203,0)),IF(COUNTIF('دليل الأصناف'!$D$4:$D$203,"*"&amp;M8&amp;"*")=1,INDEX('دليل الأصناف'!$A$4:$A$203,MATCH("*"&amp;M8&amp;"*",'دليل الأصناف'!$D$4:$D$203,0)),IF(COUNTIF('دليل الأصناف'!$D$4:$D$203,"*"&amp;M8&amp;"*")&gt;1,"⚠ أكثر من صنف — اكتب كلمة أوضح","⚠ غير موجود في الدليل"))))</f>
        <v>بصل كبير</v>
      </c>
      <c r="E8" s="10" t="n">
        <v>470</v>
      </c>
      <c r="F8" s="10" t="n">
        <v>4.5</v>
      </c>
      <c r="G8" s="10" t="s">
        <v>20</v>
      </c>
      <c r="H8" s="11" t="n">
        <f aca="false">IF(OR(E8="",F8=""),0,IF(G8="شامل الضريبة",ROUND(ROUND(E8*F8,2)/1.15,2),ROUND(E8*F8,2)))</f>
        <v>2115</v>
      </c>
      <c r="I8" s="11" t="n">
        <f aca="false">IF(OR(E8="",F8=""),0,IF(G8="شامل الضريبة",ROUND(E8*F8,2)-H8,ROUND(H8*0.15,2)))</f>
        <v>317.25</v>
      </c>
      <c r="J8" s="12" t="n">
        <f aca="false">H8+I8</f>
        <v>2432.25</v>
      </c>
      <c r="K8" s="8" t="s">
        <v>21</v>
      </c>
      <c r="L8" s="0" t="str">
        <f aca="false">SUBSTITUTE(SUBSTITUTE(SUBSTITUTE(SUBSTITUTE(SUBSTITUTE(SUBSTITUTE(TRIM(A8),"أ","ا"),"إ","ا"),"آ","ا"),"ة","ه"),"ى","ي"),"ـ","")</f>
        <v>شركه التخصص الذهبي -الربوه</v>
      </c>
      <c r="M8" s="0" t="str">
        <f aca="false">SUBSTITUTE(SUBSTITUTE(SUBSTITUTE(SUBSTITUTE(SUBSTITUTE(SUBSTITUTE(TRIM(C8),"أ","ا"),"إ","ا"),"آ","ا"),"ة","ه"),"ى","ي"),"ـ","")</f>
        <v>بصل كبير</v>
      </c>
    </row>
    <row r="9" customFormat="false" ht="15" hidden="false" customHeight="false" outlineLevel="0" collapsed="false">
      <c r="A9" s="8" t="s">
        <v>22</v>
      </c>
      <c r="B9" s="9" t="str">
        <f aca="false">IF(L9="","",IFERROR(INDEX('دليل العملاء'!$A$4:$A$203,MATCH(L9,'دليل العملاء'!$C$4:$C$203,0)),IF(COUNTIF('دليل العملاء'!$D$4:$D$203,"*"&amp;L9&amp;"*")=1,INDEX('دليل العملاء'!$A$4:$A$203,MATCH("*"&amp;L9&amp;"*",'دليل العملاء'!$D$4:$D$203,0)),IF(COUNTIF('دليل العملاء'!$D$4:$D$203,"*"&amp;L9&amp;"*")&gt;1,"⚠ أكثر من عميل — اكتب كلمة أوضح","⚠ غير موجود في الدليل"))))</f>
        <v>شركة التخصص الذهبي -حراء</v>
      </c>
      <c r="C9" s="8" t="s">
        <v>23</v>
      </c>
      <c r="D9" s="9" t="str">
        <f aca="false">IF(M9="","",IFERROR(INDEX('دليل الأصناف'!$A$4:$A$203,MATCH(M9,'دليل الأصناف'!$C$4:$C$203,0)),IF(COUNTIF('دليل الأصناف'!$D$4:$D$203,"*"&amp;M9&amp;"*")=1,INDEX('دليل الأصناف'!$A$4:$A$203,MATCH("*"&amp;M9&amp;"*",'دليل الأصناف'!$D$4:$D$203,0)),IF(COUNTIF('دليل الأصناف'!$D$4:$D$203,"*"&amp;M9&amp;"*")&gt;1,"⚠ أكثر من صنف — اكتب كلمة أوضح","⚠ غير موجود في الدليل"))))</f>
        <v>بطاطس كبير</v>
      </c>
      <c r="E9" s="10" t="n">
        <v>297</v>
      </c>
      <c r="F9" s="10" t="n">
        <v>9.775</v>
      </c>
      <c r="G9" s="10" t="s">
        <v>24</v>
      </c>
      <c r="H9" s="11" t="n">
        <f aca="false">IF(OR(E9="",F9=""),0,IF(G9="شامل الضريبة",ROUND(ROUND(E9*F9,2)/1.15,2),ROUND(E9*F9,2)))</f>
        <v>2524.5</v>
      </c>
      <c r="I9" s="11" t="n">
        <f aca="false">IF(OR(E9="",F9=""),0,IF(G9="شامل الضريبة",ROUND(E9*F9,2)-H9,ROUND(H9*0.15,2)))</f>
        <v>378.68</v>
      </c>
      <c r="J9" s="12" t="n">
        <f aca="false">H9+I9</f>
        <v>2903.18</v>
      </c>
      <c r="K9" s="8" t="s">
        <v>25</v>
      </c>
      <c r="L9" s="0" t="str">
        <f aca="false">SUBSTITUTE(SUBSTITUTE(SUBSTITUTE(SUBSTITUTE(SUBSTITUTE(SUBSTITUTE(TRIM(A9),"أ","ا"),"إ","ا"),"آ","ا"),"ة","ه"),"ى","ي"),"ـ","")</f>
        <v>شركه التخصص الذهبي -حراء</v>
      </c>
      <c r="M9" s="0" t="str">
        <f aca="false">SUBSTITUTE(SUBSTITUTE(SUBSTITUTE(SUBSTITUTE(SUBSTITUTE(SUBSTITUTE(TRIM(C9),"أ","ا"),"إ","ا"),"آ","ا"),"ة","ه"),"ى","ي"),"ـ","")</f>
        <v>بطاطس كبير</v>
      </c>
    </row>
    <row r="10" customFormat="false" ht="15" hidden="false" customHeight="false" outlineLevel="0" collapsed="false">
      <c r="A10" s="8" t="s">
        <v>26</v>
      </c>
      <c r="B10" s="9" t="str">
        <f aca="false">IF(L10="","",IFERROR(INDEX('دليل العملاء'!$A$4:$A$203,MATCH(L10,'دليل العملاء'!$C$4:$C$203,0)),IF(COUNTIF('دليل العملاء'!$D$4:$D$203,"*"&amp;L10&amp;"*")=1,INDEX('دليل العملاء'!$A$4:$A$203,MATCH("*"&amp;L10&amp;"*",'دليل العملاء'!$D$4:$D$203,0)),IF(COUNTIF('دليل العملاء'!$D$4:$D$203,"*"&amp;L10&amp;"*")&gt;1,"⚠ أكثر من عميل — اكتب كلمة أوضح","⚠ غير موجود في الدليل"))))</f>
        <v>شركة التخصص الذهبي -الصفا</v>
      </c>
      <c r="C10" s="8" t="s">
        <v>27</v>
      </c>
      <c r="D10" s="9" t="str">
        <f aca="false">IF(M10="","",IFERROR(INDEX('دليل الأصناف'!$A$4:$A$203,MATCH(M10,'دليل الأصناف'!$C$4:$C$203,0)),IF(COUNTIF('دليل الأصناف'!$D$4:$D$203,"*"&amp;M10&amp;"*")=1,INDEX('دليل الأصناف'!$A$4:$A$203,MATCH("*"&amp;M10&amp;"*",'دليل الأصناف'!$D$4:$D$203,0)),IF(COUNTIF('دليل الأصناف'!$D$4:$D$203,"*"&amp;M10&amp;"*")&gt;1,"⚠ أكثر من صنف — اكتب كلمة أوضح","⚠ غير موجود في الدليل"))))</f>
        <v>بصل ابيض</v>
      </c>
      <c r="E10" s="10" t="n">
        <v>150</v>
      </c>
      <c r="F10" s="10" t="n">
        <v>5</v>
      </c>
      <c r="G10" s="10" t="s">
        <v>20</v>
      </c>
      <c r="H10" s="11" t="n">
        <f aca="false">IF(OR(E10="",F10=""),0,IF(G10="شامل الضريبة",ROUND(ROUND(E10*F10,2)/1.15,2),ROUND(E10*F10,2)))</f>
        <v>750</v>
      </c>
      <c r="I10" s="11" t="n">
        <f aca="false">IF(OR(E10="",F10=""),0,IF(G10="شامل الضريبة",ROUND(E10*F10,2)-H10,ROUND(H10*0.15,2)))</f>
        <v>112.5</v>
      </c>
      <c r="J10" s="12" t="n">
        <f aca="false">H10+I10</f>
        <v>862.5</v>
      </c>
      <c r="K10" s="8" t="s">
        <v>28</v>
      </c>
      <c r="L10" s="0" t="str">
        <f aca="false">SUBSTITUTE(SUBSTITUTE(SUBSTITUTE(SUBSTITUTE(SUBSTITUTE(SUBSTITUTE(TRIM(A10),"أ","ا"),"إ","ا"),"آ","ا"),"ة","ه"),"ى","ي"),"ـ","")</f>
        <v>شركه التخصص الذهبي -الصفا</v>
      </c>
      <c r="M10" s="0" t="str">
        <f aca="false">SUBSTITUTE(SUBSTITUTE(SUBSTITUTE(SUBSTITUTE(SUBSTITUTE(SUBSTITUTE(TRIM(C10),"أ","ا"),"إ","ا"),"آ","ا"),"ة","ه"),"ى","ي"),"ـ","")</f>
        <v>بصل ابيض</v>
      </c>
    </row>
    <row r="11" customFormat="false" ht="15" hidden="false" customHeight="false" outlineLevel="0" collapsed="false">
      <c r="A11" s="8" t="s">
        <v>29</v>
      </c>
      <c r="B11" s="9" t="str">
        <f aca="false">IF(L11="","",IFERROR(INDEX('دليل العملاء'!$A$4:$A$203,MATCH(L11,'دليل العملاء'!$C$4:$C$203,0)),IF(COUNTIF('دليل العملاء'!$D$4:$D$203,"*"&amp;L11&amp;"*")=1,INDEX('دليل العملاء'!$A$4:$A$203,MATCH("*"&amp;L11&amp;"*",'دليل العملاء'!$D$4:$D$203,0)),IF(COUNTIF('دليل العملاء'!$D$4:$D$203,"*"&amp;L11&amp;"*")&gt;1,"⚠ أكثر من عميل — اكتب كلمة أوضح","⚠ غير موجود في الدليل"))))</f>
        <v>عبر الإقليم</v>
      </c>
      <c r="C11" s="8" t="s">
        <v>30</v>
      </c>
      <c r="D11" s="9" t="str">
        <f aca="false">IF(M11="","",IFERROR(INDEX('دليل الأصناف'!$A$4:$A$203,MATCH(M11,'دليل الأصناف'!$C$4:$C$203,0)),IF(COUNTIF('دليل الأصناف'!$D$4:$D$203,"*"&amp;M11&amp;"*")=1,INDEX('دليل الأصناف'!$A$4:$A$203,MATCH("*"&amp;M11&amp;"*",'دليل الأصناف'!$D$4:$D$203,0)),IF(COUNTIF('دليل الأصناف'!$D$4:$D$203,"*"&amp;M11&amp;"*")&gt;1,"⚠ أكثر من صنف — اكتب كلمة أوضح","⚠ غير موجود في الدليل"))))</f>
        <v>رمان</v>
      </c>
      <c r="E11" s="10" t="n">
        <v>200</v>
      </c>
      <c r="F11" s="10" t="n">
        <v>9.2</v>
      </c>
      <c r="G11" s="10" t="s">
        <v>24</v>
      </c>
      <c r="H11" s="11" t="n">
        <f aca="false">IF(OR(E11="",F11=""),0,IF(G11="شامل الضريبة",ROUND(ROUND(E11*F11,2)/1.15,2),ROUND(E11*F11,2)))</f>
        <v>1600</v>
      </c>
      <c r="I11" s="11" t="n">
        <f aca="false">IF(OR(E11="",F11=""),0,IF(G11="شامل الضريبة",ROUND(E11*F11,2)-H11,ROUND(H11*0.15,2)))</f>
        <v>240</v>
      </c>
      <c r="J11" s="12" t="n">
        <f aca="false">H11+I11</f>
        <v>1840</v>
      </c>
      <c r="K11" s="8" t="s">
        <v>31</v>
      </c>
      <c r="L11" s="0" t="str">
        <f aca="false">SUBSTITUTE(SUBSTITUTE(SUBSTITUTE(SUBSTITUTE(SUBSTITUTE(SUBSTITUTE(TRIM(A11),"أ","ا"),"إ","ا"),"آ","ا"),"ة","ه"),"ى","ي"),"ـ","")</f>
        <v>عبر الاقليم</v>
      </c>
      <c r="M11" s="0" t="str">
        <f aca="false">SUBSTITUTE(SUBSTITUTE(SUBSTITUTE(SUBSTITUTE(SUBSTITUTE(SUBSTITUTE(TRIM(C11),"أ","ا"),"إ","ا"),"آ","ا"),"ة","ه"),"ى","ي"),"ـ","")</f>
        <v>رمان</v>
      </c>
    </row>
    <row r="12" customFormat="false" ht="15" hidden="false" customHeight="false" outlineLevel="0" collapsed="false">
      <c r="A12" s="8" t="s">
        <v>32</v>
      </c>
      <c r="B12" s="9" t="str">
        <f aca="false">IF(L12="","",IFERROR(INDEX('دليل العملاء'!$A$4:$A$203,MATCH(L12,'دليل العملاء'!$C$4:$C$203,0)),IF(COUNTIF('دليل العملاء'!$D$4:$D$203,"*"&amp;L12&amp;"*")=1,INDEX('دليل العملاء'!$A$4:$A$203,MATCH("*"&amp;L12&amp;"*",'دليل العملاء'!$D$4:$D$203,0)),IF(COUNTIF('دليل العملاء'!$D$4:$D$203,"*"&amp;L12&amp;"*")&gt;1,"⚠ أكثر من عميل — اكتب كلمة أوضح","⚠ غير موجود في الدليل"))))</f>
        <v>حقيبة الفواكه</v>
      </c>
      <c r="C12" s="8" t="s">
        <v>33</v>
      </c>
      <c r="D12" s="9" t="str">
        <f aca="false">IF(M12="","",IFERROR(INDEX('دليل الأصناف'!$A$4:$A$203,MATCH(M12,'دليل الأصناف'!$C$4:$C$203,0)),IF(COUNTIF('دليل الأصناف'!$D$4:$D$203,"*"&amp;M12&amp;"*")=1,INDEX('دليل الأصناف'!$A$4:$A$203,MATCH("*"&amp;M12&amp;"*",'دليل الأصناف'!$D$4:$D$203,0)),IF(COUNTIF('دليل الأصناف'!$D$4:$D$203,"*"&amp;M12&amp;"*")&gt;1,"⚠ أكثر من صنف — اكتب كلمة أوضح","⚠ غير موجود في الدليل"))))</f>
        <v>تفاح احمر</v>
      </c>
      <c r="E12" s="10" t="n">
        <v>150</v>
      </c>
      <c r="F12" s="10" t="n">
        <v>7.5</v>
      </c>
      <c r="G12" s="10" t="s">
        <v>20</v>
      </c>
      <c r="H12" s="11" t="n">
        <f aca="false">IF(OR(E12="",F12=""),0,IF(G12="شامل الضريبة",ROUND(ROUND(E12*F12,2)/1.15,2),ROUND(E12*F12,2)))</f>
        <v>1125</v>
      </c>
      <c r="I12" s="11" t="n">
        <f aca="false">IF(OR(E12="",F12=""),0,IF(G12="شامل الضريبة",ROUND(E12*F12,2)-H12,ROUND(H12*0.15,2)))</f>
        <v>168.75</v>
      </c>
      <c r="J12" s="12" t="n">
        <f aca="false">H12+I12</f>
        <v>1293.75</v>
      </c>
      <c r="K12" s="8" t="s">
        <v>34</v>
      </c>
      <c r="L12" s="0" t="str">
        <f aca="false">SUBSTITUTE(SUBSTITUTE(SUBSTITUTE(SUBSTITUTE(SUBSTITUTE(SUBSTITUTE(TRIM(A12),"أ","ا"),"إ","ا"),"آ","ا"),"ة","ه"),"ى","ي"),"ـ","")</f>
        <v>حقيبه الفواكه</v>
      </c>
      <c r="M12" s="0" t="str">
        <f aca="false">SUBSTITUTE(SUBSTITUTE(SUBSTITUTE(SUBSTITUTE(SUBSTITUTE(SUBSTITUTE(TRIM(C12),"أ","ا"),"إ","ا"),"آ","ا"),"ة","ه"),"ى","ي"),"ـ","")</f>
        <v>تفاح احمر</v>
      </c>
    </row>
    <row r="13" customFormat="false" ht="15" hidden="false" customHeight="false" outlineLevel="0" collapsed="false">
      <c r="A13" s="8" t="s">
        <v>35</v>
      </c>
      <c r="B13" s="9" t="str">
        <f aca="false">IF(L13="","",IFERROR(INDEX('دليل العملاء'!$A$4:$A$203,MATCH(L13,'دليل العملاء'!$C$4:$C$203,0)),IF(COUNTIF('دليل العملاء'!$D$4:$D$203,"*"&amp;L13&amp;"*")=1,INDEX('دليل العملاء'!$A$4:$A$203,MATCH("*"&amp;L13&amp;"*",'دليل العملاء'!$D$4:$D$203,0)),IF(COUNTIF('دليل العملاء'!$D$4:$D$203,"*"&amp;L13&amp;"*")&gt;1,"⚠ أكثر من عميل — اكتب كلمة أوضح","⚠ غير موجود في الدليل"))))</f>
        <v>فيض الكرم</v>
      </c>
      <c r="C13" s="8" t="s">
        <v>36</v>
      </c>
      <c r="D13" s="9" t="str">
        <f aca="false">IF(M13="","",IFERROR(INDEX('دليل الأصناف'!$A$4:$A$203,MATCH(M13,'دليل الأصناف'!$C$4:$C$203,0)),IF(COUNTIF('دليل الأصناف'!$D$4:$D$203,"*"&amp;M13&amp;"*")=1,INDEX('دليل الأصناف'!$A$4:$A$203,MATCH("*"&amp;M13&amp;"*",'دليل الأصناف'!$D$4:$D$203,0)),IF(COUNTIF('دليل الأصناف'!$D$4:$D$203,"*"&amp;M13&amp;"*")&gt;1,"⚠ أكثر من صنف — اكتب كلمة أوضح","⚠ غير موجود في الدليل"))))</f>
        <v>عنب ابيض</v>
      </c>
      <c r="E13" s="10" t="n">
        <v>80</v>
      </c>
      <c r="F13" s="10" t="n">
        <v>14.375</v>
      </c>
      <c r="G13" s="10" t="s">
        <v>24</v>
      </c>
      <c r="H13" s="11" t="n">
        <f aca="false">IF(OR(E13="",F13=""),0,IF(G13="شامل الضريبة",ROUND(ROUND(E13*F13,2)/1.15,2),ROUND(E13*F13,2)))</f>
        <v>1000</v>
      </c>
      <c r="I13" s="11" t="n">
        <f aca="false">IF(OR(E13="",F13=""),0,IF(G13="شامل الضريبة",ROUND(E13*F13,2)-H13,ROUND(H13*0.15,2)))</f>
        <v>150</v>
      </c>
      <c r="J13" s="12" t="n">
        <f aca="false">H13+I13</f>
        <v>1150</v>
      </c>
      <c r="K13" s="8" t="s">
        <v>37</v>
      </c>
      <c r="L13" s="0" t="str">
        <f aca="false">SUBSTITUTE(SUBSTITUTE(SUBSTITUTE(SUBSTITUTE(SUBSTITUTE(SUBSTITUTE(TRIM(A13),"أ","ا"),"إ","ا"),"آ","ا"),"ة","ه"),"ى","ي"),"ـ","")</f>
        <v>فيض الكرم</v>
      </c>
      <c r="M13" s="0" t="str">
        <f aca="false">SUBSTITUTE(SUBSTITUTE(SUBSTITUTE(SUBSTITUTE(SUBSTITUTE(SUBSTITUTE(TRIM(C13),"أ","ا"),"إ","ا"),"آ","ا"),"ة","ه"),"ى","ي"),"ـ","")</f>
        <v>عنب ابيض</v>
      </c>
    </row>
    <row r="14" customFormat="false" ht="15" hidden="false" customHeight="false" outlineLevel="0" collapsed="false">
      <c r="A14" s="8" t="s">
        <v>38</v>
      </c>
      <c r="B14" s="9" t="str">
        <f aca="false">IF(L14="","",IFERROR(INDEX('دليل العملاء'!$A$4:$A$203,MATCH(L14,'دليل العملاء'!$C$4:$C$203,0)),IF(COUNTIF('دليل العملاء'!$D$4:$D$203,"*"&amp;L14&amp;"*")=1,INDEX('دليل العملاء'!$A$4:$A$203,MATCH("*"&amp;L14&amp;"*",'دليل العملاء'!$D$4:$D$203,0)),IF(COUNTIF('دليل العملاء'!$D$4:$D$203,"*"&amp;L14&amp;"*")&gt;1,"⚠ أكثر من عميل — اكتب كلمة أوضح","⚠ غير موجود في الدليل"))))</f>
        <v>غصون الفاكهه</v>
      </c>
      <c r="C14" s="8" t="s">
        <v>39</v>
      </c>
      <c r="D14" s="9" t="str">
        <f aca="false">IF(M14="","",IFERROR(INDEX('دليل الأصناف'!$A$4:$A$203,MATCH(M14,'دليل الأصناف'!$C$4:$C$203,0)),IF(COUNTIF('دليل الأصناف'!$D$4:$D$203,"*"&amp;M14&amp;"*")=1,INDEX('دليل الأصناف'!$A$4:$A$203,MATCH("*"&amp;M14&amp;"*",'دليل الأصناف'!$D$4:$D$203,0)),IF(COUNTIF('دليل الأصناف'!$D$4:$D$203,"*"&amp;M14&amp;"*")&gt;1,"⚠ أكثر من صنف — اكتب كلمة أوضح","⚠ غير موجود في الدليل"))))</f>
        <v>برتقال عصير</v>
      </c>
      <c r="E14" s="10" t="n">
        <v>350</v>
      </c>
      <c r="F14" s="10" t="n">
        <v>5</v>
      </c>
      <c r="G14" s="10" t="s">
        <v>20</v>
      </c>
      <c r="H14" s="11" t="n">
        <f aca="false">IF(OR(E14="",F14=""),0,IF(G14="شامل الضريبة",ROUND(ROUND(E14*F14,2)/1.15,2),ROUND(E14*F14,2)))</f>
        <v>1750</v>
      </c>
      <c r="I14" s="11" t="n">
        <f aca="false">IF(OR(E14="",F14=""),0,IF(G14="شامل الضريبة",ROUND(E14*F14,2)-H14,ROUND(H14*0.15,2)))</f>
        <v>262.5</v>
      </c>
      <c r="J14" s="12" t="n">
        <f aca="false">H14+I14</f>
        <v>2012.5</v>
      </c>
      <c r="K14" s="8" t="s">
        <v>40</v>
      </c>
      <c r="L14" s="0" t="str">
        <f aca="false">SUBSTITUTE(SUBSTITUTE(SUBSTITUTE(SUBSTITUTE(SUBSTITUTE(SUBSTITUTE(TRIM(A14),"أ","ا"),"إ","ا"),"آ","ا"),"ة","ه"),"ى","ي"),"ـ","")</f>
        <v>غصون الفاكهه</v>
      </c>
      <c r="M14" s="0" t="str">
        <f aca="false">SUBSTITUTE(SUBSTITUTE(SUBSTITUTE(SUBSTITUTE(SUBSTITUTE(SUBSTITUTE(TRIM(C14),"أ","ا"),"إ","ا"),"آ","ا"),"ة","ه"),"ى","ي"),"ـ","")</f>
        <v>برتقال عصير</v>
      </c>
    </row>
    <row r="15" customFormat="false" ht="15" hidden="false" customHeight="false" outlineLevel="0" collapsed="false">
      <c r="A15" s="8" t="s">
        <v>41</v>
      </c>
      <c r="B15" s="9" t="str">
        <f aca="false">IF(L15="","",IFERROR(INDEX('دليل العملاء'!$A$4:$A$203,MATCH(L15,'دليل العملاء'!$C$4:$C$203,0)),IF(COUNTIF('دليل العملاء'!$D$4:$D$203,"*"&amp;L15&amp;"*")=1,INDEX('دليل العملاء'!$A$4:$A$203,MATCH("*"&amp;L15&amp;"*",'دليل العملاء'!$D$4:$D$203,0)),IF(COUNTIF('دليل العملاء'!$D$4:$D$203,"*"&amp;L15&amp;"*")&gt;1,"⚠ أكثر من عميل — اكتب كلمة أوضح","⚠ غير موجود في الدليل"))))</f>
        <v>نقاوه بس</v>
      </c>
      <c r="C15" s="8" t="s">
        <v>42</v>
      </c>
      <c r="D15" s="9" t="str">
        <f aca="false">IF(M15="","",IFERROR(INDEX('دليل الأصناف'!$A$4:$A$203,MATCH(M15,'دليل الأصناف'!$C$4:$C$203,0)),IF(COUNTIF('دليل الأصناف'!$D$4:$D$203,"*"&amp;M15&amp;"*")=1,INDEX('دليل الأصناف'!$A$4:$A$203,MATCH("*"&amp;M15&amp;"*",'دليل الأصناف'!$D$4:$D$203,0)),IF(COUNTIF('دليل الأصناف'!$D$4:$D$203,"*"&amp;M15&amp;"*")&gt;1,"⚠ أكثر من صنف — اكتب كلمة أوضح","⚠ غير موجود في الدليل"))))</f>
        <v>فراوله</v>
      </c>
      <c r="E15" s="10" t="n">
        <v>120</v>
      </c>
      <c r="F15" s="10" t="n">
        <v>10.35</v>
      </c>
      <c r="G15" s="10" t="s">
        <v>24</v>
      </c>
      <c r="H15" s="11" t="n">
        <f aca="false">IF(OR(E15="",F15=""),0,IF(G15="شامل الضريبة",ROUND(ROUND(E15*F15,2)/1.15,2),ROUND(E15*F15,2)))</f>
        <v>1080</v>
      </c>
      <c r="I15" s="11" t="n">
        <f aca="false">IF(OR(E15="",F15=""),0,IF(G15="شامل الضريبة",ROUND(E15*F15,2)-H15,ROUND(H15*0.15,2)))</f>
        <v>162</v>
      </c>
      <c r="J15" s="12" t="n">
        <f aca="false">H15+I15</f>
        <v>1242</v>
      </c>
      <c r="K15" s="8" t="s">
        <v>43</v>
      </c>
      <c r="L15" s="0" t="str">
        <f aca="false">SUBSTITUTE(SUBSTITUTE(SUBSTITUTE(SUBSTITUTE(SUBSTITUTE(SUBSTITUTE(TRIM(A15),"أ","ا"),"إ","ا"),"آ","ا"),"ة","ه"),"ى","ي"),"ـ","")</f>
        <v>نقاوه بس</v>
      </c>
      <c r="M15" s="0" t="str">
        <f aca="false">SUBSTITUTE(SUBSTITUTE(SUBSTITUTE(SUBSTITUTE(SUBSTITUTE(SUBSTITUTE(TRIM(C15),"أ","ا"),"إ","ا"),"آ","ا"),"ة","ه"),"ى","ي"),"ـ","")</f>
        <v>فراوله</v>
      </c>
    </row>
    <row r="16" customFormat="false" ht="15" hidden="false" customHeight="false" outlineLevel="0" collapsed="false">
      <c r="A16" s="8"/>
      <c r="B16" s="9" t="str">
        <f aca="false">IF(L16="","",IFERROR(INDEX('دليل العملاء'!$A$4:$A$203,MATCH(L16,'دليل العملاء'!$C$4:$C$203,0)),IF(COUNTIF('دليل العملاء'!$D$4:$D$203,"*"&amp;L16&amp;"*")=1,INDEX('دليل العملاء'!$A$4:$A$203,MATCH("*"&amp;L16&amp;"*",'دليل العملاء'!$D$4:$D$203,0)),IF(COUNTIF('دليل العملاء'!$D$4:$D$203,"*"&amp;L16&amp;"*")&gt;1,"⚠ أكثر من عميل — اكتب كلمة أوضح","⚠ غير موجود في الدليل"))))</f>
        <v/>
      </c>
      <c r="C16" s="8"/>
      <c r="D16" s="9" t="str">
        <f aca="false">IF(M16="","",IFERROR(INDEX('دليل الأصناف'!$A$4:$A$203,MATCH(M16,'دليل الأصناف'!$C$4:$C$203,0)),IF(COUNTIF('دليل الأصناف'!$D$4:$D$203,"*"&amp;M16&amp;"*")=1,INDEX('دليل الأصناف'!$A$4:$A$203,MATCH("*"&amp;M16&amp;"*",'دليل الأصناف'!$D$4:$D$203,0)),IF(COUNTIF('دليل الأصناف'!$D$4:$D$203,"*"&amp;M16&amp;"*")&gt;1,"⚠ أكثر من صنف — اكتب كلمة أوضح","⚠ غير موجود في الدليل"))))</f>
        <v/>
      </c>
      <c r="E16" s="10"/>
      <c r="F16" s="10"/>
      <c r="G16" s="10" t="s">
        <v>20</v>
      </c>
      <c r="H16" s="11" t="n">
        <f aca="false">IF(OR(E16="",F16=""),0,IF(G16="شامل الضريبة",ROUND(ROUND(E16*F16,2)/1.15,2),ROUND(E16*F16,2)))</f>
        <v>0</v>
      </c>
      <c r="I16" s="11" t="n">
        <f aca="false">IF(OR(E16="",F16=""),0,IF(G16="شامل الضريبة",ROUND(E16*F16,2)-H16,ROUND(H16*0.15,2)))</f>
        <v>0</v>
      </c>
      <c r="J16" s="12" t="n">
        <f aca="false">H16+I16</f>
        <v>0</v>
      </c>
      <c r="K16" s="8"/>
      <c r="L16" s="0" t="str">
        <f aca="false">SUBSTITUTE(SUBSTITUTE(SUBSTITUTE(SUBSTITUTE(SUBSTITUTE(SUBSTITUTE(TRIM(A16),"أ","ا"),"إ","ا"),"آ","ا"),"ة","ه"),"ى","ي"),"ـ","")</f>
        <v/>
      </c>
      <c r="M16" s="0" t="str">
        <f aca="false">SUBSTITUTE(SUBSTITUTE(SUBSTITUTE(SUBSTITUTE(SUBSTITUTE(SUBSTITUTE(TRIM(C16),"أ","ا"),"إ","ا"),"آ","ا"),"ة","ه"),"ى","ي"),"ـ","")</f>
        <v/>
      </c>
    </row>
    <row r="17" customFormat="false" ht="15" hidden="false" customHeight="false" outlineLevel="0" collapsed="false">
      <c r="A17" s="8"/>
      <c r="B17" s="9" t="str">
        <f aca="false">IF(L17="","",IFERROR(INDEX('دليل العملاء'!$A$4:$A$203,MATCH(L17,'دليل العملاء'!$C$4:$C$203,0)),IF(COUNTIF('دليل العملاء'!$D$4:$D$203,"*"&amp;L17&amp;"*")=1,INDEX('دليل العملاء'!$A$4:$A$203,MATCH("*"&amp;L17&amp;"*",'دليل العملاء'!$D$4:$D$203,0)),IF(COUNTIF('دليل العملاء'!$D$4:$D$203,"*"&amp;L17&amp;"*")&gt;1,"⚠ أكثر من عميل — اكتب كلمة أوضح","⚠ غير موجود في الدليل"))))</f>
        <v/>
      </c>
      <c r="C17" s="8"/>
      <c r="D17" s="9" t="str">
        <f aca="false">IF(M17="","",IFERROR(INDEX('دليل الأصناف'!$A$4:$A$203,MATCH(M17,'دليل الأصناف'!$C$4:$C$203,0)),IF(COUNTIF('دليل الأصناف'!$D$4:$D$203,"*"&amp;M17&amp;"*")=1,INDEX('دليل الأصناف'!$A$4:$A$203,MATCH("*"&amp;M17&amp;"*",'دليل الأصناف'!$D$4:$D$203,0)),IF(COUNTIF('دليل الأصناف'!$D$4:$D$203,"*"&amp;M17&amp;"*")&gt;1,"⚠ أكثر من صنف — اكتب كلمة أوضح","⚠ غير موجود في الدليل"))))</f>
        <v/>
      </c>
      <c r="E17" s="10"/>
      <c r="F17" s="10"/>
      <c r="G17" s="10" t="s">
        <v>20</v>
      </c>
      <c r="H17" s="11" t="n">
        <f aca="false">IF(OR(E17="",F17=""),0,IF(G17="شامل الضريبة",ROUND(ROUND(E17*F17,2)/1.15,2),ROUND(E17*F17,2)))</f>
        <v>0</v>
      </c>
      <c r="I17" s="11" t="n">
        <f aca="false">IF(OR(E17="",F17=""),0,IF(G17="شامل الضريبة",ROUND(E17*F17,2)-H17,ROUND(H17*0.15,2)))</f>
        <v>0</v>
      </c>
      <c r="J17" s="12" t="n">
        <f aca="false">H17+I17</f>
        <v>0</v>
      </c>
      <c r="K17" s="8"/>
      <c r="L17" s="0" t="str">
        <f aca="false">SUBSTITUTE(SUBSTITUTE(SUBSTITUTE(SUBSTITUTE(SUBSTITUTE(SUBSTITUTE(TRIM(A17),"أ","ا"),"إ","ا"),"آ","ا"),"ة","ه"),"ى","ي"),"ـ","")</f>
        <v/>
      </c>
      <c r="M17" s="0" t="str">
        <f aca="false">SUBSTITUTE(SUBSTITUTE(SUBSTITUTE(SUBSTITUTE(SUBSTITUTE(SUBSTITUTE(TRIM(C17),"أ","ا"),"إ","ا"),"آ","ا"),"ة","ه"),"ى","ي"),"ـ","")</f>
        <v/>
      </c>
    </row>
    <row r="18" customFormat="false" ht="15" hidden="false" customHeight="false" outlineLevel="0" collapsed="false">
      <c r="A18" s="8"/>
      <c r="B18" s="9" t="str">
        <f aca="false">IF(L18="","",IFERROR(INDEX('دليل العملاء'!$A$4:$A$203,MATCH(L18,'دليل العملاء'!$C$4:$C$203,0)),IF(COUNTIF('دليل العملاء'!$D$4:$D$203,"*"&amp;L18&amp;"*")=1,INDEX('دليل العملاء'!$A$4:$A$203,MATCH("*"&amp;L18&amp;"*",'دليل العملاء'!$D$4:$D$203,0)),IF(COUNTIF('دليل العملاء'!$D$4:$D$203,"*"&amp;L18&amp;"*")&gt;1,"⚠ أكثر من عميل — اكتب كلمة أوضح","⚠ غير موجود في الدليل"))))</f>
        <v/>
      </c>
      <c r="C18" s="8"/>
      <c r="D18" s="9" t="str">
        <f aca="false">IF(M18="","",IFERROR(INDEX('دليل الأصناف'!$A$4:$A$203,MATCH(M18,'دليل الأصناف'!$C$4:$C$203,0)),IF(COUNTIF('دليل الأصناف'!$D$4:$D$203,"*"&amp;M18&amp;"*")=1,INDEX('دليل الأصناف'!$A$4:$A$203,MATCH("*"&amp;M18&amp;"*",'دليل الأصناف'!$D$4:$D$203,0)),IF(COUNTIF('دليل الأصناف'!$D$4:$D$203,"*"&amp;M18&amp;"*")&gt;1,"⚠ أكثر من صنف — اكتب كلمة أوضح","⚠ غير موجود في الدليل"))))</f>
        <v/>
      </c>
      <c r="E18" s="10"/>
      <c r="F18" s="10"/>
      <c r="G18" s="10" t="s">
        <v>20</v>
      </c>
      <c r="H18" s="11" t="n">
        <f aca="false">IF(OR(E18="",F18=""),0,IF(G18="شامل الضريبة",ROUND(ROUND(E18*F18,2)/1.15,2),ROUND(E18*F18,2)))</f>
        <v>0</v>
      </c>
      <c r="I18" s="11" t="n">
        <f aca="false">IF(OR(E18="",F18=""),0,IF(G18="شامل الضريبة",ROUND(E18*F18,2)-H18,ROUND(H18*0.15,2)))</f>
        <v>0</v>
      </c>
      <c r="J18" s="12" t="n">
        <f aca="false">H18+I18</f>
        <v>0</v>
      </c>
      <c r="K18" s="8"/>
      <c r="L18" s="0" t="str">
        <f aca="false">SUBSTITUTE(SUBSTITUTE(SUBSTITUTE(SUBSTITUTE(SUBSTITUTE(SUBSTITUTE(TRIM(A18),"أ","ا"),"إ","ا"),"آ","ا"),"ة","ه"),"ى","ي"),"ـ","")</f>
        <v/>
      </c>
      <c r="M18" s="0" t="str">
        <f aca="false">SUBSTITUTE(SUBSTITUTE(SUBSTITUTE(SUBSTITUTE(SUBSTITUTE(SUBSTITUTE(TRIM(C18),"أ","ا"),"إ","ا"),"آ","ا"),"ة","ه"),"ى","ي"),"ـ","")</f>
        <v/>
      </c>
    </row>
    <row r="19" customFormat="false" ht="15" hidden="false" customHeight="false" outlineLevel="0" collapsed="false">
      <c r="A19" s="8"/>
      <c r="B19" s="9" t="str">
        <f aca="false">IF(L19="","",IFERROR(INDEX('دليل العملاء'!$A$4:$A$203,MATCH(L19,'دليل العملاء'!$C$4:$C$203,0)),IF(COUNTIF('دليل العملاء'!$D$4:$D$203,"*"&amp;L19&amp;"*")=1,INDEX('دليل العملاء'!$A$4:$A$203,MATCH("*"&amp;L19&amp;"*",'دليل العملاء'!$D$4:$D$203,0)),IF(COUNTIF('دليل العملاء'!$D$4:$D$203,"*"&amp;L19&amp;"*")&gt;1,"⚠ أكثر من عميل — اكتب كلمة أوضح","⚠ غير موجود في الدليل"))))</f>
        <v/>
      </c>
      <c r="C19" s="8"/>
      <c r="D19" s="9" t="str">
        <f aca="false">IF(M19="","",IFERROR(INDEX('دليل الأصناف'!$A$4:$A$203,MATCH(M19,'دليل الأصناف'!$C$4:$C$203,0)),IF(COUNTIF('دليل الأصناف'!$D$4:$D$203,"*"&amp;M19&amp;"*")=1,INDEX('دليل الأصناف'!$A$4:$A$203,MATCH("*"&amp;M19&amp;"*",'دليل الأصناف'!$D$4:$D$203,0)),IF(COUNTIF('دليل الأصناف'!$D$4:$D$203,"*"&amp;M19&amp;"*")&gt;1,"⚠ أكثر من صنف — اكتب كلمة أوضح","⚠ غير موجود في الدليل"))))</f>
        <v/>
      </c>
      <c r="E19" s="10"/>
      <c r="F19" s="10"/>
      <c r="G19" s="10" t="s">
        <v>20</v>
      </c>
      <c r="H19" s="11" t="n">
        <f aca="false">IF(OR(E19="",F19=""),0,IF(G19="شامل الضريبة",ROUND(ROUND(E19*F19,2)/1.15,2),ROUND(E19*F19,2)))</f>
        <v>0</v>
      </c>
      <c r="I19" s="11" t="n">
        <f aca="false">IF(OR(E19="",F19=""),0,IF(G19="شامل الضريبة",ROUND(E19*F19,2)-H19,ROUND(H19*0.15,2)))</f>
        <v>0</v>
      </c>
      <c r="J19" s="12" t="n">
        <f aca="false">H19+I19</f>
        <v>0</v>
      </c>
      <c r="K19" s="8"/>
      <c r="L19" s="0" t="str">
        <f aca="false">SUBSTITUTE(SUBSTITUTE(SUBSTITUTE(SUBSTITUTE(SUBSTITUTE(SUBSTITUTE(TRIM(A19),"أ","ا"),"إ","ا"),"آ","ا"),"ة","ه"),"ى","ي"),"ـ","")</f>
        <v/>
      </c>
      <c r="M19" s="0" t="str">
        <f aca="false">SUBSTITUTE(SUBSTITUTE(SUBSTITUTE(SUBSTITUTE(SUBSTITUTE(SUBSTITUTE(TRIM(C19),"أ","ا"),"إ","ا"),"آ","ا"),"ة","ه"),"ى","ي"),"ـ","")</f>
        <v/>
      </c>
    </row>
    <row r="20" customFormat="false" ht="15" hidden="false" customHeight="false" outlineLevel="0" collapsed="false">
      <c r="A20" s="8"/>
      <c r="B20" s="9" t="str">
        <f aca="false">IF(L20="","",IFERROR(INDEX('دليل العملاء'!$A$4:$A$203,MATCH(L20,'دليل العملاء'!$C$4:$C$203,0)),IF(COUNTIF('دليل العملاء'!$D$4:$D$203,"*"&amp;L20&amp;"*")=1,INDEX('دليل العملاء'!$A$4:$A$203,MATCH("*"&amp;L20&amp;"*",'دليل العملاء'!$D$4:$D$203,0)),IF(COUNTIF('دليل العملاء'!$D$4:$D$203,"*"&amp;L20&amp;"*")&gt;1,"⚠ أكثر من عميل — اكتب كلمة أوضح","⚠ غير موجود في الدليل"))))</f>
        <v/>
      </c>
      <c r="C20" s="8"/>
      <c r="D20" s="9" t="str">
        <f aca="false">IF(M20="","",IFERROR(INDEX('دليل الأصناف'!$A$4:$A$203,MATCH(M20,'دليل الأصناف'!$C$4:$C$203,0)),IF(COUNTIF('دليل الأصناف'!$D$4:$D$203,"*"&amp;M20&amp;"*")=1,INDEX('دليل الأصناف'!$A$4:$A$203,MATCH("*"&amp;M20&amp;"*",'دليل الأصناف'!$D$4:$D$203,0)),IF(COUNTIF('دليل الأصناف'!$D$4:$D$203,"*"&amp;M20&amp;"*")&gt;1,"⚠ أكثر من صنف — اكتب كلمة أوضح","⚠ غير موجود في الدليل"))))</f>
        <v/>
      </c>
      <c r="E20" s="10"/>
      <c r="F20" s="10"/>
      <c r="G20" s="10" t="s">
        <v>20</v>
      </c>
      <c r="H20" s="11" t="n">
        <f aca="false">IF(OR(E20="",F20=""),0,IF(G20="شامل الضريبة",ROUND(ROUND(E20*F20,2)/1.15,2),ROUND(E20*F20,2)))</f>
        <v>0</v>
      </c>
      <c r="I20" s="11" t="n">
        <f aca="false">IF(OR(E20="",F20=""),0,IF(G20="شامل الضريبة",ROUND(E20*F20,2)-H20,ROUND(H20*0.15,2)))</f>
        <v>0</v>
      </c>
      <c r="J20" s="12" t="n">
        <f aca="false">H20+I20</f>
        <v>0</v>
      </c>
      <c r="K20" s="8"/>
      <c r="L20" s="0" t="str">
        <f aca="false">SUBSTITUTE(SUBSTITUTE(SUBSTITUTE(SUBSTITUTE(SUBSTITUTE(SUBSTITUTE(TRIM(A20),"أ","ا"),"إ","ا"),"آ","ا"),"ة","ه"),"ى","ي"),"ـ","")</f>
        <v/>
      </c>
      <c r="M20" s="0" t="str">
        <f aca="false">SUBSTITUTE(SUBSTITUTE(SUBSTITUTE(SUBSTITUTE(SUBSTITUTE(SUBSTITUTE(TRIM(C20),"أ","ا"),"إ","ا"),"آ","ا"),"ة","ه"),"ى","ي"),"ـ","")</f>
        <v/>
      </c>
    </row>
    <row r="21" customFormat="false" ht="15" hidden="false" customHeight="false" outlineLevel="0" collapsed="false">
      <c r="A21" s="8"/>
      <c r="B21" s="9" t="str">
        <f aca="false">IF(L21="","",IFERROR(INDEX('دليل العملاء'!$A$4:$A$203,MATCH(L21,'دليل العملاء'!$C$4:$C$203,0)),IF(COUNTIF('دليل العملاء'!$D$4:$D$203,"*"&amp;L21&amp;"*")=1,INDEX('دليل العملاء'!$A$4:$A$203,MATCH("*"&amp;L21&amp;"*",'دليل العملاء'!$D$4:$D$203,0)),IF(COUNTIF('دليل العملاء'!$D$4:$D$203,"*"&amp;L21&amp;"*")&gt;1,"⚠ أكثر من عميل — اكتب كلمة أوضح","⚠ غير موجود في الدليل"))))</f>
        <v/>
      </c>
      <c r="C21" s="8"/>
      <c r="D21" s="9" t="str">
        <f aca="false">IF(M21="","",IFERROR(INDEX('دليل الأصناف'!$A$4:$A$203,MATCH(M21,'دليل الأصناف'!$C$4:$C$203,0)),IF(COUNTIF('دليل الأصناف'!$D$4:$D$203,"*"&amp;M21&amp;"*")=1,INDEX('دليل الأصناف'!$A$4:$A$203,MATCH("*"&amp;M21&amp;"*",'دليل الأصناف'!$D$4:$D$203,0)),IF(COUNTIF('دليل الأصناف'!$D$4:$D$203,"*"&amp;M21&amp;"*")&gt;1,"⚠ أكثر من صنف — اكتب كلمة أوضح","⚠ غير موجود في الدليل"))))</f>
        <v/>
      </c>
      <c r="E21" s="10"/>
      <c r="F21" s="10"/>
      <c r="G21" s="10" t="s">
        <v>20</v>
      </c>
      <c r="H21" s="11" t="n">
        <f aca="false">IF(OR(E21="",F21=""),0,IF(G21="شامل الضريبة",ROUND(ROUND(E21*F21,2)/1.15,2),ROUND(E21*F21,2)))</f>
        <v>0</v>
      </c>
      <c r="I21" s="11" t="n">
        <f aca="false">IF(OR(E21="",F21=""),0,IF(G21="شامل الضريبة",ROUND(E21*F21,2)-H21,ROUND(H21*0.15,2)))</f>
        <v>0</v>
      </c>
      <c r="J21" s="12" t="n">
        <f aca="false">H21+I21</f>
        <v>0</v>
      </c>
      <c r="K21" s="8"/>
      <c r="L21" s="0" t="str">
        <f aca="false">SUBSTITUTE(SUBSTITUTE(SUBSTITUTE(SUBSTITUTE(SUBSTITUTE(SUBSTITUTE(TRIM(A21),"أ","ا"),"إ","ا"),"آ","ا"),"ة","ه"),"ى","ي"),"ـ","")</f>
        <v/>
      </c>
      <c r="M21" s="0" t="str">
        <f aca="false">SUBSTITUTE(SUBSTITUTE(SUBSTITUTE(SUBSTITUTE(SUBSTITUTE(SUBSTITUTE(TRIM(C21),"أ","ا"),"إ","ا"),"آ","ا"),"ة","ه"),"ى","ي"),"ـ","")</f>
        <v/>
      </c>
    </row>
    <row r="22" customFormat="false" ht="15" hidden="false" customHeight="false" outlineLevel="0" collapsed="false">
      <c r="A22" s="8"/>
      <c r="B22" s="9" t="str">
        <f aca="false">IF(L22="","",IFERROR(INDEX('دليل العملاء'!$A$4:$A$203,MATCH(L22,'دليل العملاء'!$C$4:$C$203,0)),IF(COUNTIF('دليل العملاء'!$D$4:$D$203,"*"&amp;L22&amp;"*")=1,INDEX('دليل العملاء'!$A$4:$A$203,MATCH("*"&amp;L22&amp;"*",'دليل العملاء'!$D$4:$D$203,0)),IF(COUNTIF('دليل العملاء'!$D$4:$D$203,"*"&amp;L22&amp;"*")&gt;1,"⚠ أكثر من عميل — اكتب كلمة أوضح","⚠ غير موجود في الدليل"))))</f>
        <v/>
      </c>
      <c r="C22" s="8"/>
      <c r="D22" s="9" t="str">
        <f aca="false">IF(M22="","",IFERROR(INDEX('دليل الأصناف'!$A$4:$A$203,MATCH(M22,'دليل الأصناف'!$C$4:$C$203,0)),IF(COUNTIF('دليل الأصناف'!$D$4:$D$203,"*"&amp;M22&amp;"*")=1,INDEX('دليل الأصناف'!$A$4:$A$203,MATCH("*"&amp;M22&amp;"*",'دليل الأصناف'!$D$4:$D$203,0)),IF(COUNTIF('دليل الأصناف'!$D$4:$D$203,"*"&amp;M22&amp;"*")&gt;1,"⚠ أكثر من صنف — اكتب كلمة أوضح","⚠ غير موجود في الدليل"))))</f>
        <v/>
      </c>
      <c r="E22" s="10"/>
      <c r="F22" s="10"/>
      <c r="G22" s="10" t="s">
        <v>20</v>
      </c>
      <c r="H22" s="11" t="n">
        <f aca="false">IF(OR(E22="",F22=""),0,IF(G22="شامل الضريبة",ROUND(ROUND(E22*F22,2)/1.15,2),ROUND(E22*F22,2)))</f>
        <v>0</v>
      </c>
      <c r="I22" s="11" t="n">
        <f aca="false">IF(OR(E22="",F22=""),0,IF(G22="شامل الضريبة",ROUND(E22*F22,2)-H22,ROUND(H22*0.15,2)))</f>
        <v>0</v>
      </c>
      <c r="J22" s="12" t="n">
        <f aca="false">H22+I22</f>
        <v>0</v>
      </c>
      <c r="K22" s="8"/>
      <c r="L22" s="0" t="str">
        <f aca="false">SUBSTITUTE(SUBSTITUTE(SUBSTITUTE(SUBSTITUTE(SUBSTITUTE(SUBSTITUTE(TRIM(A22),"أ","ا"),"إ","ا"),"آ","ا"),"ة","ه"),"ى","ي"),"ـ","")</f>
        <v/>
      </c>
      <c r="M22" s="0" t="str">
        <f aca="false">SUBSTITUTE(SUBSTITUTE(SUBSTITUTE(SUBSTITUTE(SUBSTITUTE(SUBSTITUTE(TRIM(C22),"أ","ا"),"إ","ا"),"آ","ا"),"ة","ه"),"ى","ي"),"ـ","")</f>
        <v/>
      </c>
    </row>
    <row r="23" customFormat="false" ht="15" hidden="false" customHeight="false" outlineLevel="0" collapsed="false">
      <c r="A23" s="8"/>
      <c r="B23" s="9" t="str">
        <f aca="false">IF(L23="","",IFERROR(INDEX('دليل العملاء'!$A$4:$A$203,MATCH(L23,'دليل العملاء'!$C$4:$C$203,0)),IF(COUNTIF('دليل العملاء'!$D$4:$D$203,"*"&amp;L23&amp;"*")=1,INDEX('دليل العملاء'!$A$4:$A$203,MATCH("*"&amp;L23&amp;"*",'دليل العملاء'!$D$4:$D$203,0)),IF(COUNTIF('دليل العملاء'!$D$4:$D$203,"*"&amp;L23&amp;"*")&gt;1,"⚠ أكثر من عميل — اكتب كلمة أوضح","⚠ غير موجود في الدليل"))))</f>
        <v/>
      </c>
      <c r="C23" s="8"/>
      <c r="D23" s="9" t="str">
        <f aca="false">IF(M23="","",IFERROR(INDEX('دليل الأصناف'!$A$4:$A$203,MATCH(M23,'دليل الأصناف'!$C$4:$C$203,0)),IF(COUNTIF('دليل الأصناف'!$D$4:$D$203,"*"&amp;M23&amp;"*")=1,INDEX('دليل الأصناف'!$A$4:$A$203,MATCH("*"&amp;M23&amp;"*",'دليل الأصناف'!$D$4:$D$203,0)),IF(COUNTIF('دليل الأصناف'!$D$4:$D$203,"*"&amp;M23&amp;"*")&gt;1,"⚠ أكثر من صنف — اكتب كلمة أوضح","⚠ غير موجود في الدليل"))))</f>
        <v/>
      </c>
      <c r="E23" s="10"/>
      <c r="F23" s="10"/>
      <c r="G23" s="10" t="s">
        <v>20</v>
      </c>
      <c r="H23" s="11" t="n">
        <f aca="false">IF(OR(E23="",F23=""),0,IF(G23="شامل الضريبة",ROUND(ROUND(E23*F23,2)/1.15,2),ROUND(E23*F23,2)))</f>
        <v>0</v>
      </c>
      <c r="I23" s="11" t="n">
        <f aca="false">IF(OR(E23="",F23=""),0,IF(G23="شامل الضريبة",ROUND(E23*F23,2)-H23,ROUND(H23*0.15,2)))</f>
        <v>0</v>
      </c>
      <c r="J23" s="12" t="n">
        <f aca="false">H23+I23</f>
        <v>0</v>
      </c>
      <c r="K23" s="8"/>
      <c r="L23" s="0" t="str">
        <f aca="false">SUBSTITUTE(SUBSTITUTE(SUBSTITUTE(SUBSTITUTE(SUBSTITUTE(SUBSTITUTE(TRIM(A23),"أ","ا"),"إ","ا"),"آ","ا"),"ة","ه"),"ى","ي"),"ـ","")</f>
        <v/>
      </c>
      <c r="M23" s="0" t="str">
        <f aca="false">SUBSTITUTE(SUBSTITUTE(SUBSTITUTE(SUBSTITUTE(SUBSTITUTE(SUBSTITUTE(TRIM(C23),"أ","ا"),"إ","ا"),"آ","ا"),"ة","ه"),"ى","ي"),"ـ","")</f>
        <v/>
      </c>
    </row>
    <row r="24" customFormat="false" ht="15" hidden="false" customHeight="false" outlineLevel="0" collapsed="false">
      <c r="A24" s="8"/>
      <c r="B24" s="9" t="str">
        <f aca="false">IF(L24="","",IFERROR(INDEX('دليل العملاء'!$A$4:$A$203,MATCH(L24,'دليل العملاء'!$C$4:$C$203,0)),IF(COUNTIF('دليل العملاء'!$D$4:$D$203,"*"&amp;L24&amp;"*")=1,INDEX('دليل العملاء'!$A$4:$A$203,MATCH("*"&amp;L24&amp;"*",'دليل العملاء'!$D$4:$D$203,0)),IF(COUNTIF('دليل العملاء'!$D$4:$D$203,"*"&amp;L24&amp;"*")&gt;1,"⚠ أكثر من عميل — اكتب كلمة أوضح","⚠ غير موجود في الدليل"))))</f>
        <v/>
      </c>
      <c r="C24" s="8"/>
      <c r="D24" s="9" t="str">
        <f aca="false">IF(M24="","",IFERROR(INDEX('دليل الأصناف'!$A$4:$A$203,MATCH(M24,'دليل الأصناف'!$C$4:$C$203,0)),IF(COUNTIF('دليل الأصناف'!$D$4:$D$203,"*"&amp;M24&amp;"*")=1,INDEX('دليل الأصناف'!$A$4:$A$203,MATCH("*"&amp;M24&amp;"*",'دليل الأصناف'!$D$4:$D$203,0)),IF(COUNTIF('دليل الأصناف'!$D$4:$D$203,"*"&amp;M24&amp;"*")&gt;1,"⚠ أكثر من صنف — اكتب كلمة أوضح","⚠ غير موجود في الدليل"))))</f>
        <v/>
      </c>
      <c r="E24" s="10"/>
      <c r="F24" s="10"/>
      <c r="G24" s="10" t="s">
        <v>20</v>
      </c>
      <c r="H24" s="11" t="n">
        <f aca="false">IF(OR(E24="",F24=""),0,IF(G24="شامل الضريبة",ROUND(ROUND(E24*F24,2)/1.15,2),ROUND(E24*F24,2)))</f>
        <v>0</v>
      </c>
      <c r="I24" s="11" t="n">
        <f aca="false">IF(OR(E24="",F24=""),0,IF(G24="شامل الضريبة",ROUND(E24*F24,2)-H24,ROUND(H24*0.15,2)))</f>
        <v>0</v>
      </c>
      <c r="J24" s="12" t="n">
        <f aca="false">H24+I24</f>
        <v>0</v>
      </c>
      <c r="K24" s="8"/>
      <c r="L24" s="0" t="str">
        <f aca="false">SUBSTITUTE(SUBSTITUTE(SUBSTITUTE(SUBSTITUTE(SUBSTITUTE(SUBSTITUTE(TRIM(A24),"أ","ا"),"إ","ا"),"آ","ا"),"ة","ه"),"ى","ي"),"ـ","")</f>
        <v/>
      </c>
      <c r="M24" s="0" t="str">
        <f aca="false">SUBSTITUTE(SUBSTITUTE(SUBSTITUTE(SUBSTITUTE(SUBSTITUTE(SUBSTITUTE(TRIM(C24),"أ","ا"),"إ","ا"),"آ","ا"),"ة","ه"),"ى","ي"),"ـ","")</f>
        <v/>
      </c>
    </row>
    <row r="25" customFormat="false" ht="15" hidden="false" customHeight="false" outlineLevel="0" collapsed="false">
      <c r="A25" s="8"/>
      <c r="B25" s="9" t="str">
        <f aca="false">IF(L25="","",IFERROR(INDEX('دليل العملاء'!$A$4:$A$203,MATCH(L25,'دليل العملاء'!$C$4:$C$203,0)),IF(COUNTIF('دليل العملاء'!$D$4:$D$203,"*"&amp;L25&amp;"*")=1,INDEX('دليل العملاء'!$A$4:$A$203,MATCH("*"&amp;L25&amp;"*",'دليل العملاء'!$D$4:$D$203,0)),IF(COUNTIF('دليل العملاء'!$D$4:$D$203,"*"&amp;L25&amp;"*")&gt;1,"⚠ أكثر من عميل — اكتب كلمة أوضح","⚠ غير موجود في الدليل"))))</f>
        <v/>
      </c>
      <c r="C25" s="8"/>
      <c r="D25" s="9" t="str">
        <f aca="false">IF(M25="","",IFERROR(INDEX('دليل الأصناف'!$A$4:$A$203,MATCH(M25,'دليل الأصناف'!$C$4:$C$203,0)),IF(COUNTIF('دليل الأصناف'!$D$4:$D$203,"*"&amp;M25&amp;"*")=1,INDEX('دليل الأصناف'!$A$4:$A$203,MATCH("*"&amp;M25&amp;"*",'دليل الأصناف'!$D$4:$D$203,0)),IF(COUNTIF('دليل الأصناف'!$D$4:$D$203,"*"&amp;M25&amp;"*")&gt;1,"⚠ أكثر من صنف — اكتب كلمة أوضح","⚠ غير موجود في الدليل"))))</f>
        <v/>
      </c>
      <c r="E25" s="10"/>
      <c r="F25" s="10"/>
      <c r="G25" s="10" t="s">
        <v>20</v>
      </c>
      <c r="H25" s="11" t="n">
        <f aca="false">IF(OR(E25="",F25=""),0,IF(G25="شامل الضريبة",ROUND(ROUND(E25*F25,2)/1.15,2),ROUND(E25*F25,2)))</f>
        <v>0</v>
      </c>
      <c r="I25" s="11" t="n">
        <f aca="false">IF(OR(E25="",F25=""),0,IF(G25="شامل الضريبة",ROUND(E25*F25,2)-H25,ROUND(H25*0.15,2)))</f>
        <v>0</v>
      </c>
      <c r="J25" s="12" t="n">
        <f aca="false">H25+I25</f>
        <v>0</v>
      </c>
      <c r="K25" s="8"/>
      <c r="L25" s="0" t="str">
        <f aca="false">SUBSTITUTE(SUBSTITUTE(SUBSTITUTE(SUBSTITUTE(SUBSTITUTE(SUBSTITUTE(TRIM(A25),"أ","ا"),"إ","ا"),"آ","ا"),"ة","ه"),"ى","ي"),"ـ","")</f>
        <v/>
      </c>
      <c r="M25" s="0" t="str">
        <f aca="false">SUBSTITUTE(SUBSTITUTE(SUBSTITUTE(SUBSTITUTE(SUBSTITUTE(SUBSTITUTE(TRIM(C25),"أ","ا"),"إ","ا"),"آ","ا"),"ة","ه"),"ى","ي"),"ـ","")</f>
        <v/>
      </c>
    </row>
    <row r="26" customFormat="false" ht="15" hidden="false" customHeight="false" outlineLevel="0" collapsed="false">
      <c r="A26" s="8"/>
      <c r="B26" s="9" t="str">
        <f aca="false">IF(L26="","",IFERROR(INDEX('دليل العملاء'!$A$4:$A$203,MATCH(L26,'دليل العملاء'!$C$4:$C$203,0)),IF(COUNTIF('دليل العملاء'!$D$4:$D$203,"*"&amp;L26&amp;"*")=1,INDEX('دليل العملاء'!$A$4:$A$203,MATCH("*"&amp;L26&amp;"*",'دليل العملاء'!$D$4:$D$203,0)),IF(COUNTIF('دليل العملاء'!$D$4:$D$203,"*"&amp;L26&amp;"*")&gt;1,"⚠ أكثر من عميل — اكتب كلمة أوضح","⚠ غير موجود في الدليل"))))</f>
        <v/>
      </c>
      <c r="C26" s="8"/>
      <c r="D26" s="9" t="str">
        <f aca="false">IF(M26="","",IFERROR(INDEX('دليل الأصناف'!$A$4:$A$203,MATCH(M26,'دليل الأصناف'!$C$4:$C$203,0)),IF(COUNTIF('دليل الأصناف'!$D$4:$D$203,"*"&amp;M26&amp;"*")=1,INDEX('دليل الأصناف'!$A$4:$A$203,MATCH("*"&amp;M26&amp;"*",'دليل الأصناف'!$D$4:$D$203,0)),IF(COUNTIF('دليل الأصناف'!$D$4:$D$203,"*"&amp;M26&amp;"*")&gt;1,"⚠ أكثر من صنف — اكتب كلمة أوضح","⚠ غير موجود في الدليل"))))</f>
        <v/>
      </c>
      <c r="E26" s="10"/>
      <c r="F26" s="10"/>
      <c r="G26" s="10" t="s">
        <v>20</v>
      </c>
      <c r="H26" s="11" t="n">
        <f aca="false">IF(OR(E26="",F26=""),0,IF(G26="شامل الضريبة",ROUND(ROUND(E26*F26,2)/1.15,2),ROUND(E26*F26,2)))</f>
        <v>0</v>
      </c>
      <c r="I26" s="11" t="n">
        <f aca="false">IF(OR(E26="",F26=""),0,IF(G26="شامل الضريبة",ROUND(E26*F26,2)-H26,ROUND(H26*0.15,2)))</f>
        <v>0</v>
      </c>
      <c r="J26" s="12" t="n">
        <f aca="false">H26+I26</f>
        <v>0</v>
      </c>
      <c r="K26" s="8"/>
      <c r="L26" s="0" t="str">
        <f aca="false">SUBSTITUTE(SUBSTITUTE(SUBSTITUTE(SUBSTITUTE(SUBSTITUTE(SUBSTITUTE(TRIM(A26),"أ","ا"),"إ","ا"),"آ","ا"),"ة","ه"),"ى","ي"),"ـ","")</f>
        <v/>
      </c>
      <c r="M26" s="0" t="str">
        <f aca="false">SUBSTITUTE(SUBSTITUTE(SUBSTITUTE(SUBSTITUTE(SUBSTITUTE(SUBSTITUTE(TRIM(C26),"أ","ا"),"إ","ا"),"آ","ا"),"ة","ه"),"ى","ي"),"ـ","")</f>
        <v/>
      </c>
    </row>
    <row r="27" customFormat="false" ht="15" hidden="false" customHeight="false" outlineLevel="0" collapsed="false">
      <c r="A27" s="8"/>
      <c r="B27" s="9" t="str">
        <f aca="false">IF(L27="","",IFERROR(INDEX('دليل العملاء'!$A$4:$A$203,MATCH(L27,'دليل العملاء'!$C$4:$C$203,0)),IF(COUNTIF('دليل العملاء'!$D$4:$D$203,"*"&amp;L27&amp;"*")=1,INDEX('دليل العملاء'!$A$4:$A$203,MATCH("*"&amp;L27&amp;"*",'دليل العملاء'!$D$4:$D$203,0)),IF(COUNTIF('دليل العملاء'!$D$4:$D$203,"*"&amp;L27&amp;"*")&gt;1,"⚠ أكثر من عميل — اكتب كلمة أوضح","⚠ غير موجود في الدليل"))))</f>
        <v/>
      </c>
      <c r="C27" s="8"/>
      <c r="D27" s="9" t="str">
        <f aca="false">IF(M27="","",IFERROR(INDEX('دليل الأصناف'!$A$4:$A$203,MATCH(M27,'دليل الأصناف'!$C$4:$C$203,0)),IF(COUNTIF('دليل الأصناف'!$D$4:$D$203,"*"&amp;M27&amp;"*")=1,INDEX('دليل الأصناف'!$A$4:$A$203,MATCH("*"&amp;M27&amp;"*",'دليل الأصناف'!$D$4:$D$203,0)),IF(COUNTIF('دليل الأصناف'!$D$4:$D$203,"*"&amp;M27&amp;"*")&gt;1,"⚠ أكثر من صنف — اكتب كلمة أوضح","⚠ غير موجود في الدليل"))))</f>
        <v/>
      </c>
      <c r="E27" s="10"/>
      <c r="F27" s="10"/>
      <c r="G27" s="10" t="s">
        <v>20</v>
      </c>
      <c r="H27" s="11" t="n">
        <f aca="false">IF(OR(E27="",F27=""),0,IF(G27="شامل الضريبة",ROUND(ROUND(E27*F27,2)/1.15,2),ROUND(E27*F27,2)))</f>
        <v>0</v>
      </c>
      <c r="I27" s="11" t="n">
        <f aca="false">IF(OR(E27="",F27=""),0,IF(G27="شامل الضريبة",ROUND(E27*F27,2)-H27,ROUND(H27*0.15,2)))</f>
        <v>0</v>
      </c>
      <c r="J27" s="12" t="n">
        <f aca="false">H27+I27</f>
        <v>0</v>
      </c>
      <c r="K27" s="8"/>
      <c r="L27" s="0" t="str">
        <f aca="false">SUBSTITUTE(SUBSTITUTE(SUBSTITUTE(SUBSTITUTE(SUBSTITUTE(SUBSTITUTE(TRIM(A27),"أ","ا"),"إ","ا"),"آ","ا"),"ة","ه"),"ى","ي"),"ـ","")</f>
        <v/>
      </c>
      <c r="M27" s="0" t="str">
        <f aca="false">SUBSTITUTE(SUBSTITUTE(SUBSTITUTE(SUBSTITUTE(SUBSTITUTE(SUBSTITUTE(TRIM(C27),"أ","ا"),"إ","ا"),"آ","ا"),"ة","ه"),"ى","ي"),"ـ","")</f>
        <v/>
      </c>
    </row>
    <row r="28" customFormat="false" ht="15" hidden="false" customHeight="false" outlineLevel="0" collapsed="false">
      <c r="A28" s="8"/>
      <c r="B28" s="9" t="str">
        <f aca="false">IF(L28="","",IFERROR(INDEX('دليل العملاء'!$A$4:$A$203,MATCH(L28,'دليل العملاء'!$C$4:$C$203,0)),IF(COUNTIF('دليل العملاء'!$D$4:$D$203,"*"&amp;L28&amp;"*")=1,INDEX('دليل العملاء'!$A$4:$A$203,MATCH("*"&amp;L28&amp;"*",'دليل العملاء'!$D$4:$D$203,0)),IF(COUNTIF('دليل العملاء'!$D$4:$D$203,"*"&amp;L28&amp;"*")&gt;1,"⚠ أكثر من عميل — اكتب كلمة أوضح","⚠ غير موجود في الدليل"))))</f>
        <v/>
      </c>
      <c r="C28" s="8"/>
      <c r="D28" s="9" t="str">
        <f aca="false">IF(M28="","",IFERROR(INDEX('دليل الأصناف'!$A$4:$A$203,MATCH(M28,'دليل الأصناف'!$C$4:$C$203,0)),IF(COUNTIF('دليل الأصناف'!$D$4:$D$203,"*"&amp;M28&amp;"*")=1,INDEX('دليل الأصناف'!$A$4:$A$203,MATCH("*"&amp;M28&amp;"*",'دليل الأصناف'!$D$4:$D$203,0)),IF(COUNTIF('دليل الأصناف'!$D$4:$D$203,"*"&amp;M28&amp;"*")&gt;1,"⚠ أكثر من صنف — اكتب كلمة أوضح","⚠ غير موجود في الدليل"))))</f>
        <v/>
      </c>
      <c r="E28" s="10"/>
      <c r="F28" s="10"/>
      <c r="G28" s="10" t="s">
        <v>20</v>
      </c>
      <c r="H28" s="11" t="n">
        <f aca="false">IF(OR(E28="",F28=""),0,IF(G28="شامل الضريبة",ROUND(ROUND(E28*F28,2)/1.15,2),ROUND(E28*F28,2)))</f>
        <v>0</v>
      </c>
      <c r="I28" s="11" t="n">
        <f aca="false">IF(OR(E28="",F28=""),0,IF(G28="شامل الضريبة",ROUND(E28*F28,2)-H28,ROUND(H28*0.15,2)))</f>
        <v>0</v>
      </c>
      <c r="J28" s="12" t="n">
        <f aca="false">H28+I28</f>
        <v>0</v>
      </c>
      <c r="K28" s="8"/>
      <c r="L28" s="0" t="str">
        <f aca="false">SUBSTITUTE(SUBSTITUTE(SUBSTITUTE(SUBSTITUTE(SUBSTITUTE(SUBSTITUTE(TRIM(A28),"أ","ا"),"إ","ا"),"آ","ا"),"ة","ه"),"ى","ي"),"ـ","")</f>
        <v/>
      </c>
      <c r="M28" s="0" t="str">
        <f aca="false">SUBSTITUTE(SUBSTITUTE(SUBSTITUTE(SUBSTITUTE(SUBSTITUTE(SUBSTITUTE(TRIM(C28),"أ","ا"),"إ","ا"),"آ","ا"),"ة","ه"),"ى","ي"),"ـ","")</f>
        <v/>
      </c>
    </row>
    <row r="29" customFormat="false" ht="15" hidden="false" customHeight="false" outlineLevel="0" collapsed="false">
      <c r="A29" s="8"/>
      <c r="B29" s="9" t="str">
        <f aca="false">IF(L29="","",IFERROR(INDEX('دليل العملاء'!$A$4:$A$203,MATCH(L29,'دليل العملاء'!$C$4:$C$203,0)),IF(COUNTIF('دليل العملاء'!$D$4:$D$203,"*"&amp;L29&amp;"*")=1,INDEX('دليل العملاء'!$A$4:$A$203,MATCH("*"&amp;L29&amp;"*",'دليل العملاء'!$D$4:$D$203,0)),IF(COUNTIF('دليل العملاء'!$D$4:$D$203,"*"&amp;L29&amp;"*")&gt;1,"⚠ أكثر من عميل — اكتب كلمة أوضح","⚠ غير موجود في الدليل"))))</f>
        <v/>
      </c>
      <c r="C29" s="8"/>
      <c r="D29" s="9" t="str">
        <f aca="false">IF(M29="","",IFERROR(INDEX('دليل الأصناف'!$A$4:$A$203,MATCH(M29,'دليل الأصناف'!$C$4:$C$203,0)),IF(COUNTIF('دليل الأصناف'!$D$4:$D$203,"*"&amp;M29&amp;"*")=1,INDEX('دليل الأصناف'!$A$4:$A$203,MATCH("*"&amp;M29&amp;"*",'دليل الأصناف'!$D$4:$D$203,0)),IF(COUNTIF('دليل الأصناف'!$D$4:$D$203,"*"&amp;M29&amp;"*")&gt;1,"⚠ أكثر من صنف — اكتب كلمة أوضح","⚠ غير موجود في الدليل"))))</f>
        <v/>
      </c>
      <c r="E29" s="10"/>
      <c r="F29" s="10"/>
      <c r="G29" s="10" t="s">
        <v>20</v>
      </c>
      <c r="H29" s="11" t="n">
        <f aca="false">IF(OR(E29="",F29=""),0,IF(G29="شامل الضريبة",ROUND(ROUND(E29*F29,2)/1.15,2),ROUND(E29*F29,2)))</f>
        <v>0</v>
      </c>
      <c r="I29" s="11" t="n">
        <f aca="false">IF(OR(E29="",F29=""),0,IF(G29="شامل الضريبة",ROUND(E29*F29,2)-H29,ROUND(H29*0.15,2)))</f>
        <v>0</v>
      </c>
      <c r="J29" s="12" t="n">
        <f aca="false">H29+I29</f>
        <v>0</v>
      </c>
      <c r="K29" s="8"/>
      <c r="L29" s="0" t="str">
        <f aca="false">SUBSTITUTE(SUBSTITUTE(SUBSTITUTE(SUBSTITUTE(SUBSTITUTE(SUBSTITUTE(TRIM(A29),"أ","ا"),"إ","ا"),"آ","ا"),"ة","ه"),"ى","ي"),"ـ","")</f>
        <v/>
      </c>
      <c r="M29" s="0" t="str">
        <f aca="false">SUBSTITUTE(SUBSTITUTE(SUBSTITUTE(SUBSTITUTE(SUBSTITUTE(SUBSTITUTE(TRIM(C29),"أ","ا"),"إ","ا"),"آ","ا"),"ة","ه"),"ى","ي"),"ـ","")</f>
        <v/>
      </c>
    </row>
    <row r="30" customFormat="false" ht="15" hidden="false" customHeight="false" outlineLevel="0" collapsed="false">
      <c r="A30" s="8"/>
      <c r="B30" s="9" t="str">
        <f aca="false">IF(L30="","",IFERROR(INDEX('دليل العملاء'!$A$4:$A$203,MATCH(L30,'دليل العملاء'!$C$4:$C$203,0)),IF(COUNTIF('دليل العملاء'!$D$4:$D$203,"*"&amp;L30&amp;"*")=1,INDEX('دليل العملاء'!$A$4:$A$203,MATCH("*"&amp;L30&amp;"*",'دليل العملاء'!$D$4:$D$203,0)),IF(COUNTIF('دليل العملاء'!$D$4:$D$203,"*"&amp;L30&amp;"*")&gt;1,"⚠ أكثر من عميل — اكتب كلمة أوضح","⚠ غير موجود في الدليل"))))</f>
        <v/>
      </c>
      <c r="C30" s="8"/>
      <c r="D30" s="9" t="str">
        <f aca="false">IF(M30="","",IFERROR(INDEX('دليل الأصناف'!$A$4:$A$203,MATCH(M30,'دليل الأصناف'!$C$4:$C$203,0)),IF(COUNTIF('دليل الأصناف'!$D$4:$D$203,"*"&amp;M30&amp;"*")=1,INDEX('دليل الأصناف'!$A$4:$A$203,MATCH("*"&amp;M30&amp;"*",'دليل الأصناف'!$D$4:$D$203,0)),IF(COUNTIF('دليل الأصناف'!$D$4:$D$203,"*"&amp;M30&amp;"*")&gt;1,"⚠ أكثر من صنف — اكتب كلمة أوضح","⚠ غير موجود في الدليل"))))</f>
        <v/>
      </c>
      <c r="E30" s="10"/>
      <c r="F30" s="10"/>
      <c r="G30" s="10" t="s">
        <v>20</v>
      </c>
      <c r="H30" s="11" t="n">
        <f aca="false">IF(OR(E30="",F30=""),0,IF(G30="شامل الضريبة",ROUND(ROUND(E30*F30,2)/1.15,2),ROUND(E30*F30,2)))</f>
        <v>0</v>
      </c>
      <c r="I30" s="11" t="n">
        <f aca="false">IF(OR(E30="",F30=""),0,IF(G30="شامل الضريبة",ROUND(E30*F30,2)-H30,ROUND(H30*0.15,2)))</f>
        <v>0</v>
      </c>
      <c r="J30" s="12" t="n">
        <f aca="false">H30+I30</f>
        <v>0</v>
      </c>
      <c r="K30" s="8"/>
      <c r="L30" s="0" t="str">
        <f aca="false">SUBSTITUTE(SUBSTITUTE(SUBSTITUTE(SUBSTITUTE(SUBSTITUTE(SUBSTITUTE(TRIM(A30),"أ","ا"),"إ","ا"),"آ","ا"),"ة","ه"),"ى","ي"),"ـ","")</f>
        <v/>
      </c>
      <c r="M30" s="0" t="str">
        <f aca="false">SUBSTITUTE(SUBSTITUTE(SUBSTITUTE(SUBSTITUTE(SUBSTITUTE(SUBSTITUTE(TRIM(C30),"أ","ا"),"إ","ا"),"آ","ا"),"ة","ه"),"ى","ي"),"ـ","")</f>
        <v/>
      </c>
    </row>
    <row r="31" customFormat="false" ht="15" hidden="false" customHeight="false" outlineLevel="0" collapsed="false">
      <c r="A31" s="8"/>
      <c r="B31" s="9" t="str">
        <f aca="false">IF(L31="","",IFERROR(INDEX('دليل العملاء'!$A$4:$A$203,MATCH(L31,'دليل العملاء'!$C$4:$C$203,0)),IF(COUNTIF('دليل العملاء'!$D$4:$D$203,"*"&amp;L31&amp;"*")=1,INDEX('دليل العملاء'!$A$4:$A$203,MATCH("*"&amp;L31&amp;"*",'دليل العملاء'!$D$4:$D$203,0)),IF(COUNTIF('دليل العملاء'!$D$4:$D$203,"*"&amp;L31&amp;"*")&gt;1,"⚠ أكثر من عميل — اكتب كلمة أوضح","⚠ غير موجود في الدليل"))))</f>
        <v/>
      </c>
      <c r="C31" s="8"/>
      <c r="D31" s="9" t="str">
        <f aca="false">IF(M31="","",IFERROR(INDEX('دليل الأصناف'!$A$4:$A$203,MATCH(M31,'دليل الأصناف'!$C$4:$C$203,0)),IF(COUNTIF('دليل الأصناف'!$D$4:$D$203,"*"&amp;M31&amp;"*")=1,INDEX('دليل الأصناف'!$A$4:$A$203,MATCH("*"&amp;M31&amp;"*",'دليل الأصناف'!$D$4:$D$203,0)),IF(COUNTIF('دليل الأصناف'!$D$4:$D$203,"*"&amp;M31&amp;"*")&gt;1,"⚠ أكثر من صنف — اكتب كلمة أوضح","⚠ غير موجود في الدليل"))))</f>
        <v/>
      </c>
      <c r="E31" s="10"/>
      <c r="F31" s="10"/>
      <c r="G31" s="10" t="s">
        <v>20</v>
      </c>
      <c r="H31" s="11" t="n">
        <f aca="false">IF(OR(E31="",F31=""),0,IF(G31="شامل الضريبة",ROUND(ROUND(E31*F31,2)/1.15,2),ROUND(E31*F31,2)))</f>
        <v>0</v>
      </c>
      <c r="I31" s="11" t="n">
        <f aca="false">IF(OR(E31="",F31=""),0,IF(G31="شامل الضريبة",ROUND(E31*F31,2)-H31,ROUND(H31*0.15,2)))</f>
        <v>0</v>
      </c>
      <c r="J31" s="12" t="n">
        <f aca="false">H31+I31</f>
        <v>0</v>
      </c>
      <c r="K31" s="8"/>
      <c r="L31" s="0" t="str">
        <f aca="false">SUBSTITUTE(SUBSTITUTE(SUBSTITUTE(SUBSTITUTE(SUBSTITUTE(SUBSTITUTE(TRIM(A31),"أ","ا"),"إ","ا"),"آ","ا"),"ة","ه"),"ى","ي"),"ـ","")</f>
        <v/>
      </c>
      <c r="M31" s="0" t="str">
        <f aca="false">SUBSTITUTE(SUBSTITUTE(SUBSTITUTE(SUBSTITUTE(SUBSTITUTE(SUBSTITUTE(TRIM(C31),"أ","ا"),"إ","ا"),"آ","ا"),"ة","ه"),"ى","ي"),"ـ","")</f>
        <v/>
      </c>
    </row>
    <row r="32" customFormat="false" ht="15" hidden="false" customHeight="false" outlineLevel="0" collapsed="false">
      <c r="A32" s="8"/>
      <c r="B32" s="9" t="str">
        <f aca="false">IF(L32="","",IFERROR(INDEX('دليل العملاء'!$A$4:$A$203,MATCH(L32,'دليل العملاء'!$C$4:$C$203,0)),IF(COUNTIF('دليل العملاء'!$D$4:$D$203,"*"&amp;L32&amp;"*")=1,INDEX('دليل العملاء'!$A$4:$A$203,MATCH("*"&amp;L32&amp;"*",'دليل العملاء'!$D$4:$D$203,0)),IF(COUNTIF('دليل العملاء'!$D$4:$D$203,"*"&amp;L32&amp;"*")&gt;1,"⚠ أكثر من عميل — اكتب كلمة أوضح","⚠ غير موجود في الدليل"))))</f>
        <v/>
      </c>
      <c r="C32" s="8"/>
      <c r="D32" s="9" t="str">
        <f aca="false">IF(M32="","",IFERROR(INDEX('دليل الأصناف'!$A$4:$A$203,MATCH(M32,'دليل الأصناف'!$C$4:$C$203,0)),IF(COUNTIF('دليل الأصناف'!$D$4:$D$203,"*"&amp;M32&amp;"*")=1,INDEX('دليل الأصناف'!$A$4:$A$203,MATCH("*"&amp;M32&amp;"*",'دليل الأصناف'!$D$4:$D$203,0)),IF(COUNTIF('دليل الأصناف'!$D$4:$D$203,"*"&amp;M32&amp;"*")&gt;1,"⚠ أكثر من صنف — اكتب كلمة أوضح","⚠ غير موجود في الدليل"))))</f>
        <v/>
      </c>
      <c r="E32" s="10"/>
      <c r="F32" s="10"/>
      <c r="G32" s="10" t="s">
        <v>20</v>
      </c>
      <c r="H32" s="11" t="n">
        <f aca="false">IF(OR(E32="",F32=""),0,IF(G32="شامل الضريبة",ROUND(ROUND(E32*F32,2)/1.15,2),ROUND(E32*F32,2)))</f>
        <v>0</v>
      </c>
      <c r="I32" s="11" t="n">
        <f aca="false">IF(OR(E32="",F32=""),0,IF(G32="شامل الضريبة",ROUND(E32*F32,2)-H32,ROUND(H32*0.15,2)))</f>
        <v>0</v>
      </c>
      <c r="J32" s="12" t="n">
        <f aca="false">H32+I32</f>
        <v>0</v>
      </c>
      <c r="K32" s="8"/>
      <c r="L32" s="0" t="str">
        <f aca="false">SUBSTITUTE(SUBSTITUTE(SUBSTITUTE(SUBSTITUTE(SUBSTITUTE(SUBSTITUTE(TRIM(A32),"أ","ا"),"إ","ا"),"آ","ا"),"ة","ه"),"ى","ي"),"ـ","")</f>
        <v/>
      </c>
      <c r="M32" s="0" t="str">
        <f aca="false">SUBSTITUTE(SUBSTITUTE(SUBSTITUTE(SUBSTITUTE(SUBSTITUTE(SUBSTITUTE(TRIM(C32),"أ","ا"),"إ","ا"),"آ","ا"),"ة","ه"),"ى","ي"),"ـ","")</f>
        <v/>
      </c>
    </row>
    <row r="33" customFormat="false" ht="15" hidden="false" customHeight="false" outlineLevel="0" collapsed="false">
      <c r="A33" s="8"/>
      <c r="B33" s="9" t="str">
        <f aca="false">IF(L33="","",IFERROR(INDEX('دليل العملاء'!$A$4:$A$203,MATCH(L33,'دليل العملاء'!$C$4:$C$203,0)),IF(COUNTIF('دليل العملاء'!$D$4:$D$203,"*"&amp;L33&amp;"*")=1,INDEX('دليل العملاء'!$A$4:$A$203,MATCH("*"&amp;L33&amp;"*",'دليل العملاء'!$D$4:$D$203,0)),IF(COUNTIF('دليل العملاء'!$D$4:$D$203,"*"&amp;L33&amp;"*")&gt;1,"⚠ أكثر من عميل — اكتب كلمة أوضح","⚠ غير موجود في الدليل"))))</f>
        <v/>
      </c>
      <c r="C33" s="8"/>
      <c r="D33" s="9" t="str">
        <f aca="false">IF(M33="","",IFERROR(INDEX('دليل الأصناف'!$A$4:$A$203,MATCH(M33,'دليل الأصناف'!$C$4:$C$203,0)),IF(COUNTIF('دليل الأصناف'!$D$4:$D$203,"*"&amp;M33&amp;"*")=1,INDEX('دليل الأصناف'!$A$4:$A$203,MATCH("*"&amp;M33&amp;"*",'دليل الأصناف'!$D$4:$D$203,0)),IF(COUNTIF('دليل الأصناف'!$D$4:$D$203,"*"&amp;M33&amp;"*")&gt;1,"⚠ أكثر من صنف — اكتب كلمة أوضح","⚠ غير موجود في الدليل"))))</f>
        <v/>
      </c>
      <c r="E33" s="10"/>
      <c r="F33" s="10"/>
      <c r="G33" s="10" t="s">
        <v>20</v>
      </c>
      <c r="H33" s="11" t="n">
        <f aca="false">IF(OR(E33="",F33=""),0,IF(G33="شامل الضريبة",ROUND(ROUND(E33*F33,2)/1.15,2),ROUND(E33*F33,2)))</f>
        <v>0</v>
      </c>
      <c r="I33" s="11" t="n">
        <f aca="false">IF(OR(E33="",F33=""),0,IF(G33="شامل الضريبة",ROUND(E33*F33,2)-H33,ROUND(H33*0.15,2)))</f>
        <v>0</v>
      </c>
      <c r="J33" s="12" t="n">
        <f aca="false">H33+I33</f>
        <v>0</v>
      </c>
      <c r="K33" s="8"/>
      <c r="L33" s="0" t="str">
        <f aca="false">SUBSTITUTE(SUBSTITUTE(SUBSTITUTE(SUBSTITUTE(SUBSTITUTE(SUBSTITUTE(TRIM(A33),"أ","ا"),"إ","ا"),"آ","ا"),"ة","ه"),"ى","ي"),"ـ","")</f>
        <v/>
      </c>
      <c r="M33" s="0" t="str">
        <f aca="false">SUBSTITUTE(SUBSTITUTE(SUBSTITUTE(SUBSTITUTE(SUBSTITUTE(SUBSTITUTE(TRIM(C33),"أ","ا"),"إ","ا"),"آ","ا"),"ة","ه"),"ى","ي"),"ـ","")</f>
        <v/>
      </c>
    </row>
    <row r="34" customFormat="false" ht="15" hidden="false" customHeight="false" outlineLevel="0" collapsed="false">
      <c r="A34" s="8"/>
      <c r="B34" s="9" t="str">
        <f aca="false">IF(L34="","",IFERROR(INDEX('دليل العملاء'!$A$4:$A$203,MATCH(L34,'دليل العملاء'!$C$4:$C$203,0)),IF(COUNTIF('دليل العملاء'!$D$4:$D$203,"*"&amp;L34&amp;"*")=1,INDEX('دليل العملاء'!$A$4:$A$203,MATCH("*"&amp;L34&amp;"*",'دليل العملاء'!$D$4:$D$203,0)),IF(COUNTIF('دليل العملاء'!$D$4:$D$203,"*"&amp;L34&amp;"*")&gt;1,"⚠ أكثر من عميل — اكتب كلمة أوضح","⚠ غير موجود في الدليل"))))</f>
        <v/>
      </c>
      <c r="C34" s="8"/>
      <c r="D34" s="9" t="str">
        <f aca="false">IF(M34="","",IFERROR(INDEX('دليل الأصناف'!$A$4:$A$203,MATCH(M34,'دليل الأصناف'!$C$4:$C$203,0)),IF(COUNTIF('دليل الأصناف'!$D$4:$D$203,"*"&amp;M34&amp;"*")=1,INDEX('دليل الأصناف'!$A$4:$A$203,MATCH("*"&amp;M34&amp;"*",'دليل الأصناف'!$D$4:$D$203,0)),IF(COUNTIF('دليل الأصناف'!$D$4:$D$203,"*"&amp;M34&amp;"*")&gt;1,"⚠ أكثر من صنف — اكتب كلمة أوضح","⚠ غير موجود في الدليل"))))</f>
        <v/>
      </c>
      <c r="E34" s="10"/>
      <c r="F34" s="10"/>
      <c r="G34" s="10" t="s">
        <v>20</v>
      </c>
      <c r="H34" s="11" t="n">
        <f aca="false">IF(OR(E34="",F34=""),0,IF(G34="شامل الضريبة",ROUND(ROUND(E34*F34,2)/1.15,2),ROUND(E34*F34,2)))</f>
        <v>0</v>
      </c>
      <c r="I34" s="11" t="n">
        <f aca="false">IF(OR(E34="",F34=""),0,IF(G34="شامل الضريبة",ROUND(E34*F34,2)-H34,ROUND(H34*0.15,2)))</f>
        <v>0</v>
      </c>
      <c r="J34" s="12" t="n">
        <f aca="false">H34+I34</f>
        <v>0</v>
      </c>
      <c r="K34" s="8"/>
      <c r="L34" s="0" t="str">
        <f aca="false">SUBSTITUTE(SUBSTITUTE(SUBSTITUTE(SUBSTITUTE(SUBSTITUTE(SUBSTITUTE(TRIM(A34),"أ","ا"),"إ","ا"),"آ","ا"),"ة","ه"),"ى","ي"),"ـ","")</f>
        <v/>
      </c>
      <c r="M34" s="0" t="str">
        <f aca="false">SUBSTITUTE(SUBSTITUTE(SUBSTITUTE(SUBSTITUTE(SUBSTITUTE(SUBSTITUTE(TRIM(C34),"أ","ا"),"إ","ا"),"آ","ا"),"ة","ه"),"ى","ي"),"ـ","")</f>
        <v/>
      </c>
    </row>
    <row r="35" customFormat="false" ht="15" hidden="false" customHeight="false" outlineLevel="0" collapsed="false">
      <c r="A35" s="8"/>
      <c r="B35" s="9" t="str">
        <f aca="false">IF(L35="","",IFERROR(INDEX('دليل العملاء'!$A$4:$A$203,MATCH(L35,'دليل العملاء'!$C$4:$C$203,0)),IF(COUNTIF('دليل العملاء'!$D$4:$D$203,"*"&amp;L35&amp;"*")=1,INDEX('دليل العملاء'!$A$4:$A$203,MATCH("*"&amp;L35&amp;"*",'دليل العملاء'!$D$4:$D$203,0)),IF(COUNTIF('دليل العملاء'!$D$4:$D$203,"*"&amp;L35&amp;"*")&gt;1,"⚠ أكثر من عميل — اكتب كلمة أوضح","⚠ غير موجود في الدليل"))))</f>
        <v/>
      </c>
      <c r="C35" s="8"/>
      <c r="D35" s="9" t="str">
        <f aca="false">IF(M35="","",IFERROR(INDEX('دليل الأصناف'!$A$4:$A$203,MATCH(M35,'دليل الأصناف'!$C$4:$C$203,0)),IF(COUNTIF('دليل الأصناف'!$D$4:$D$203,"*"&amp;M35&amp;"*")=1,INDEX('دليل الأصناف'!$A$4:$A$203,MATCH("*"&amp;M35&amp;"*",'دليل الأصناف'!$D$4:$D$203,0)),IF(COUNTIF('دليل الأصناف'!$D$4:$D$203,"*"&amp;M35&amp;"*")&gt;1,"⚠ أكثر من صنف — اكتب كلمة أوضح","⚠ غير موجود في الدليل"))))</f>
        <v/>
      </c>
      <c r="E35" s="10"/>
      <c r="F35" s="10"/>
      <c r="G35" s="10" t="s">
        <v>20</v>
      </c>
      <c r="H35" s="11" t="n">
        <f aca="false">IF(OR(E35="",F35=""),0,IF(G35="شامل الضريبة",ROUND(ROUND(E35*F35,2)/1.15,2),ROUND(E35*F35,2)))</f>
        <v>0</v>
      </c>
      <c r="I35" s="11" t="n">
        <f aca="false">IF(OR(E35="",F35=""),0,IF(G35="شامل الضريبة",ROUND(E35*F35,2)-H35,ROUND(H35*0.15,2)))</f>
        <v>0</v>
      </c>
      <c r="J35" s="12" t="n">
        <f aca="false">H35+I35</f>
        <v>0</v>
      </c>
      <c r="K35" s="8"/>
      <c r="L35" s="0" t="str">
        <f aca="false">SUBSTITUTE(SUBSTITUTE(SUBSTITUTE(SUBSTITUTE(SUBSTITUTE(SUBSTITUTE(TRIM(A35),"أ","ا"),"إ","ا"),"آ","ا"),"ة","ه"),"ى","ي"),"ـ","")</f>
        <v/>
      </c>
      <c r="M35" s="0" t="str">
        <f aca="false">SUBSTITUTE(SUBSTITUTE(SUBSTITUTE(SUBSTITUTE(SUBSTITUTE(SUBSTITUTE(TRIM(C35),"أ","ا"),"إ","ا"),"آ","ا"),"ة","ه"),"ى","ي"),"ـ","")</f>
        <v/>
      </c>
    </row>
    <row r="36" customFormat="false" ht="15" hidden="false" customHeight="false" outlineLevel="0" collapsed="false">
      <c r="A36" s="8"/>
      <c r="B36" s="9" t="str">
        <f aca="false">IF(L36="","",IFERROR(INDEX('دليل العملاء'!$A$4:$A$203,MATCH(L36,'دليل العملاء'!$C$4:$C$203,0)),IF(COUNTIF('دليل العملاء'!$D$4:$D$203,"*"&amp;L36&amp;"*")=1,INDEX('دليل العملاء'!$A$4:$A$203,MATCH("*"&amp;L36&amp;"*",'دليل العملاء'!$D$4:$D$203,0)),IF(COUNTIF('دليل العملاء'!$D$4:$D$203,"*"&amp;L36&amp;"*")&gt;1,"⚠ أكثر من عميل — اكتب كلمة أوضح","⚠ غير موجود في الدليل"))))</f>
        <v/>
      </c>
      <c r="C36" s="8"/>
      <c r="D36" s="9" t="str">
        <f aca="false">IF(M36="","",IFERROR(INDEX('دليل الأصناف'!$A$4:$A$203,MATCH(M36,'دليل الأصناف'!$C$4:$C$203,0)),IF(COUNTIF('دليل الأصناف'!$D$4:$D$203,"*"&amp;M36&amp;"*")=1,INDEX('دليل الأصناف'!$A$4:$A$203,MATCH("*"&amp;M36&amp;"*",'دليل الأصناف'!$D$4:$D$203,0)),IF(COUNTIF('دليل الأصناف'!$D$4:$D$203,"*"&amp;M36&amp;"*")&gt;1,"⚠ أكثر من صنف — اكتب كلمة أوضح","⚠ غير موجود في الدليل"))))</f>
        <v/>
      </c>
      <c r="E36" s="10"/>
      <c r="F36" s="10"/>
      <c r="G36" s="10" t="s">
        <v>20</v>
      </c>
      <c r="H36" s="11" t="n">
        <f aca="false">IF(OR(E36="",F36=""),0,IF(G36="شامل الضريبة",ROUND(ROUND(E36*F36,2)/1.15,2),ROUND(E36*F36,2)))</f>
        <v>0</v>
      </c>
      <c r="I36" s="11" t="n">
        <f aca="false">IF(OR(E36="",F36=""),0,IF(G36="شامل الضريبة",ROUND(E36*F36,2)-H36,ROUND(H36*0.15,2)))</f>
        <v>0</v>
      </c>
      <c r="J36" s="12" t="n">
        <f aca="false">H36+I36</f>
        <v>0</v>
      </c>
      <c r="K36" s="8"/>
      <c r="L36" s="0" t="str">
        <f aca="false">SUBSTITUTE(SUBSTITUTE(SUBSTITUTE(SUBSTITUTE(SUBSTITUTE(SUBSTITUTE(TRIM(A36),"أ","ا"),"إ","ا"),"آ","ا"),"ة","ه"),"ى","ي"),"ـ","")</f>
        <v/>
      </c>
      <c r="M36" s="0" t="str">
        <f aca="false">SUBSTITUTE(SUBSTITUTE(SUBSTITUTE(SUBSTITUTE(SUBSTITUTE(SUBSTITUTE(TRIM(C36),"أ","ا"),"إ","ا"),"آ","ا"),"ة","ه"),"ى","ي"),"ـ","")</f>
        <v/>
      </c>
    </row>
    <row r="37" customFormat="false" ht="15" hidden="false" customHeight="false" outlineLevel="0" collapsed="false">
      <c r="A37" s="8"/>
      <c r="B37" s="9" t="str">
        <f aca="false">IF(L37="","",IFERROR(INDEX('دليل العملاء'!$A$4:$A$203,MATCH(L37,'دليل العملاء'!$C$4:$C$203,0)),IF(COUNTIF('دليل العملاء'!$D$4:$D$203,"*"&amp;L37&amp;"*")=1,INDEX('دليل العملاء'!$A$4:$A$203,MATCH("*"&amp;L37&amp;"*",'دليل العملاء'!$D$4:$D$203,0)),IF(COUNTIF('دليل العملاء'!$D$4:$D$203,"*"&amp;L37&amp;"*")&gt;1,"⚠ أكثر من عميل — اكتب كلمة أوضح","⚠ غير موجود في الدليل"))))</f>
        <v/>
      </c>
      <c r="C37" s="8"/>
      <c r="D37" s="9" t="str">
        <f aca="false">IF(M37="","",IFERROR(INDEX('دليل الأصناف'!$A$4:$A$203,MATCH(M37,'دليل الأصناف'!$C$4:$C$203,0)),IF(COUNTIF('دليل الأصناف'!$D$4:$D$203,"*"&amp;M37&amp;"*")=1,INDEX('دليل الأصناف'!$A$4:$A$203,MATCH("*"&amp;M37&amp;"*",'دليل الأصناف'!$D$4:$D$203,0)),IF(COUNTIF('دليل الأصناف'!$D$4:$D$203,"*"&amp;M37&amp;"*")&gt;1,"⚠ أكثر من صنف — اكتب كلمة أوضح","⚠ غير موجود في الدليل"))))</f>
        <v/>
      </c>
      <c r="E37" s="10"/>
      <c r="F37" s="10"/>
      <c r="G37" s="10" t="s">
        <v>20</v>
      </c>
      <c r="H37" s="11" t="n">
        <f aca="false">IF(OR(E37="",F37=""),0,IF(G37="شامل الضريبة",ROUND(ROUND(E37*F37,2)/1.15,2),ROUND(E37*F37,2)))</f>
        <v>0</v>
      </c>
      <c r="I37" s="11" t="n">
        <f aca="false">IF(OR(E37="",F37=""),0,IF(G37="شامل الضريبة",ROUND(E37*F37,2)-H37,ROUND(H37*0.15,2)))</f>
        <v>0</v>
      </c>
      <c r="J37" s="12" t="n">
        <f aca="false">H37+I37</f>
        <v>0</v>
      </c>
      <c r="K37" s="8"/>
      <c r="L37" s="0" t="str">
        <f aca="false">SUBSTITUTE(SUBSTITUTE(SUBSTITUTE(SUBSTITUTE(SUBSTITUTE(SUBSTITUTE(TRIM(A37),"أ","ا"),"إ","ا"),"آ","ا"),"ة","ه"),"ى","ي"),"ـ","")</f>
        <v/>
      </c>
      <c r="M37" s="0" t="str">
        <f aca="false">SUBSTITUTE(SUBSTITUTE(SUBSTITUTE(SUBSTITUTE(SUBSTITUTE(SUBSTITUTE(TRIM(C37),"أ","ا"),"إ","ا"),"آ","ا"),"ة","ه"),"ى","ي"),"ـ","")</f>
        <v/>
      </c>
    </row>
    <row r="38" customFormat="false" ht="15" hidden="false" customHeight="false" outlineLevel="0" collapsed="false">
      <c r="A38" s="8"/>
      <c r="B38" s="9" t="str">
        <f aca="false">IF(L38="","",IFERROR(INDEX('دليل العملاء'!$A$4:$A$203,MATCH(L38,'دليل العملاء'!$C$4:$C$203,0)),IF(COUNTIF('دليل العملاء'!$D$4:$D$203,"*"&amp;L38&amp;"*")=1,INDEX('دليل العملاء'!$A$4:$A$203,MATCH("*"&amp;L38&amp;"*",'دليل العملاء'!$D$4:$D$203,0)),IF(COUNTIF('دليل العملاء'!$D$4:$D$203,"*"&amp;L38&amp;"*")&gt;1,"⚠ أكثر من عميل — اكتب كلمة أوضح","⚠ غير موجود في الدليل"))))</f>
        <v/>
      </c>
      <c r="C38" s="8"/>
      <c r="D38" s="9" t="str">
        <f aca="false">IF(M38="","",IFERROR(INDEX('دليل الأصناف'!$A$4:$A$203,MATCH(M38,'دليل الأصناف'!$C$4:$C$203,0)),IF(COUNTIF('دليل الأصناف'!$D$4:$D$203,"*"&amp;M38&amp;"*")=1,INDEX('دليل الأصناف'!$A$4:$A$203,MATCH("*"&amp;M38&amp;"*",'دليل الأصناف'!$D$4:$D$203,0)),IF(COUNTIF('دليل الأصناف'!$D$4:$D$203,"*"&amp;M38&amp;"*")&gt;1,"⚠ أكثر من صنف — اكتب كلمة أوضح","⚠ غير موجود في الدليل"))))</f>
        <v/>
      </c>
      <c r="E38" s="10"/>
      <c r="F38" s="10"/>
      <c r="G38" s="10" t="s">
        <v>20</v>
      </c>
      <c r="H38" s="11" t="n">
        <f aca="false">IF(OR(E38="",F38=""),0,IF(G38="شامل الضريبة",ROUND(ROUND(E38*F38,2)/1.15,2),ROUND(E38*F38,2)))</f>
        <v>0</v>
      </c>
      <c r="I38" s="11" t="n">
        <f aca="false">IF(OR(E38="",F38=""),0,IF(G38="شامل الضريبة",ROUND(E38*F38,2)-H38,ROUND(H38*0.15,2)))</f>
        <v>0</v>
      </c>
      <c r="J38" s="12" t="n">
        <f aca="false">H38+I38</f>
        <v>0</v>
      </c>
      <c r="K38" s="8"/>
      <c r="L38" s="0" t="str">
        <f aca="false">SUBSTITUTE(SUBSTITUTE(SUBSTITUTE(SUBSTITUTE(SUBSTITUTE(SUBSTITUTE(TRIM(A38),"أ","ا"),"إ","ا"),"آ","ا"),"ة","ه"),"ى","ي"),"ـ","")</f>
        <v/>
      </c>
      <c r="M38" s="0" t="str">
        <f aca="false">SUBSTITUTE(SUBSTITUTE(SUBSTITUTE(SUBSTITUTE(SUBSTITUTE(SUBSTITUTE(TRIM(C38),"أ","ا"),"إ","ا"),"آ","ا"),"ة","ه"),"ى","ي"),"ـ","")</f>
        <v/>
      </c>
    </row>
    <row r="39" customFormat="false" ht="15" hidden="false" customHeight="false" outlineLevel="0" collapsed="false">
      <c r="A39" s="8"/>
      <c r="B39" s="9" t="str">
        <f aca="false">IF(L39="","",IFERROR(INDEX('دليل العملاء'!$A$4:$A$203,MATCH(L39,'دليل العملاء'!$C$4:$C$203,0)),IF(COUNTIF('دليل العملاء'!$D$4:$D$203,"*"&amp;L39&amp;"*")=1,INDEX('دليل العملاء'!$A$4:$A$203,MATCH("*"&amp;L39&amp;"*",'دليل العملاء'!$D$4:$D$203,0)),IF(COUNTIF('دليل العملاء'!$D$4:$D$203,"*"&amp;L39&amp;"*")&gt;1,"⚠ أكثر من عميل — اكتب كلمة أوضح","⚠ غير موجود في الدليل"))))</f>
        <v/>
      </c>
      <c r="C39" s="8"/>
      <c r="D39" s="9" t="str">
        <f aca="false">IF(M39="","",IFERROR(INDEX('دليل الأصناف'!$A$4:$A$203,MATCH(M39,'دليل الأصناف'!$C$4:$C$203,0)),IF(COUNTIF('دليل الأصناف'!$D$4:$D$203,"*"&amp;M39&amp;"*")=1,INDEX('دليل الأصناف'!$A$4:$A$203,MATCH("*"&amp;M39&amp;"*",'دليل الأصناف'!$D$4:$D$203,0)),IF(COUNTIF('دليل الأصناف'!$D$4:$D$203,"*"&amp;M39&amp;"*")&gt;1,"⚠ أكثر من صنف — اكتب كلمة أوضح","⚠ غير موجود في الدليل"))))</f>
        <v/>
      </c>
      <c r="E39" s="10"/>
      <c r="F39" s="10"/>
      <c r="G39" s="10" t="s">
        <v>20</v>
      </c>
      <c r="H39" s="11" t="n">
        <f aca="false">IF(OR(E39="",F39=""),0,IF(G39="شامل الضريبة",ROUND(ROUND(E39*F39,2)/1.15,2),ROUND(E39*F39,2)))</f>
        <v>0</v>
      </c>
      <c r="I39" s="11" t="n">
        <f aca="false">IF(OR(E39="",F39=""),0,IF(G39="شامل الضريبة",ROUND(E39*F39,2)-H39,ROUND(H39*0.15,2)))</f>
        <v>0</v>
      </c>
      <c r="J39" s="12" t="n">
        <f aca="false">H39+I39</f>
        <v>0</v>
      </c>
      <c r="K39" s="8"/>
      <c r="L39" s="0" t="str">
        <f aca="false">SUBSTITUTE(SUBSTITUTE(SUBSTITUTE(SUBSTITUTE(SUBSTITUTE(SUBSTITUTE(TRIM(A39),"أ","ا"),"إ","ا"),"آ","ا"),"ة","ه"),"ى","ي"),"ـ","")</f>
        <v/>
      </c>
      <c r="M39" s="0" t="str">
        <f aca="false">SUBSTITUTE(SUBSTITUTE(SUBSTITUTE(SUBSTITUTE(SUBSTITUTE(SUBSTITUTE(TRIM(C39),"أ","ا"),"إ","ا"),"آ","ا"),"ة","ه"),"ى","ي"),"ـ","")</f>
        <v/>
      </c>
    </row>
    <row r="40" customFormat="false" ht="15" hidden="false" customHeight="false" outlineLevel="0" collapsed="false">
      <c r="A40" s="8"/>
      <c r="B40" s="9" t="str">
        <f aca="false">IF(L40="","",IFERROR(INDEX('دليل العملاء'!$A$4:$A$203,MATCH(L40,'دليل العملاء'!$C$4:$C$203,0)),IF(COUNTIF('دليل العملاء'!$D$4:$D$203,"*"&amp;L40&amp;"*")=1,INDEX('دليل العملاء'!$A$4:$A$203,MATCH("*"&amp;L40&amp;"*",'دليل العملاء'!$D$4:$D$203,0)),IF(COUNTIF('دليل العملاء'!$D$4:$D$203,"*"&amp;L40&amp;"*")&gt;1,"⚠ أكثر من عميل — اكتب كلمة أوضح","⚠ غير موجود في الدليل"))))</f>
        <v/>
      </c>
      <c r="C40" s="8"/>
      <c r="D40" s="9" t="str">
        <f aca="false">IF(M40="","",IFERROR(INDEX('دليل الأصناف'!$A$4:$A$203,MATCH(M40,'دليل الأصناف'!$C$4:$C$203,0)),IF(COUNTIF('دليل الأصناف'!$D$4:$D$203,"*"&amp;M40&amp;"*")=1,INDEX('دليل الأصناف'!$A$4:$A$203,MATCH("*"&amp;M40&amp;"*",'دليل الأصناف'!$D$4:$D$203,0)),IF(COUNTIF('دليل الأصناف'!$D$4:$D$203,"*"&amp;M40&amp;"*")&gt;1,"⚠ أكثر من صنف — اكتب كلمة أوضح","⚠ غير موجود في الدليل"))))</f>
        <v/>
      </c>
      <c r="E40" s="10"/>
      <c r="F40" s="10"/>
      <c r="G40" s="10" t="s">
        <v>20</v>
      </c>
      <c r="H40" s="11" t="n">
        <f aca="false">IF(OR(E40="",F40=""),0,IF(G40="شامل الضريبة",ROUND(ROUND(E40*F40,2)/1.15,2),ROUND(E40*F40,2)))</f>
        <v>0</v>
      </c>
      <c r="I40" s="11" t="n">
        <f aca="false">IF(OR(E40="",F40=""),0,IF(G40="شامل الضريبة",ROUND(E40*F40,2)-H40,ROUND(H40*0.15,2)))</f>
        <v>0</v>
      </c>
      <c r="J40" s="12" t="n">
        <f aca="false">H40+I40</f>
        <v>0</v>
      </c>
      <c r="K40" s="8"/>
      <c r="L40" s="0" t="str">
        <f aca="false">SUBSTITUTE(SUBSTITUTE(SUBSTITUTE(SUBSTITUTE(SUBSTITUTE(SUBSTITUTE(TRIM(A40),"أ","ا"),"إ","ا"),"آ","ا"),"ة","ه"),"ى","ي"),"ـ","")</f>
        <v/>
      </c>
      <c r="M40" s="0" t="str">
        <f aca="false">SUBSTITUTE(SUBSTITUTE(SUBSTITUTE(SUBSTITUTE(SUBSTITUTE(SUBSTITUTE(TRIM(C40),"أ","ا"),"إ","ا"),"آ","ا"),"ة","ه"),"ى","ي"),"ـ","")</f>
        <v/>
      </c>
    </row>
    <row r="41" customFormat="false" ht="15" hidden="false" customHeight="false" outlineLevel="0" collapsed="false">
      <c r="A41" s="8"/>
      <c r="B41" s="9" t="str">
        <f aca="false">IF(L41="","",IFERROR(INDEX('دليل العملاء'!$A$4:$A$203,MATCH(L41,'دليل العملاء'!$C$4:$C$203,0)),IF(COUNTIF('دليل العملاء'!$D$4:$D$203,"*"&amp;L41&amp;"*")=1,INDEX('دليل العملاء'!$A$4:$A$203,MATCH("*"&amp;L41&amp;"*",'دليل العملاء'!$D$4:$D$203,0)),IF(COUNTIF('دليل العملاء'!$D$4:$D$203,"*"&amp;L41&amp;"*")&gt;1,"⚠ أكثر من عميل — اكتب كلمة أوضح","⚠ غير موجود في الدليل"))))</f>
        <v/>
      </c>
      <c r="C41" s="8"/>
      <c r="D41" s="9" t="str">
        <f aca="false">IF(M41="","",IFERROR(INDEX('دليل الأصناف'!$A$4:$A$203,MATCH(M41,'دليل الأصناف'!$C$4:$C$203,0)),IF(COUNTIF('دليل الأصناف'!$D$4:$D$203,"*"&amp;M41&amp;"*")=1,INDEX('دليل الأصناف'!$A$4:$A$203,MATCH("*"&amp;M41&amp;"*",'دليل الأصناف'!$D$4:$D$203,0)),IF(COUNTIF('دليل الأصناف'!$D$4:$D$203,"*"&amp;M41&amp;"*")&gt;1,"⚠ أكثر من صنف — اكتب كلمة أوضح","⚠ غير موجود في الدليل"))))</f>
        <v/>
      </c>
      <c r="E41" s="10"/>
      <c r="F41" s="10"/>
      <c r="G41" s="10" t="s">
        <v>20</v>
      </c>
      <c r="H41" s="11" t="n">
        <f aca="false">IF(OR(E41="",F41=""),0,IF(G41="شامل الضريبة",ROUND(ROUND(E41*F41,2)/1.15,2),ROUND(E41*F41,2)))</f>
        <v>0</v>
      </c>
      <c r="I41" s="11" t="n">
        <f aca="false">IF(OR(E41="",F41=""),0,IF(G41="شامل الضريبة",ROUND(E41*F41,2)-H41,ROUND(H41*0.15,2)))</f>
        <v>0</v>
      </c>
      <c r="J41" s="12" t="n">
        <f aca="false">H41+I41</f>
        <v>0</v>
      </c>
      <c r="K41" s="8"/>
      <c r="L41" s="0" t="str">
        <f aca="false">SUBSTITUTE(SUBSTITUTE(SUBSTITUTE(SUBSTITUTE(SUBSTITUTE(SUBSTITUTE(TRIM(A41),"أ","ا"),"إ","ا"),"آ","ا"),"ة","ه"),"ى","ي"),"ـ","")</f>
        <v/>
      </c>
      <c r="M41" s="0" t="str">
        <f aca="false">SUBSTITUTE(SUBSTITUTE(SUBSTITUTE(SUBSTITUTE(SUBSTITUTE(SUBSTITUTE(TRIM(C41),"أ","ا"),"إ","ا"),"آ","ا"),"ة","ه"),"ى","ي"),"ـ","")</f>
        <v/>
      </c>
    </row>
    <row r="42" customFormat="false" ht="15" hidden="false" customHeight="false" outlineLevel="0" collapsed="false">
      <c r="A42" s="8"/>
      <c r="B42" s="9" t="str">
        <f aca="false">IF(L42="","",IFERROR(INDEX('دليل العملاء'!$A$4:$A$203,MATCH(L42,'دليل العملاء'!$C$4:$C$203,0)),IF(COUNTIF('دليل العملاء'!$D$4:$D$203,"*"&amp;L42&amp;"*")=1,INDEX('دليل العملاء'!$A$4:$A$203,MATCH("*"&amp;L42&amp;"*",'دليل العملاء'!$D$4:$D$203,0)),IF(COUNTIF('دليل العملاء'!$D$4:$D$203,"*"&amp;L42&amp;"*")&gt;1,"⚠ أكثر من عميل — اكتب كلمة أوضح","⚠ غير موجود في الدليل"))))</f>
        <v/>
      </c>
      <c r="C42" s="8"/>
      <c r="D42" s="9" t="str">
        <f aca="false">IF(M42="","",IFERROR(INDEX('دليل الأصناف'!$A$4:$A$203,MATCH(M42,'دليل الأصناف'!$C$4:$C$203,0)),IF(COUNTIF('دليل الأصناف'!$D$4:$D$203,"*"&amp;M42&amp;"*")=1,INDEX('دليل الأصناف'!$A$4:$A$203,MATCH("*"&amp;M42&amp;"*",'دليل الأصناف'!$D$4:$D$203,0)),IF(COUNTIF('دليل الأصناف'!$D$4:$D$203,"*"&amp;M42&amp;"*")&gt;1,"⚠ أكثر من صنف — اكتب كلمة أوضح","⚠ غير موجود في الدليل"))))</f>
        <v/>
      </c>
      <c r="E42" s="10"/>
      <c r="F42" s="10"/>
      <c r="G42" s="10" t="s">
        <v>20</v>
      </c>
      <c r="H42" s="11" t="n">
        <f aca="false">IF(OR(E42="",F42=""),0,IF(G42="شامل الضريبة",ROUND(ROUND(E42*F42,2)/1.15,2),ROUND(E42*F42,2)))</f>
        <v>0</v>
      </c>
      <c r="I42" s="11" t="n">
        <f aca="false">IF(OR(E42="",F42=""),0,IF(G42="شامل الضريبة",ROUND(E42*F42,2)-H42,ROUND(H42*0.15,2)))</f>
        <v>0</v>
      </c>
      <c r="J42" s="12" t="n">
        <f aca="false">H42+I42</f>
        <v>0</v>
      </c>
      <c r="K42" s="8"/>
      <c r="L42" s="0" t="str">
        <f aca="false">SUBSTITUTE(SUBSTITUTE(SUBSTITUTE(SUBSTITUTE(SUBSTITUTE(SUBSTITUTE(TRIM(A42),"أ","ا"),"إ","ا"),"آ","ا"),"ة","ه"),"ى","ي"),"ـ","")</f>
        <v/>
      </c>
      <c r="M42" s="0" t="str">
        <f aca="false">SUBSTITUTE(SUBSTITUTE(SUBSTITUTE(SUBSTITUTE(SUBSTITUTE(SUBSTITUTE(TRIM(C42),"أ","ا"),"إ","ا"),"آ","ا"),"ة","ه"),"ى","ي"),"ـ","")</f>
        <v/>
      </c>
    </row>
    <row r="43" customFormat="false" ht="15" hidden="false" customHeight="false" outlineLevel="0" collapsed="false">
      <c r="A43" s="8"/>
      <c r="B43" s="9" t="str">
        <f aca="false">IF(L43="","",IFERROR(INDEX('دليل العملاء'!$A$4:$A$203,MATCH(L43,'دليل العملاء'!$C$4:$C$203,0)),IF(COUNTIF('دليل العملاء'!$D$4:$D$203,"*"&amp;L43&amp;"*")=1,INDEX('دليل العملاء'!$A$4:$A$203,MATCH("*"&amp;L43&amp;"*",'دليل العملاء'!$D$4:$D$203,0)),IF(COUNTIF('دليل العملاء'!$D$4:$D$203,"*"&amp;L43&amp;"*")&gt;1,"⚠ أكثر من عميل — اكتب كلمة أوضح","⚠ غير موجود في الدليل"))))</f>
        <v/>
      </c>
      <c r="C43" s="8"/>
      <c r="D43" s="9" t="str">
        <f aca="false">IF(M43="","",IFERROR(INDEX('دليل الأصناف'!$A$4:$A$203,MATCH(M43,'دليل الأصناف'!$C$4:$C$203,0)),IF(COUNTIF('دليل الأصناف'!$D$4:$D$203,"*"&amp;M43&amp;"*")=1,INDEX('دليل الأصناف'!$A$4:$A$203,MATCH("*"&amp;M43&amp;"*",'دليل الأصناف'!$D$4:$D$203,0)),IF(COUNTIF('دليل الأصناف'!$D$4:$D$203,"*"&amp;M43&amp;"*")&gt;1,"⚠ أكثر من صنف — اكتب كلمة أوضح","⚠ غير موجود في الدليل"))))</f>
        <v/>
      </c>
      <c r="E43" s="10"/>
      <c r="F43" s="10"/>
      <c r="G43" s="10" t="s">
        <v>20</v>
      </c>
      <c r="H43" s="11" t="n">
        <f aca="false">IF(OR(E43="",F43=""),0,IF(G43="شامل الضريبة",ROUND(ROUND(E43*F43,2)/1.15,2),ROUND(E43*F43,2)))</f>
        <v>0</v>
      </c>
      <c r="I43" s="11" t="n">
        <f aca="false">IF(OR(E43="",F43=""),0,IF(G43="شامل الضريبة",ROUND(E43*F43,2)-H43,ROUND(H43*0.15,2)))</f>
        <v>0</v>
      </c>
      <c r="J43" s="12" t="n">
        <f aca="false">H43+I43</f>
        <v>0</v>
      </c>
      <c r="K43" s="8"/>
      <c r="L43" s="0" t="str">
        <f aca="false">SUBSTITUTE(SUBSTITUTE(SUBSTITUTE(SUBSTITUTE(SUBSTITUTE(SUBSTITUTE(TRIM(A43),"أ","ا"),"إ","ا"),"آ","ا"),"ة","ه"),"ى","ي"),"ـ","")</f>
        <v/>
      </c>
      <c r="M43" s="0" t="str">
        <f aca="false">SUBSTITUTE(SUBSTITUTE(SUBSTITUTE(SUBSTITUTE(SUBSTITUTE(SUBSTITUTE(TRIM(C43),"أ","ا"),"إ","ا"),"آ","ا"),"ة","ه"),"ى","ي"),"ـ","")</f>
        <v/>
      </c>
    </row>
    <row r="44" customFormat="false" ht="15" hidden="false" customHeight="false" outlineLevel="0" collapsed="false">
      <c r="A44" s="8"/>
      <c r="B44" s="9" t="str">
        <f aca="false">IF(L44="","",IFERROR(INDEX('دليل العملاء'!$A$4:$A$203,MATCH(L44,'دليل العملاء'!$C$4:$C$203,0)),IF(COUNTIF('دليل العملاء'!$D$4:$D$203,"*"&amp;L44&amp;"*")=1,INDEX('دليل العملاء'!$A$4:$A$203,MATCH("*"&amp;L44&amp;"*",'دليل العملاء'!$D$4:$D$203,0)),IF(COUNTIF('دليل العملاء'!$D$4:$D$203,"*"&amp;L44&amp;"*")&gt;1,"⚠ أكثر من عميل — اكتب كلمة أوضح","⚠ غير موجود في الدليل"))))</f>
        <v/>
      </c>
      <c r="C44" s="8"/>
      <c r="D44" s="9" t="str">
        <f aca="false">IF(M44="","",IFERROR(INDEX('دليل الأصناف'!$A$4:$A$203,MATCH(M44,'دليل الأصناف'!$C$4:$C$203,0)),IF(COUNTIF('دليل الأصناف'!$D$4:$D$203,"*"&amp;M44&amp;"*")=1,INDEX('دليل الأصناف'!$A$4:$A$203,MATCH("*"&amp;M44&amp;"*",'دليل الأصناف'!$D$4:$D$203,0)),IF(COUNTIF('دليل الأصناف'!$D$4:$D$203,"*"&amp;M44&amp;"*")&gt;1,"⚠ أكثر من صنف — اكتب كلمة أوضح","⚠ غير موجود في الدليل"))))</f>
        <v/>
      </c>
      <c r="E44" s="10"/>
      <c r="F44" s="10"/>
      <c r="G44" s="10" t="s">
        <v>20</v>
      </c>
      <c r="H44" s="11" t="n">
        <f aca="false">IF(OR(E44="",F44=""),0,IF(G44="شامل الضريبة",ROUND(ROUND(E44*F44,2)/1.15,2),ROUND(E44*F44,2)))</f>
        <v>0</v>
      </c>
      <c r="I44" s="11" t="n">
        <f aca="false">IF(OR(E44="",F44=""),0,IF(G44="شامل الضريبة",ROUND(E44*F44,2)-H44,ROUND(H44*0.15,2)))</f>
        <v>0</v>
      </c>
      <c r="J44" s="12" t="n">
        <f aca="false">H44+I44</f>
        <v>0</v>
      </c>
      <c r="K44" s="8"/>
      <c r="L44" s="0" t="str">
        <f aca="false">SUBSTITUTE(SUBSTITUTE(SUBSTITUTE(SUBSTITUTE(SUBSTITUTE(SUBSTITUTE(TRIM(A44),"أ","ا"),"إ","ا"),"آ","ا"),"ة","ه"),"ى","ي"),"ـ","")</f>
        <v/>
      </c>
      <c r="M44" s="0" t="str">
        <f aca="false">SUBSTITUTE(SUBSTITUTE(SUBSTITUTE(SUBSTITUTE(SUBSTITUTE(SUBSTITUTE(TRIM(C44),"أ","ا"),"إ","ا"),"آ","ا"),"ة","ه"),"ى","ي"),"ـ","")</f>
        <v/>
      </c>
    </row>
    <row r="45" customFormat="false" ht="15" hidden="false" customHeight="false" outlineLevel="0" collapsed="false">
      <c r="A45" s="8"/>
      <c r="B45" s="9" t="str">
        <f aca="false">IF(L45="","",IFERROR(INDEX('دليل العملاء'!$A$4:$A$203,MATCH(L45,'دليل العملاء'!$C$4:$C$203,0)),IF(COUNTIF('دليل العملاء'!$D$4:$D$203,"*"&amp;L45&amp;"*")=1,INDEX('دليل العملاء'!$A$4:$A$203,MATCH("*"&amp;L45&amp;"*",'دليل العملاء'!$D$4:$D$203,0)),IF(COUNTIF('دليل العملاء'!$D$4:$D$203,"*"&amp;L45&amp;"*")&gt;1,"⚠ أكثر من عميل — اكتب كلمة أوضح","⚠ غير موجود في الدليل"))))</f>
        <v/>
      </c>
      <c r="C45" s="8"/>
      <c r="D45" s="9" t="str">
        <f aca="false">IF(M45="","",IFERROR(INDEX('دليل الأصناف'!$A$4:$A$203,MATCH(M45,'دليل الأصناف'!$C$4:$C$203,0)),IF(COUNTIF('دليل الأصناف'!$D$4:$D$203,"*"&amp;M45&amp;"*")=1,INDEX('دليل الأصناف'!$A$4:$A$203,MATCH("*"&amp;M45&amp;"*",'دليل الأصناف'!$D$4:$D$203,0)),IF(COUNTIF('دليل الأصناف'!$D$4:$D$203,"*"&amp;M45&amp;"*")&gt;1,"⚠ أكثر من صنف — اكتب كلمة أوضح","⚠ غير موجود في الدليل"))))</f>
        <v/>
      </c>
      <c r="E45" s="10"/>
      <c r="F45" s="10"/>
      <c r="G45" s="10" t="s">
        <v>20</v>
      </c>
      <c r="H45" s="11" t="n">
        <f aca="false">IF(OR(E45="",F45=""),0,IF(G45="شامل الضريبة",ROUND(ROUND(E45*F45,2)/1.15,2),ROUND(E45*F45,2)))</f>
        <v>0</v>
      </c>
      <c r="I45" s="11" t="n">
        <f aca="false">IF(OR(E45="",F45=""),0,IF(G45="شامل الضريبة",ROUND(E45*F45,2)-H45,ROUND(H45*0.15,2)))</f>
        <v>0</v>
      </c>
      <c r="J45" s="12" t="n">
        <f aca="false">H45+I45</f>
        <v>0</v>
      </c>
      <c r="K45" s="8"/>
      <c r="L45" s="0" t="str">
        <f aca="false">SUBSTITUTE(SUBSTITUTE(SUBSTITUTE(SUBSTITUTE(SUBSTITUTE(SUBSTITUTE(TRIM(A45),"أ","ا"),"إ","ا"),"آ","ا"),"ة","ه"),"ى","ي"),"ـ","")</f>
        <v/>
      </c>
      <c r="M45" s="0" t="str">
        <f aca="false">SUBSTITUTE(SUBSTITUTE(SUBSTITUTE(SUBSTITUTE(SUBSTITUTE(SUBSTITUTE(TRIM(C45),"أ","ا"),"إ","ا"),"آ","ا"),"ة","ه"),"ى","ي"),"ـ","")</f>
        <v/>
      </c>
    </row>
    <row r="46" customFormat="false" ht="15" hidden="false" customHeight="false" outlineLevel="0" collapsed="false">
      <c r="A46" s="8"/>
      <c r="B46" s="9" t="str">
        <f aca="false">IF(L46="","",IFERROR(INDEX('دليل العملاء'!$A$4:$A$203,MATCH(L46,'دليل العملاء'!$C$4:$C$203,0)),IF(COUNTIF('دليل العملاء'!$D$4:$D$203,"*"&amp;L46&amp;"*")=1,INDEX('دليل العملاء'!$A$4:$A$203,MATCH("*"&amp;L46&amp;"*",'دليل العملاء'!$D$4:$D$203,0)),IF(COUNTIF('دليل العملاء'!$D$4:$D$203,"*"&amp;L46&amp;"*")&gt;1,"⚠ أكثر من عميل — اكتب كلمة أوضح","⚠ غير موجود في الدليل"))))</f>
        <v/>
      </c>
      <c r="C46" s="8"/>
      <c r="D46" s="9" t="str">
        <f aca="false">IF(M46="","",IFERROR(INDEX('دليل الأصناف'!$A$4:$A$203,MATCH(M46,'دليل الأصناف'!$C$4:$C$203,0)),IF(COUNTIF('دليل الأصناف'!$D$4:$D$203,"*"&amp;M46&amp;"*")=1,INDEX('دليل الأصناف'!$A$4:$A$203,MATCH("*"&amp;M46&amp;"*",'دليل الأصناف'!$D$4:$D$203,0)),IF(COUNTIF('دليل الأصناف'!$D$4:$D$203,"*"&amp;M46&amp;"*")&gt;1,"⚠ أكثر من صنف — اكتب كلمة أوضح","⚠ غير موجود في الدليل"))))</f>
        <v/>
      </c>
      <c r="E46" s="10"/>
      <c r="F46" s="10"/>
      <c r="G46" s="10" t="s">
        <v>20</v>
      </c>
      <c r="H46" s="11" t="n">
        <f aca="false">IF(OR(E46="",F46=""),0,IF(G46="شامل الضريبة",ROUND(ROUND(E46*F46,2)/1.15,2),ROUND(E46*F46,2)))</f>
        <v>0</v>
      </c>
      <c r="I46" s="11" t="n">
        <f aca="false">IF(OR(E46="",F46=""),0,IF(G46="شامل الضريبة",ROUND(E46*F46,2)-H46,ROUND(H46*0.15,2)))</f>
        <v>0</v>
      </c>
      <c r="J46" s="12" t="n">
        <f aca="false">H46+I46</f>
        <v>0</v>
      </c>
      <c r="K46" s="8"/>
      <c r="L46" s="0" t="str">
        <f aca="false">SUBSTITUTE(SUBSTITUTE(SUBSTITUTE(SUBSTITUTE(SUBSTITUTE(SUBSTITUTE(TRIM(A46),"أ","ا"),"إ","ا"),"آ","ا"),"ة","ه"),"ى","ي"),"ـ","")</f>
        <v/>
      </c>
      <c r="M46" s="0" t="str">
        <f aca="false">SUBSTITUTE(SUBSTITUTE(SUBSTITUTE(SUBSTITUTE(SUBSTITUTE(SUBSTITUTE(TRIM(C46),"أ","ا"),"إ","ا"),"آ","ا"),"ة","ه"),"ى","ي"),"ـ","")</f>
        <v/>
      </c>
    </row>
    <row r="47" customFormat="false" ht="15" hidden="false" customHeight="false" outlineLevel="0" collapsed="false">
      <c r="A47" s="8"/>
      <c r="B47" s="9" t="str">
        <f aca="false">IF(L47="","",IFERROR(INDEX('دليل العملاء'!$A$4:$A$203,MATCH(L47,'دليل العملاء'!$C$4:$C$203,0)),IF(COUNTIF('دليل العملاء'!$D$4:$D$203,"*"&amp;L47&amp;"*")=1,INDEX('دليل العملاء'!$A$4:$A$203,MATCH("*"&amp;L47&amp;"*",'دليل العملاء'!$D$4:$D$203,0)),IF(COUNTIF('دليل العملاء'!$D$4:$D$203,"*"&amp;L47&amp;"*")&gt;1,"⚠ أكثر من عميل — اكتب كلمة أوضح","⚠ غير موجود في الدليل"))))</f>
        <v/>
      </c>
      <c r="C47" s="8"/>
      <c r="D47" s="9" t="str">
        <f aca="false">IF(M47="","",IFERROR(INDEX('دليل الأصناف'!$A$4:$A$203,MATCH(M47,'دليل الأصناف'!$C$4:$C$203,0)),IF(COUNTIF('دليل الأصناف'!$D$4:$D$203,"*"&amp;M47&amp;"*")=1,INDEX('دليل الأصناف'!$A$4:$A$203,MATCH("*"&amp;M47&amp;"*",'دليل الأصناف'!$D$4:$D$203,0)),IF(COUNTIF('دليل الأصناف'!$D$4:$D$203,"*"&amp;M47&amp;"*")&gt;1,"⚠ أكثر من صنف — اكتب كلمة أوضح","⚠ غير موجود في الدليل"))))</f>
        <v/>
      </c>
      <c r="E47" s="10"/>
      <c r="F47" s="10"/>
      <c r="G47" s="10" t="s">
        <v>20</v>
      </c>
      <c r="H47" s="11" t="n">
        <f aca="false">IF(OR(E47="",F47=""),0,IF(G47="شامل الضريبة",ROUND(ROUND(E47*F47,2)/1.15,2),ROUND(E47*F47,2)))</f>
        <v>0</v>
      </c>
      <c r="I47" s="11" t="n">
        <f aca="false">IF(OR(E47="",F47=""),0,IF(G47="شامل الضريبة",ROUND(E47*F47,2)-H47,ROUND(H47*0.15,2)))</f>
        <v>0</v>
      </c>
      <c r="J47" s="12" t="n">
        <f aca="false">H47+I47</f>
        <v>0</v>
      </c>
      <c r="K47" s="8"/>
      <c r="L47" s="0" t="str">
        <f aca="false">SUBSTITUTE(SUBSTITUTE(SUBSTITUTE(SUBSTITUTE(SUBSTITUTE(SUBSTITUTE(TRIM(A47),"أ","ا"),"إ","ا"),"آ","ا"),"ة","ه"),"ى","ي"),"ـ","")</f>
        <v/>
      </c>
      <c r="M47" s="0" t="str">
        <f aca="false">SUBSTITUTE(SUBSTITUTE(SUBSTITUTE(SUBSTITUTE(SUBSTITUTE(SUBSTITUTE(TRIM(C47),"أ","ا"),"إ","ا"),"آ","ا"),"ة","ه"),"ى","ي"),"ـ","")</f>
        <v/>
      </c>
    </row>
    <row r="48" customFormat="false" ht="15" hidden="false" customHeight="false" outlineLevel="0" collapsed="false">
      <c r="A48" s="8"/>
      <c r="B48" s="9" t="str">
        <f aca="false">IF(L48="","",IFERROR(INDEX('دليل العملاء'!$A$4:$A$203,MATCH(L48,'دليل العملاء'!$C$4:$C$203,0)),IF(COUNTIF('دليل العملاء'!$D$4:$D$203,"*"&amp;L48&amp;"*")=1,INDEX('دليل العملاء'!$A$4:$A$203,MATCH("*"&amp;L48&amp;"*",'دليل العملاء'!$D$4:$D$203,0)),IF(COUNTIF('دليل العملاء'!$D$4:$D$203,"*"&amp;L48&amp;"*")&gt;1,"⚠ أكثر من عميل — اكتب كلمة أوضح","⚠ غير موجود في الدليل"))))</f>
        <v/>
      </c>
      <c r="C48" s="8"/>
      <c r="D48" s="9" t="str">
        <f aca="false">IF(M48="","",IFERROR(INDEX('دليل الأصناف'!$A$4:$A$203,MATCH(M48,'دليل الأصناف'!$C$4:$C$203,0)),IF(COUNTIF('دليل الأصناف'!$D$4:$D$203,"*"&amp;M48&amp;"*")=1,INDEX('دليل الأصناف'!$A$4:$A$203,MATCH("*"&amp;M48&amp;"*",'دليل الأصناف'!$D$4:$D$203,0)),IF(COUNTIF('دليل الأصناف'!$D$4:$D$203,"*"&amp;M48&amp;"*")&gt;1,"⚠ أكثر من صنف — اكتب كلمة أوضح","⚠ غير موجود في الدليل"))))</f>
        <v/>
      </c>
      <c r="E48" s="10"/>
      <c r="F48" s="10"/>
      <c r="G48" s="10" t="s">
        <v>20</v>
      </c>
      <c r="H48" s="11" t="n">
        <f aca="false">IF(OR(E48="",F48=""),0,IF(G48="شامل الضريبة",ROUND(ROUND(E48*F48,2)/1.15,2),ROUND(E48*F48,2)))</f>
        <v>0</v>
      </c>
      <c r="I48" s="11" t="n">
        <f aca="false">IF(OR(E48="",F48=""),0,IF(G48="شامل الضريبة",ROUND(E48*F48,2)-H48,ROUND(H48*0.15,2)))</f>
        <v>0</v>
      </c>
      <c r="J48" s="12" t="n">
        <f aca="false">H48+I48</f>
        <v>0</v>
      </c>
      <c r="K48" s="8"/>
      <c r="L48" s="0" t="str">
        <f aca="false">SUBSTITUTE(SUBSTITUTE(SUBSTITUTE(SUBSTITUTE(SUBSTITUTE(SUBSTITUTE(TRIM(A48),"أ","ا"),"إ","ا"),"آ","ا"),"ة","ه"),"ى","ي"),"ـ","")</f>
        <v/>
      </c>
      <c r="M48" s="0" t="str">
        <f aca="false">SUBSTITUTE(SUBSTITUTE(SUBSTITUTE(SUBSTITUTE(SUBSTITUTE(SUBSTITUTE(TRIM(C48),"أ","ا"),"إ","ا"),"آ","ا"),"ة","ه"),"ى","ي"),"ـ","")</f>
        <v/>
      </c>
    </row>
    <row r="49" customFormat="false" ht="15" hidden="false" customHeight="false" outlineLevel="0" collapsed="false">
      <c r="A49" s="8"/>
      <c r="B49" s="9" t="str">
        <f aca="false">IF(L49="","",IFERROR(INDEX('دليل العملاء'!$A$4:$A$203,MATCH(L49,'دليل العملاء'!$C$4:$C$203,0)),IF(COUNTIF('دليل العملاء'!$D$4:$D$203,"*"&amp;L49&amp;"*")=1,INDEX('دليل العملاء'!$A$4:$A$203,MATCH("*"&amp;L49&amp;"*",'دليل العملاء'!$D$4:$D$203,0)),IF(COUNTIF('دليل العملاء'!$D$4:$D$203,"*"&amp;L49&amp;"*")&gt;1,"⚠ أكثر من عميل — اكتب كلمة أوضح","⚠ غير موجود في الدليل"))))</f>
        <v/>
      </c>
      <c r="C49" s="8"/>
      <c r="D49" s="9" t="str">
        <f aca="false">IF(M49="","",IFERROR(INDEX('دليل الأصناف'!$A$4:$A$203,MATCH(M49,'دليل الأصناف'!$C$4:$C$203,0)),IF(COUNTIF('دليل الأصناف'!$D$4:$D$203,"*"&amp;M49&amp;"*")=1,INDEX('دليل الأصناف'!$A$4:$A$203,MATCH("*"&amp;M49&amp;"*",'دليل الأصناف'!$D$4:$D$203,0)),IF(COUNTIF('دليل الأصناف'!$D$4:$D$203,"*"&amp;M49&amp;"*")&gt;1,"⚠ أكثر من صنف — اكتب كلمة أوضح","⚠ غير موجود في الدليل"))))</f>
        <v/>
      </c>
      <c r="E49" s="10"/>
      <c r="F49" s="10"/>
      <c r="G49" s="10" t="s">
        <v>20</v>
      </c>
      <c r="H49" s="11" t="n">
        <f aca="false">IF(OR(E49="",F49=""),0,IF(G49="شامل الضريبة",ROUND(ROUND(E49*F49,2)/1.15,2),ROUND(E49*F49,2)))</f>
        <v>0</v>
      </c>
      <c r="I49" s="11" t="n">
        <f aca="false">IF(OR(E49="",F49=""),0,IF(G49="شامل الضريبة",ROUND(E49*F49,2)-H49,ROUND(H49*0.15,2)))</f>
        <v>0</v>
      </c>
      <c r="J49" s="12" t="n">
        <f aca="false">H49+I49</f>
        <v>0</v>
      </c>
      <c r="K49" s="8"/>
      <c r="L49" s="0" t="str">
        <f aca="false">SUBSTITUTE(SUBSTITUTE(SUBSTITUTE(SUBSTITUTE(SUBSTITUTE(SUBSTITUTE(TRIM(A49),"أ","ا"),"إ","ا"),"آ","ا"),"ة","ه"),"ى","ي"),"ـ","")</f>
        <v/>
      </c>
      <c r="M49" s="0" t="str">
        <f aca="false">SUBSTITUTE(SUBSTITUTE(SUBSTITUTE(SUBSTITUTE(SUBSTITUTE(SUBSTITUTE(TRIM(C49),"أ","ا"),"إ","ا"),"آ","ا"),"ة","ه"),"ى","ي"),"ـ","")</f>
        <v/>
      </c>
    </row>
    <row r="50" customFormat="false" ht="15" hidden="false" customHeight="false" outlineLevel="0" collapsed="false">
      <c r="A50" s="8"/>
      <c r="B50" s="9" t="str">
        <f aca="false">IF(L50="","",IFERROR(INDEX('دليل العملاء'!$A$4:$A$203,MATCH(L50,'دليل العملاء'!$C$4:$C$203,0)),IF(COUNTIF('دليل العملاء'!$D$4:$D$203,"*"&amp;L50&amp;"*")=1,INDEX('دليل العملاء'!$A$4:$A$203,MATCH("*"&amp;L50&amp;"*",'دليل العملاء'!$D$4:$D$203,0)),IF(COUNTIF('دليل العملاء'!$D$4:$D$203,"*"&amp;L50&amp;"*")&gt;1,"⚠ أكثر من عميل — اكتب كلمة أوضح","⚠ غير موجود في الدليل"))))</f>
        <v/>
      </c>
      <c r="C50" s="8"/>
      <c r="D50" s="9" t="str">
        <f aca="false">IF(M50="","",IFERROR(INDEX('دليل الأصناف'!$A$4:$A$203,MATCH(M50,'دليل الأصناف'!$C$4:$C$203,0)),IF(COUNTIF('دليل الأصناف'!$D$4:$D$203,"*"&amp;M50&amp;"*")=1,INDEX('دليل الأصناف'!$A$4:$A$203,MATCH("*"&amp;M50&amp;"*",'دليل الأصناف'!$D$4:$D$203,0)),IF(COUNTIF('دليل الأصناف'!$D$4:$D$203,"*"&amp;M50&amp;"*")&gt;1,"⚠ أكثر من صنف — اكتب كلمة أوضح","⚠ غير موجود في الدليل"))))</f>
        <v/>
      </c>
      <c r="E50" s="10"/>
      <c r="F50" s="10"/>
      <c r="G50" s="10" t="s">
        <v>20</v>
      </c>
      <c r="H50" s="11" t="n">
        <f aca="false">IF(OR(E50="",F50=""),0,IF(G50="شامل الضريبة",ROUND(ROUND(E50*F50,2)/1.15,2),ROUND(E50*F50,2)))</f>
        <v>0</v>
      </c>
      <c r="I50" s="11" t="n">
        <f aca="false">IF(OR(E50="",F50=""),0,IF(G50="شامل الضريبة",ROUND(E50*F50,2)-H50,ROUND(H50*0.15,2)))</f>
        <v>0</v>
      </c>
      <c r="J50" s="12" t="n">
        <f aca="false">H50+I50</f>
        <v>0</v>
      </c>
      <c r="K50" s="8"/>
      <c r="L50" s="0" t="str">
        <f aca="false">SUBSTITUTE(SUBSTITUTE(SUBSTITUTE(SUBSTITUTE(SUBSTITUTE(SUBSTITUTE(TRIM(A50),"أ","ا"),"إ","ا"),"آ","ا"),"ة","ه"),"ى","ي"),"ـ","")</f>
        <v/>
      </c>
      <c r="M50" s="0" t="str">
        <f aca="false">SUBSTITUTE(SUBSTITUTE(SUBSTITUTE(SUBSTITUTE(SUBSTITUTE(SUBSTITUTE(TRIM(C50),"أ","ا"),"إ","ا"),"آ","ا"),"ة","ه"),"ى","ي"),"ـ","")</f>
        <v/>
      </c>
    </row>
    <row r="51" customFormat="false" ht="15" hidden="false" customHeight="false" outlineLevel="0" collapsed="false">
      <c r="A51" s="8"/>
      <c r="B51" s="9" t="str">
        <f aca="false">IF(L51="","",IFERROR(INDEX('دليل العملاء'!$A$4:$A$203,MATCH(L51,'دليل العملاء'!$C$4:$C$203,0)),IF(COUNTIF('دليل العملاء'!$D$4:$D$203,"*"&amp;L51&amp;"*")=1,INDEX('دليل العملاء'!$A$4:$A$203,MATCH("*"&amp;L51&amp;"*",'دليل العملاء'!$D$4:$D$203,0)),IF(COUNTIF('دليل العملاء'!$D$4:$D$203,"*"&amp;L51&amp;"*")&gt;1,"⚠ أكثر من عميل — اكتب كلمة أوضح","⚠ غير موجود في الدليل"))))</f>
        <v/>
      </c>
      <c r="C51" s="8"/>
      <c r="D51" s="9" t="str">
        <f aca="false">IF(M51="","",IFERROR(INDEX('دليل الأصناف'!$A$4:$A$203,MATCH(M51,'دليل الأصناف'!$C$4:$C$203,0)),IF(COUNTIF('دليل الأصناف'!$D$4:$D$203,"*"&amp;M51&amp;"*")=1,INDEX('دليل الأصناف'!$A$4:$A$203,MATCH("*"&amp;M51&amp;"*",'دليل الأصناف'!$D$4:$D$203,0)),IF(COUNTIF('دليل الأصناف'!$D$4:$D$203,"*"&amp;M51&amp;"*")&gt;1,"⚠ أكثر من صنف — اكتب كلمة أوضح","⚠ غير موجود في الدليل"))))</f>
        <v/>
      </c>
      <c r="E51" s="10"/>
      <c r="F51" s="10"/>
      <c r="G51" s="10" t="s">
        <v>20</v>
      </c>
      <c r="H51" s="11" t="n">
        <f aca="false">IF(OR(E51="",F51=""),0,IF(G51="شامل الضريبة",ROUND(ROUND(E51*F51,2)/1.15,2),ROUND(E51*F51,2)))</f>
        <v>0</v>
      </c>
      <c r="I51" s="11" t="n">
        <f aca="false">IF(OR(E51="",F51=""),0,IF(G51="شامل الضريبة",ROUND(E51*F51,2)-H51,ROUND(H51*0.15,2)))</f>
        <v>0</v>
      </c>
      <c r="J51" s="12" t="n">
        <f aca="false">H51+I51</f>
        <v>0</v>
      </c>
      <c r="K51" s="8"/>
      <c r="L51" s="0" t="str">
        <f aca="false">SUBSTITUTE(SUBSTITUTE(SUBSTITUTE(SUBSTITUTE(SUBSTITUTE(SUBSTITUTE(TRIM(A51),"أ","ا"),"إ","ا"),"آ","ا"),"ة","ه"),"ى","ي"),"ـ","")</f>
        <v/>
      </c>
      <c r="M51" s="0" t="str">
        <f aca="false">SUBSTITUTE(SUBSTITUTE(SUBSTITUTE(SUBSTITUTE(SUBSTITUTE(SUBSTITUTE(TRIM(C51),"أ","ا"),"إ","ا"),"آ","ا"),"ة","ه"),"ى","ي"),"ـ","")</f>
        <v/>
      </c>
    </row>
    <row r="52" customFormat="false" ht="15" hidden="false" customHeight="false" outlineLevel="0" collapsed="false">
      <c r="A52" s="8"/>
      <c r="B52" s="9" t="str">
        <f aca="false">IF(L52="","",IFERROR(INDEX('دليل العملاء'!$A$4:$A$203,MATCH(L52,'دليل العملاء'!$C$4:$C$203,0)),IF(COUNTIF('دليل العملاء'!$D$4:$D$203,"*"&amp;L52&amp;"*")=1,INDEX('دليل العملاء'!$A$4:$A$203,MATCH("*"&amp;L52&amp;"*",'دليل العملاء'!$D$4:$D$203,0)),IF(COUNTIF('دليل العملاء'!$D$4:$D$203,"*"&amp;L52&amp;"*")&gt;1,"⚠ أكثر من عميل — اكتب كلمة أوضح","⚠ غير موجود في الدليل"))))</f>
        <v/>
      </c>
      <c r="C52" s="8"/>
      <c r="D52" s="9" t="str">
        <f aca="false">IF(M52="","",IFERROR(INDEX('دليل الأصناف'!$A$4:$A$203,MATCH(M52,'دليل الأصناف'!$C$4:$C$203,0)),IF(COUNTIF('دليل الأصناف'!$D$4:$D$203,"*"&amp;M52&amp;"*")=1,INDEX('دليل الأصناف'!$A$4:$A$203,MATCH("*"&amp;M52&amp;"*",'دليل الأصناف'!$D$4:$D$203,0)),IF(COUNTIF('دليل الأصناف'!$D$4:$D$203,"*"&amp;M52&amp;"*")&gt;1,"⚠ أكثر من صنف — اكتب كلمة أوضح","⚠ غير موجود في الدليل"))))</f>
        <v/>
      </c>
      <c r="E52" s="10"/>
      <c r="F52" s="10"/>
      <c r="G52" s="10" t="s">
        <v>20</v>
      </c>
      <c r="H52" s="11" t="n">
        <f aca="false">IF(OR(E52="",F52=""),0,IF(G52="شامل الضريبة",ROUND(ROUND(E52*F52,2)/1.15,2),ROUND(E52*F52,2)))</f>
        <v>0</v>
      </c>
      <c r="I52" s="11" t="n">
        <f aca="false">IF(OR(E52="",F52=""),0,IF(G52="شامل الضريبة",ROUND(E52*F52,2)-H52,ROUND(H52*0.15,2)))</f>
        <v>0</v>
      </c>
      <c r="J52" s="12" t="n">
        <f aca="false">H52+I52</f>
        <v>0</v>
      </c>
      <c r="K52" s="8"/>
      <c r="L52" s="0" t="str">
        <f aca="false">SUBSTITUTE(SUBSTITUTE(SUBSTITUTE(SUBSTITUTE(SUBSTITUTE(SUBSTITUTE(TRIM(A52),"أ","ا"),"إ","ا"),"آ","ا"),"ة","ه"),"ى","ي"),"ـ","")</f>
        <v/>
      </c>
      <c r="M52" s="0" t="str">
        <f aca="false">SUBSTITUTE(SUBSTITUTE(SUBSTITUTE(SUBSTITUTE(SUBSTITUTE(SUBSTITUTE(TRIM(C52),"أ","ا"),"إ","ا"),"آ","ا"),"ة","ه"),"ى","ي"),"ـ","")</f>
        <v/>
      </c>
    </row>
    <row r="53" customFormat="false" ht="15" hidden="false" customHeight="false" outlineLevel="0" collapsed="false">
      <c r="A53" s="8"/>
      <c r="B53" s="9" t="str">
        <f aca="false">IF(L53="","",IFERROR(INDEX('دليل العملاء'!$A$4:$A$203,MATCH(L53,'دليل العملاء'!$C$4:$C$203,0)),IF(COUNTIF('دليل العملاء'!$D$4:$D$203,"*"&amp;L53&amp;"*")=1,INDEX('دليل العملاء'!$A$4:$A$203,MATCH("*"&amp;L53&amp;"*",'دليل العملاء'!$D$4:$D$203,0)),IF(COUNTIF('دليل العملاء'!$D$4:$D$203,"*"&amp;L53&amp;"*")&gt;1,"⚠ أكثر من عميل — اكتب كلمة أوضح","⚠ غير موجود في الدليل"))))</f>
        <v/>
      </c>
      <c r="C53" s="8"/>
      <c r="D53" s="9" t="str">
        <f aca="false">IF(M53="","",IFERROR(INDEX('دليل الأصناف'!$A$4:$A$203,MATCH(M53,'دليل الأصناف'!$C$4:$C$203,0)),IF(COUNTIF('دليل الأصناف'!$D$4:$D$203,"*"&amp;M53&amp;"*")=1,INDEX('دليل الأصناف'!$A$4:$A$203,MATCH("*"&amp;M53&amp;"*",'دليل الأصناف'!$D$4:$D$203,0)),IF(COUNTIF('دليل الأصناف'!$D$4:$D$203,"*"&amp;M53&amp;"*")&gt;1,"⚠ أكثر من صنف — اكتب كلمة أوضح","⚠ غير موجود في الدليل"))))</f>
        <v/>
      </c>
      <c r="E53" s="10"/>
      <c r="F53" s="10"/>
      <c r="G53" s="10" t="s">
        <v>20</v>
      </c>
      <c r="H53" s="11" t="n">
        <f aca="false">IF(OR(E53="",F53=""),0,IF(G53="شامل الضريبة",ROUND(ROUND(E53*F53,2)/1.15,2),ROUND(E53*F53,2)))</f>
        <v>0</v>
      </c>
      <c r="I53" s="11" t="n">
        <f aca="false">IF(OR(E53="",F53=""),0,IF(G53="شامل الضريبة",ROUND(E53*F53,2)-H53,ROUND(H53*0.15,2)))</f>
        <v>0</v>
      </c>
      <c r="J53" s="12" t="n">
        <f aca="false">H53+I53</f>
        <v>0</v>
      </c>
      <c r="K53" s="8"/>
      <c r="L53" s="0" t="str">
        <f aca="false">SUBSTITUTE(SUBSTITUTE(SUBSTITUTE(SUBSTITUTE(SUBSTITUTE(SUBSTITUTE(TRIM(A53),"أ","ا"),"إ","ا"),"آ","ا"),"ة","ه"),"ى","ي"),"ـ","")</f>
        <v/>
      </c>
      <c r="M53" s="0" t="str">
        <f aca="false">SUBSTITUTE(SUBSTITUTE(SUBSTITUTE(SUBSTITUTE(SUBSTITUTE(SUBSTITUTE(TRIM(C53),"أ","ا"),"إ","ا"),"آ","ا"),"ة","ه"),"ى","ي"),"ـ","")</f>
        <v/>
      </c>
    </row>
    <row r="54" customFormat="false" ht="15" hidden="false" customHeight="false" outlineLevel="0" collapsed="false">
      <c r="A54" s="8"/>
      <c r="B54" s="9" t="str">
        <f aca="false">IF(L54="","",IFERROR(INDEX('دليل العملاء'!$A$4:$A$203,MATCH(L54,'دليل العملاء'!$C$4:$C$203,0)),IF(COUNTIF('دليل العملاء'!$D$4:$D$203,"*"&amp;L54&amp;"*")=1,INDEX('دليل العملاء'!$A$4:$A$203,MATCH("*"&amp;L54&amp;"*",'دليل العملاء'!$D$4:$D$203,0)),IF(COUNTIF('دليل العملاء'!$D$4:$D$203,"*"&amp;L54&amp;"*")&gt;1,"⚠ أكثر من عميل — اكتب كلمة أوضح","⚠ غير موجود في الدليل"))))</f>
        <v/>
      </c>
      <c r="C54" s="8"/>
      <c r="D54" s="9" t="str">
        <f aca="false">IF(M54="","",IFERROR(INDEX('دليل الأصناف'!$A$4:$A$203,MATCH(M54,'دليل الأصناف'!$C$4:$C$203,0)),IF(COUNTIF('دليل الأصناف'!$D$4:$D$203,"*"&amp;M54&amp;"*")=1,INDEX('دليل الأصناف'!$A$4:$A$203,MATCH("*"&amp;M54&amp;"*",'دليل الأصناف'!$D$4:$D$203,0)),IF(COUNTIF('دليل الأصناف'!$D$4:$D$203,"*"&amp;M54&amp;"*")&gt;1,"⚠ أكثر من صنف — اكتب كلمة أوضح","⚠ غير موجود في الدليل"))))</f>
        <v/>
      </c>
      <c r="E54" s="10"/>
      <c r="F54" s="10"/>
      <c r="G54" s="10" t="s">
        <v>20</v>
      </c>
      <c r="H54" s="11" t="n">
        <f aca="false">IF(OR(E54="",F54=""),0,IF(G54="شامل الضريبة",ROUND(ROUND(E54*F54,2)/1.15,2),ROUND(E54*F54,2)))</f>
        <v>0</v>
      </c>
      <c r="I54" s="11" t="n">
        <f aca="false">IF(OR(E54="",F54=""),0,IF(G54="شامل الضريبة",ROUND(E54*F54,2)-H54,ROUND(H54*0.15,2)))</f>
        <v>0</v>
      </c>
      <c r="J54" s="12" t="n">
        <f aca="false">H54+I54</f>
        <v>0</v>
      </c>
      <c r="K54" s="8"/>
      <c r="L54" s="0" t="str">
        <f aca="false">SUBSTITUTE(SUBSTITUTE(SUBSTITUTE(SUBSTITUTE(SUBSTITUTE(SUBSTITUTE(TRIM(A54),"أ","ا"),"إ","ا"),"آ","ا"),"ة","ه"),"ى","ي"),"ـ","")</f>
        <v/>
      </c>
      <c r="M54" s="0" t="str">
        <f aca="false">SUBSTITUTE(SUBSTITUTE(SUBSTITUTE(SUBSTITUTE(SUBSTITUTE(SUBSTITUTE(TRIM(C54),"أ","ا"),"إ","ا"),"آ","ا"),"ة","ه"),"ى","ي"),"ـ","")</f>
        <v/>
      </c>
    </row>
    <row r="55" customFormat="false" ht="15" hidden="false" customHeight="false" outlineLevel="0" collapsed="false">
      <c r="A55" s="8"/>
      <c r="B55" s="9" t="str">
        <f aca="false">IF(L55="","",IFERROR(INDEX('دليل العملاء'!$A$4:$A$203,MATCH(L55,'دليل العملاء'!$C$4:$C$203,0)),IF(COUNTIF('دليل العملاء'!$D$4:$D$203,"*"&amp;L55&amp;"*")=1,INDEX('دليل العملاء'!$A$4:$A$203,MATCH("*"&amp;L55&amp;"*",'دليل العملاء'!$D$4:$D$203,0)),IF(COUNTIF('دليل العملاء'!$D$4:$D$203,"*"&amp;L55&amp;"*")&gt;1,"⚠ أكثر من عميل — اكتب كلمة أوضح","⚠ غير موجود في الدليل"))))</f>
        <v/>
      </c>
      <c r="C55" s="8"/>
      <c r="D55" s="9" t="str">
        <f aca="false">IF(M55="","",IFERROR(INDEX('دليل الأصناف'!$A$4:$A$203,MATCH(M55,'دليل الأصناف'!$C$4:$C$203,0)),IF(COUNTIF('دليل الأصناف'!$D$4:$D$203,"*"&amp;M55&amp;"*")=1,INDEX('دليل الأصناف'!$A$4:$A$203,MATCH("*"&amp;M55&amp;"*",'دليل الأصناف'!$D$4:$D$203,0)),IF(COUNTIF('دليل الأصناف'!$D$4:$D$203,"*"&amp;M55&amp;"*")&gt;1,"⚠ أكثر من صنف — اكتب كلمة أوضح","⚠ غير موجود في الدليل"))))</f>
        <v/>
      </c>
      <c r="E55" s="10"/>
      <c r="F55" s="10"/>
      <c r="G55" s="10" t="s">
        <v>20</v>
      </c>
      <c r="H55" s="11" t="n">
        <f aca="false">IF(OR(E55="",F55=""),0,IF(G55="شامل الضريبة",ROUND(ROUND(E55*F55,2)/1.15,2),ROUND(E55*F55,2)))</f>
        <v>0</v>
      </c>
      <c r="I55" s="11" t="n">
        <f aca="false">IF(OR(E55="",F55=""),0,IF(G55="شامل الضريبة",ROUND(E55*F55,2)-H55,ROUND(H55*0.15,2)))</f>
        <v>0</v>
      </c>
      <c r="J55" s="12" t="n">
        <f aca="false">H55+I55</f>
        <v>0</v>
      </c>
      <c r="K55" s="8"/>
      <c r="L55" s="0" t="str">
        <f aca="false">SUBSTITUTE(SUBSTITUTE(SUBSTITUTE(SUBSTITUTE(SUBSTITUTE(SUBSTITUTE(TRIM(A55),"أ","ا"),"إ","ا"),"آ","ا"),"ة","ه"),"ى","ي"),"ـ","")</f>
        <v/>
      </c>
      <c r="M55" s="0" t="str">
        <f aca="false">SUBSTITUTE(SUBSTITUTE(SUBSTITUTE(SUBSTITUTE(SUBSTITUTE(SUBSTITUTE(TRIM(C55),"أ","ا"),"إ","ا"),"آ","ا"),"ة","ه"),"ى","ي"),"ـ","")</f>
        <v/>
      </c>
    </row>
    <row r="56" customFormat="false" ht="15" hidden="false" customHeight="false" outlineLevel="0" collapsed="false">
      <c r="A56" s="8"/>
      <c r="B56" s="9" t="str">
        <f aca="false">IF(L56="","",IFERROR(INDEX('دليل العملاء'!$A$4:$A$203,MATCH(L56,'دليل العملاء'!$C$4:$C$203,0)),IF(COUNTIF('دليل العملاء'!$D$4:$D$203,"*"&amp;L56&amp;"*")=1,INDEX('دليل العملاء'!$A$4:$A$203,MATCH("*"&amp;L56&amp;"*",'دليل العملاء'!$D$4:$D$203,0)),IF(COUNTIF('دليل العملاء'!$D$4:$D$203,"*"&amp;L56&amp;"*")&gt;1,"⚠ أكثر من عميل — اكتب كلمة أوضح","⚠ غير موجود في الدليل"))))</f>
        <v/>
      </c>
      <c r="C56" s="8"/>
      <c r="D56" s="9" t="str">
        <f aca="false">IF(M56="","",IFERROR(INDEX('دليل الأصناف'!$A$4:$A$203,MATCH(M56,'دليل الأصناف'!$C$4:$C$203,0)),IF(COUNTIF('دليل الأصناف'!$D$4:$D$203,"*"&amp;M56&amp;"*")=1,INDEX('دليل الأصناف'!$A$4:$A$203,MATCH("*"&amp;M56&amp;"*",'دليل الأصناف'!$D$4:$D$203,0)),IF(COUNTIF('دليل الأصناف'!$D$4:$D$203,"*"&amp;M56&amp;"*")&gt;1,"⚠ أكثر من صنف — اكتب كلمة أوضح","⚠ غير موجود في الدليل"))))</f>
        <v/>
      </c>
      <c r="E56" s="10"/>
      <c r="F56" s="10"/>
      <c r="G56" s="10" t="s">
        <v>20</v>
      </c>
      <c r="H56" s="11" t="n">
        <f aca="false">IF(OR(E56="",F56=""),0,IF(G56="شامل الضريبة",ROUND(ROUND(E56*F56,2)/1.15,2),ROUND(E56*F56,2)))</f>
        <v>0</v>
      </c>
      <c r="I56" s="11" t="n">
        <f aca="false">IF(OR(E56="",F56=""),0,IF(G56="شامل الضريبة",ROUND(E56*F56,2)-H56,ROUND(H56*0.15,2)))</f>
        <v>0</v>
      </c>
      <c r="J56" s="12" t="n">
        <f aca="false">H56+I56</f>
        <v>0</v>
      </c>
      <c r="K56" s="8"/>
      <c r="L56" s="0" t="str">
        <f aca="false">SUBSTITUTE(SUBSTITUTE(SUBSTITUTE(SUBSTITUTE(SUBSTITUTE(SUBSTITUTE(TRIM(A56),"أ","ا"),"إ","ا"),"آ","ا"),"ة","ه"),"ى","ي"),"ـ","")</f>
        <v/>
      </c>
      <c r="M56" s="0" t="str">
        <f aca="false">SUBSTITUTE(SUBSTITUTE(SUBSTITUTE(SUBSTITUTE(SUBSTITUTE(SUBSTITUTE(TRIM(C56),"أ","ا"),"إ","ا"),"آ","ا"),"ة","ه"),"ى","ي"),"ـ","")</f>
        <v/>
      </c>
    </row>
    <row r="57" customFormat="false" ht="15" hidden="false" customHeight="false" outlineLevel="0" collapsed="false">
      <c r="A57" s="8"/>
      <c r="B57" s="9" t="str">
        <f aca="false">IF(L57="","",IFERROR(INDEX('دليل العملاء'!$A$4:$A$203,MATCH(L57,'دليل العملاء'!$C$4:$C$203,0)),IF(COUNTIF('دليل العملاء'!$D$4:$D$203,"*"&amp;L57&amp;"*")=1,INDEX('دليل العملاء'!$A$4:$A$203,MATCH("*"&amp;L57&amp;"*",'دليل العملاء'!$D$4:$D$203,0)),IF(COUNTIF('دليل العملاء'!$D$4:$D$203,"*"&amp;L57&amp;"*")&gt;1,"⚠ أكثر من عميل — اكتب كلمة أوضح","⚠ غير موجود في الدليل"))))</f>
        <v/>
      </c>
      <c r="C57" s="8"/>
      <c r="D57" s="9" t="str">
        <f aca="false">IF(M57="","",IFERROR(INDEX('دليل الأصناف'!$A$4:$A$203,MATCH(M57,'دليل الأصناف'!$C$4:$C$203,0)),IF(COUNTIF('دليل الأصناف'!$D$4:$D$203,"*"&amp;M57&amp;"*")=1,INDEX('دليل الأصناف'!$A$4:$A$203,MATCH("*"&amp;M57&amp;"*",'دليل الأصناف'!$D$4:$D$203,0)),IF(COUNTIF('دليل الأصناف'!$D$4:$D$203,"*"&amp;M57&amp;"*")&gt;1,"⚠ أكثر من صنف — اكتب كلمة أوضح","⚠ غير موجود في الدليل"))))</f>
        <v/>
      </c>
      <c r="E57" s="10"/>
      <c r="F57" s="10"/>
      <c r="G57" s="10" t="s">
        <v>20</v>
      </c>
      <c r="H57" s="11" t="n">
        <f aca="false">IF(OR(E57="",F57=""),0,IF(G57="شامل الضريبة",ROUND(ROUND(E57*F57,2)/1.15,2),ROUND(E57*F57,2)))</f>
        <v>0</v>
      </c>
      <c r="I57" s="11" t="n">
        <f aca="false">IF(OR(E57="",F57=""),0,IF(G57="شامل الضريبة",ROUND(E57*F57,2)-H57,ROUND(H57*0.15,2)))</f>
        <v>0</v>
      </c>
      <c r="J57" s="12" t="n">
        <f aca="false">H57+I57</f>
        <v>0</v>
      </c>
      <c r="K57" s="8"/>
      <c r="L57" s="0" t="str">
        <f aca="false">SUBSTITUTE(SUBSTITUTE(SUBSTITUTE(SUBSTITUTE(SUBSTITUTE(SUBSTITUTE(TRIM(A57),"أ","ا"),"إ","ا"),"آ","ا"),"ة","ه"),"ى","ي"),"ـ","")</f>
        <v/>
      </c>
      <c r="M57" s="0" t="str">
        <f aca="false">SUBSTITUTE(SUBSTITUTE(SUBSTITUTE(SUBSTITUTE(SUBSTITUTE(SUBSTITUTE(TRIM(C57),"أ","ا"),"إ","ا"),"آ","ا"),"ة","ه"),"ى","ي"),"ـ","")</f>
        <v/>
      </c>
    </row>
    <row r="58" customFormat="false" ht="15" hidden="false" customHeight="false" outlineLevel="0" collapsed="false">
      <c r="A58" s="8"/>
      <c r="B58" s="9" t="str">
        <f aca="false">IF(L58="","",IFERROR(INDEX('دليل العملاء'!$A$4:$A$203,MATCH(L58,'دليل العملاء'!$C$4:$C$203,0)),IF(COUNTIF('دليل العملاء'!$D$4:$D$203,"*"&amp;L58&amp;"*")=1,INDEX('دليل العملاء'!$A$4:$A$203,MATCH("*"&amp;L58&amp;"*",'دليل العملاء'!$D$4:$D$203,0)),IF(COUNTIF('دليل العملاء'!$D$4:$D$203,"*"&amp;L58&amp;"*")&gt;1,"⚠ أكثر من عميل — اكتب كلمة أوضح","⚠ غير موجود في الدليل"))))</f>
        <v/>
      </c>
      <c r="C58" s="8"/>
      <c r="D58" s="9" t="str">
        <f aca="false">IF(M58="","",IFERROR(INDEX('دليل الأصناف'!$A$4:$A$203,MATCH(M58,'دليل الأصناف'!$C$4:$C$203,0)),IF(COUNTIF('دليل الأصناف'!$D$4:$D$203,"*"&amp;M58&amp;"*")=1,INDEX('دليل الأصناف'!$A$4:$A$203,MATCH("*"&amp;M58&amp;"*",'دليل الأصناف'!$D$4:$D$203,0)),IF(COUNTIF('دليل الأصناف'!$D$4:$D$203,"*"&amp;M58&amp;"*")&gt;1,"⚠ أكثر من صنف — اكتب كلمة أوضح","⚠ غير موجود في الدليل"))))</f>
        <v/>
      </c>
      <c r="E58" s="10"/>
      <c r="F58" s="10"/>
      <c r="G58" s="10" t="s">
        <v>20</v>
      </c>
      <c r="H58" s="11" t="n">
        <f aca="false">IF(OR(E58="",F58=""),0,IF(G58="شامل الضريبة",ROUND(ROUND(E58*F58,2)/1.15,2),ROUND(E58*F58,2)))</f>
        <v>0</v>
      </c>
      <c r="I58" s="11" t="n">
        <f aca="false">IF(OR(E58="",F58=""),0,IF(G58="شامل الضريبة",ROUND(E58*F58,2)-H58,ROUND(H58*0.15,2)))</f>
        <v>0</v>
      </c>
      <c r="J58" s="12" t="n">
        <f aca="false">H58+I58</f>
        <v>0</v>
      </c>
      <c r="K58" s="8"/>
      <c r="L58" s="0" t="str">
        <f aca="false">SUBSTITUTE(SUBSTITUTE(SUBSTITUTE(SUBSTITUTE(SUBSTITUTE(SUBSTITUTE(TRIM(A58),"أ","ا"),"إ","ا"),"آ","ا"),"ة","ه"),"ى","ي"),"ـ","")</f>
        <v/>
      </c>
      <c r="M58" s="0" t="str">
        <f aca="false">SUBSTITUTE(SUBSTITUTE(SUBSTITUTE(SUBSTITUTE(SUBSTITUTE(SUBSTITUTE(TRIM(C58),"أ","ا"),"إ","ا"),"آ","ا"),"ة","ه"),"ى","ي"),"ـ","")</f>
        <v/>
      </c>
    </row>
    <row r="59" customFormat="false" ht="15" hidden="false" customHeight="false" outlineLevel="0" collapsed="false">
      <c r="A59" s="8"/>
      <c r="B59" s="9" t="str">
        <f aca="false">IF(L59="","",IFERROR(INDEX('دليل العملاء'!$A$4:$A$203,MATCH(L59,'دليل العملاء'!$C$4:$C$203,0)),IF(COUNTIF('دليل العملاء'!$D$4:$D$203,"*"&amp;L59&amp;"*")=1,INDEX('دليل العملاء'!$A$4:$A$203,MATCH("*"&amp;L59&amp;"*",'دليل العملاء'!$D$4:$D$203,0)),IF(COUNTIF('دليل العملاء'!$D$4:$D$203,"*"&amp;L59&amp;"*")&gt;1,"⚠ أكثر من عميل — اكتب كلمة أوضح","⚠ غير موجود في الدليل"))))</f>
        <v/>
      </c>
      <c r="C59" s="8"/>
      <c r="D59" s="9" t="str">
        <f aca="false">IF(M59="","",IFERROR(INDEX('دليل الأصناف'!$A$4:$A$203,MATCH(M59,'دليل الأصناف'!$C$4:$C$203,0)),IF(COUNTIF('دليل الأصناف'!$D$4:$D$203,"*"&amp;M59&amp;"*")=1,INDEX('دليل الأصناف'!$A$4:$A$203,MATCH("*"&amp;M59&amp;"*",'دليل الأصناف'!$D$4:$D$203,0)),IF(COUNTIF('دليل الأصناف'!$D$4:$D$203,"*"&amp;M59&amp;"*")&gt;1,"⚠ أكثر من صنف — اكتب كلمة أوضح","⚠ غير موجود في الدليل"))))</f>
        <v/>
      </c>
      <c r="E59" s="10"/>
      <c r="F59" s="10"/>
      <c r="G59" s="10" t="s">
        <v>20</v>
      </c>
      <c r="H59" s="11" t="n">
        <f aca="false">IF(OR(E59="",F59=""),0,IF(G59="شامل الضريبة",ROUND(ROUND(E59*F59,2)/1.15,2),ROUND(E59*F59,2)))</f>
        <v>0</v>
      </c>
      <c r="I59" s="11" t="n">
        <f aca="false">IF(OR(E59="",F59=""),0,IF(G59="شامل الضريبة",ROUND(E59*F59,2)-H59,ROUND(H59*0.15,2)))</f>
        <v>0</v>
      </c>
      <c r="J59" s="12" t="n">
        <f aca="false">H59+I59</f>
        <v>0</v>
      </c>
      <c r="K59" s="8"/>
      <c r="L59" s="0" t="str">
        <f aca="false">SUBSTITUTE(SUBSTITUTE(SUBSTITUTE(SUBSTITUTE(SUBSTITUTE(SUBSTITUTE(TRIM(A59),"أ","ا"),"إ","ا"),"آ","ا"),"ة","ه"),"ى","ي"),"ـ","")</f>
        <v/>
      </c>
      <c r="M59" s="0" t="str">
        <f aca="false">SUBSTITUTE(SUBSTITUTE(SUBSTITUTE(SUBSTITUTE(SUBSTITUTE(SUBSTITUTE(TRIM(C59),"أ","ا"),"إ","ا"),"آ","ا"),"ة","ه"),"ى","ي"),"ـ","")</f>
        <v/>
      </c>
    </row>
    <row r="60" customFormat="false" ht="15" hidden="false" customHeight="false" outlineLevel="0" collapsed="false">
      <c r="A60" s="8"/>
      <c r="B60" s="9" t="str">
        <f aca="false">IF(L60="","",IFERROR(INDEX('دليل العملاء'!$A$4:$A$203,MATCH(L60,'دليل العملاء'!$C$4:$C$203,0)),IF(COUNTIF('دليل العملاء'!$D$4:$D$203,"*"&amp;L60&amp;"*")=1,INDEX('دليل العملاء'!$A$4:$A$203,MATCH("*"&amp;L60&amp;"*",'دليل العملاء'!$D$4:$D$203,0)),IF(COUNTIF('دليل العملاء'!$D$4:$D$203,"*"&amp;L60&amp;"*")&gt;1,"⚠ أكثر من عميل — اكتب كلمة أوضح","⚠ غير موجود في الدليل"))))</f>
        <v/>
      </c>
      <c r="C60" s="8"/>
      <c r="D60" s="9" t="str">
        <f aca="false">IF(M60="","",IFERROR(INDEX('دليل الأصناف'!$A$4:$A$203,MATCH(M60,'دليل الأصناف'!$C$4:$C$203,0)),IF(COUNTIF('دليل الأصناف'!$D$4:$D$203,"*"&amp;M60&amp;"*")=1,INDEX('دليل الأصناف'!$A$4:$A$203,MATCH("*"&amp;M60&amp;"*",'دليل الأصناف'!$D$4:$D$203,0)),IF(COUNTIF('دليل الأصناف'!$D$4:$D$203,"*"&amp;M60&amp;"*")&gt;1,"⚠ أكثر من صنف — اكتب كلمة أوضح","⚠ غير موجود في الدليل"))))</f>
        <v/>
      </c>
      <c r="E60" s="10"/>
      <c r="F60" s="10"/>
      <c r="G60" s="10" t="s">
        <v>20</v>
      </c>
      <c r="H60" s="11" t="n">
        <f aca="false">IF(OR(E60="",F60=""),0,IF(G60="شامل الضريبة",ROUND(ROUND(E60*F60,2)/1.15,2),ROUND(E60*F60,2)))</f>
        <v>0</v>
      </c>
      <c r="I60" s="11" t="n">
        <f aca="false">IF(OR(E60="",F60=""),0,IF(G60="شامل الضريبة",ROUND(E60*F60,2)-H60,ROUND(H60*0.15,2)))</f>
        <v>0</v>
      </c>
      <c r="J60" s="12" t="n">
        <f aca="false">H60+I60</f>
        <v>0</v>
      </c>
      <c r="K60" s="8"/>
      <c r="L60" s="0" t="str">
        <f aca="false">SUBSTITUTE(SUBSTITUTE(SUBSTITUTE(SUBSTITUTE(SUBSTITUTE(SUBSTITUTE(TRIM(A60),"أ","ا"),"إ","ا"),"آ","ا"),"ة","ه"),"ى","ي"),"ـ","")</f>
        <v/>
      </c>
      <c r="M60" s="0" t="str">
        <f aca="false">SUBSTITUTE(SUBSTITUTE(SUBSTITUTE(SUBSTITUTE(SUBSTITUTE(SUBSTITUTE(TRIM(C60),"أ","ا"),"إ","ا"),"آ","ا"),"ة","ه"),"ى","ي"),"ـ","")</f>
        <v/>
      </c>
    </row>
    <row r="61" customFormat="false" ht="15" hidden="false" customHeight="false" outlineLevel="0" collapsed="false">
      <c r="A61" s="8"/>
      <c r="B61" s="9" t="str">
        <f aca="false">IF(L61="","",IFERROR(INDEX('دليل العملاء'!$A$4:$A$203,MATCH(L61,'دليل العملاء'!$C$4:$C$203,0)),IF(COUNTIF('دليل العملاء'!$D$4:$D$203,"*"&amp;L61&amp;"*")=1,INDEX('دليل العملاء'!$A$4:$A$203,MATCH("*"&amp;L61&amp;"*",'دليل العملاء'!$D$4:$D$203,0)),IF(COUNTIF('دليل العملاء'!$D$4:$D$203,"*"&amp;L61&amp;"*")&gt;1,"⚠ أكثر من عميل — اكتب كلمة أوضح","⚠ غير موجود في الدليل"))))</f>
        <v/>
      </c>
      <c r="C61" s="8"/>
      <c r="D61" s="9" t="str">
        <f aca="false">IF(M61="","",IFERROR(INDEX('دليل الأصناف'!$A$4:$A$203,MATCH(M61,'دليل الأصناف'!$C$4:$C$203,0)),IF(COUNTIF('دليل الأصناف'!$D$4:$D$203,"*"&amp;M61&amp;"*")=1,INDEX('دليل الأصناف'!$A$4:$A$203,MATCH("*"&amp;M61&amp;"*",'دليل الأصناف'!$D$4:$D$203,0)),IF(COUNTIF('دليل الأصناف'!$D$4:$D$203,"*"&amp;M61&amp;"*")&gt;1,"⚠ أكثر من صنف — اكتب كلمة أوضح","⚠ غير موجود في الدليل"))))</f>
        <v/>
      </c>
      <c r="E61" s="10"/>
      <c r="F61" s="10"/>
      <c r="G61" s="10" t="s">
        <v>20</v>
      </c>
      <c r="H61" s="11" t="n">
        <f aca="false">IF(OR(E61="",F61=""),0,IF(G61="شامل الضريبة",ROUND(ROUND(E61*F61,2)/1.15,2),ROUND(E61*F61,2)))</f>
        <v>0</v>
      </c>
      <c r="I61" s="11" t="n">
        <f aca="false">IF(OR(E61="",F61=""),0,IF(G61="شامل الضريبة",ROUND(E61*F61,2)-H61,ROUND(H61*0.15,2)))</f>
        <v>0</v>
      </c>
      <c r="J61" s="12" t="n">
        <f aca="false">H61+I61</f>
        <v>0</v>
      </c>
      <c r="K61" s="8"/>
      <c r="L61" s="0" t="str">
        <f aca="false">SUBSTITUTE(SUBSTITUTE(SUBSTITUTE(SUBSTITUTE(SUBSTITUTE(SUBSTITUTE(TRIM(A61),"أ","ا"),"إ","ا"),"آ","ا"),"ة","ه"),"ى","ي"),"ـ","")</f>
        <v/>
      </c>
      <c r="M61" s="0" t="str">
        <f aca="false">SUBSTITUTE(SUBSTITUTE(SUBSTITUTE(SUBSTITUTE(SUBSTITUTE(SUBSTITUTE(TRIM(C61),"أ","ا"),"إ","ا"),"آ","ا"),"ة","ه"),"ى","ي"),"ـ","")</f>
        <v/>
      </c>
    </row>
    <row r="62" customFormat="false" ht="15" hidden="false" customHeight="false" outlineLevel="0" collapsed="false">
      <c r="A62" s="8"/>
      <c r="B62" s="9" t="str">
        <f aca="false">IF(L62="","",IFERROR(INDEX('دليل العملاء'!$A$4:$A$203,MATCH(L62,'دليل العملاء'!$C$4:$C$203,0)),IF(COUNTIF('دليل العملاء'!$D$4:$D$203,"*"&amp;L62&amp;"*")=1,INDEX('دليل العملاء'!$A$4:$A$203,MATCH("*"&amp;L62&amp;"*",'دليل العملاء'!$D$4:$D$203,0)),IF(COUNTIF('دليل العملاء'!$D$4:$D$203,"*"&amp;L62&amp;"*")&gt;1,"⚠ أكثر من عميل — اكتب كلمة أوضح","⚠ غير موجود في الدليل"))))</f>
        <v/>
      </c>
      <c r="C62" s="8"/>
      <c r="D62" s="9" t="str">
        <f aca="false">IF(M62="","",IFERROR(INDEX('دليل الأصناف'!$A$4:$A$203,MATCH(M62,'دليل الأصناف'!$C$4:$C$203,0)),IF(COUNTIF('دليل الأصناف'!$D$4:$D$203,"*"&amp;M62&amp;"*")=1,INDEX('دليل الأصناف'!$A$4:$A$203,MATCH("*"&amp;M62&amp;"*",'دليل الأصناف'!$D$4:$D$203,0)),IF(COUNTIF('دليل الأصناف'!$D$4:$D$203,"*"&amp;M62&amp;"*")&gt;1,"⚠ أكثر من صنف — اكتب كلمة أوضح","⚠ غير موجود في الدليل"))))</f>
        <v/>
      </c>
      <c r="E62" s="10"/>
      <c r="F62" s="10"/>
      <c r="G62" s="10" t="s">
        <v>20</v>
      </c>
      <c r="H62" s="11" t="n">
        <f aca="false">IF(OR(E62="",F62=""),0,IF(G62="شامل الضريبة",ROUND(ROUND(E62*F62,2)/1.15,2),ROUND(E62*F62,2)))</f>
        <v>0</v>
      </c>
      <c r="I62" s="11" t="n">
        <f aca="false">IF(OR(E62="",F62=""),0,IF(G62="شامل الضريبة",ROUND(E62*F62,2)-H62,ROUND(H62*0.15,2)))</f>
        <v>0</v>
      </c>
      <c r="J62" s="12" t="n">
        <f aca="false">H62+I62</f>
        <v>0</v>
      </c>
      <c r="K62" s="8"/>
      <c r="L62" s="0" t="str">
        <f aca="false">SUBSTITUTE(SUBSTITUTE(SUBSTITUTE(SUBSTITUTE(SUBSTITUTE(SUBSTITUTE(TRIM(A62),"أ","ا"),"إ","ا"),"آ","ا"),"ة","ه"),"ى","ي"),"ـ","")</f>
        <v/>
      </c>
      <c r="M62" s="0" t="str">
        <f aca="false">SUBSTITUTE(SUBSTITUTE(SUBSTITUTE(SUBSTITUTE(SUBSTITUTE(SUBSTITUTE(TRIM(C62),"أ","ا"),"إ","ا"),"آ","ا"),"ة","ه"),"ى","ي"),"ـ","")</f>
        <v/>
      </c>
    </row>
    <row r="63" customFormat="false" ht="15" hidden="false" customHeight="false" outlineLevel="0" collapsed="false">
      <c r="A63" s="8"/>
      <c r="B63" s="9" t="str">
        <f aca="false">IF(L63="","",IFERROR(INDEX('دليل العملاء'!$A$4:$A$203,MATCH(L63,'دليل العملاء'!$C$4:$C$203,0)),IF(COUNTIF('دليل العملاء'!$D$4:$D$203,"*"&amp;L63&amp;"*")=1,INDEX('دليل العملاء'!$A$4:$A$203,MATCH("*"&amp;L63&amp;"*",'دليل العملاء'!$D$4:$D$203,0)),IF(COUNTIF('دليل العملاء'!$D$4:$D$203,"*"&amp;L63&amp;"*")&gt;1,"⚠ أكثر من عميل — اكتب كلمة أوضح","⚠ غير موجود في الدليل"))))</f>
        <v/>
      </c>
      <c r="C63" s="8"/>
      <c r="D63" s="9" t="str">
        <f aca="false">IF(M63="","",IFERROR(INDEX('دليل الأصناف'!$A$4:$A$203,MATCH(M63,'دليل الأصناف'!$C$4:$C$203,0)),IF(COUNTIF('دليل الأصناف'!$D$4:$D$203,"*"&amp;M63&amp;"*")=1,INDEX('دليل الأصناف'!$A$4:$A$203,MATCH("*"&amp;M63&amp;"*",'دليل الأصناف'!$D$4:$D$203,0)),IF(COUNTIF('دليل الأصناف'!$D$4:$D$203,"*"&amp;M63&amp;"*")&gt;1,"⚠ أكثر من صنف — اكتب كلمة أوضح","⚠ غير موجود في الدليل"))))</f>
        <v/>
      </c>
      <c r="E63" s="10"/>
      <c r="F63" s="10"/>
      <c r="G63" s="10" t="s">
        <v>20</v>
      </c>
      <c r="H63" s="11" t="n">
        <f aca="false">IF(OR(E63="",F63=""),0,IF(G63="شامل الضريبة",ROUND(ROUND(E63*F63,2)/1.15,2),ROUND(E63*F63,2)))</f>
        <v>0</v>
      </c>
      <c r="I63" s="11" t="n">
        <f aca="false">IF(OR(E63="",F63=""),0,IF(G63="شامل الضريبة",ROUND(E63*F63,2)-H63,ROUND(H63*0.15,2)))</f>
        <v>0</v>
      </c>
      <c r="J63" s="12" t="n">
        <f aca="false">H63+I63</f>
        <v>0</v>
      </c>
      <c r="K63" s="8"/>
      <c r="L63" s="0" t="str">
        <f aca="false">SUBSTITUTE(SUBSTITUTE(SUBSTITUTE(SUBSTITUTE(SUBSTITUTE(SUBSTITUTE(TRIM(A63),"أ","ا"),"إ","ا"),"آ","ا"),"ة","ه"),"ى","ي"),"ـ","")</f>
        <v/>
      </c>
      <c r="M63" s="0" t="str">
        <f aca="false">SUBSTITUTE(SUBSTITUTE(SUBSTITUTE(SUBSTITUTE(SUBSTITUTE(SUBSTITUTE(TRIM(C63),"أ","ا"),"إ","ا"),"آ","ا"),"ة","ه"),"ى","ي"),"ـ","")</f>
        <v/>
      </c>
    </row>
    <row r="64" customFormat="false" ht="15" hidden="false" customHeight="false" outlineLevel="0" collapsed="false">
      <c r="A64" s="8"/>
      <c r="B64" s="9" t="str">
        <f aca="false">IF(L64="","",IFERROR(INDEX('دليل العملاء'!$A$4:$A$203,MATCH(L64,'دليل العملاء'!$C$4:$C$203,0)),IF(COUNTIF('دليل العملاء'!$D$4:$D$203,"*"&amp;L64&amp;"*")=1,INDEX('دليل العملاء'!$A$4:$A$203,MATCH("*"&amp;L64&amp;"*",'دليل العملاء'!$D$4:$D$203,0)),IF(COUNTIF('دليل العملاء'!$D$4:$D$203,"*"&amp;L64&amp;"*")&gt;1,"⚠ أكثر من عميل — اكتب كلمة أوضح","⚠ غير موجود في الدليل"))))</f>
        <v/>
      </c>
      <c r="C64" s="8"/>
      <c r="D64" s="9" t="str">
        <f aca="false">IF(M64="","",IFERROR(INDEX('دليل الأصناف'!$A$4:$A$203,MATCH(M64,'دليل الأصناف'!$C$4:$C$203,0)),IF(COUNTIF('دليل الأصناف'!$D$4:$D$203,"*"&amp;M64&amp;"*")=1,INDEX('دليل الأصناف'!$A$4:$A$203,MATCH("*"&amp;M64&amp;"*",'دليل الأصناف'!$D$4:$D$203,0)),IF(COUNTIF('دليل الأصناف'!$D$4:$D$203,"*"&amp;M64&amp;"*")&gt;1,"⚠ أكثر من صنف — اكتب كلمة أوضح","⚠ غير موجود في الدليل"))))</f>
        <v/>
      </c>
      <c r="E64" s="10"/>
      <c r="F64" s="10"/>
      <c r="G64" s="10" t="s">
        <v>20</v>
      </c>
      <c r="H64" s="11" t="n">
        <f aca="false">IF(OR(E64="",F64=""),0,IF(G64="شامل الضريبة",ROUND(ROUND(E64*F64,2)/1.15,2),ROUND(E64*F64,2)))</f>
        <v>0</v>
      </c>
      <c r="I64" s="11" t="n">
        <f aca="false">IF(OR(E64="",F64=""),0,IF(G64="شامل الضريبة",ROUND(E64*F64,2)-H64,ROUND(H64*0.15,2)))</f>
        <v>0</v>
      </c>
      <c r="J64" s="12" t="n">
        <f aca="false">H64+I64</f>
        <v>0</v>
      </c>
      <c r="K64" s="8"/>
      <c r="L64" s="0" t="str">
        <f aca="false">SUBSTITUTE(SUBSTITUTE(SUBSTITUTE(SUBSTITUTE(SUBSTITUTE(SUBSTITUTE(TRIM(A64),"أ","ا"),"إ","ا"),"آ","ا"),"ة","ه"),"ى","ي"),"ـ","")</f>
        <v/>
      </c>
      <c r="M64" s="0" t="str">
        <f aca="false">SUBSTITUTE(SUBSTITUTE(SUBSTITUTE(SUBSTITUTE(SUBSTITUTE(SUBSTITUTE(TRIM(C64),"أ","ا"),"إ","ا"),"آ","ا"),"ة","ه"),"ى","ي"),"ـ","")</f>
        <v/>
      </c>
    </row>
    <row r="65" customFormat="false" ht="15" hidden="false" customHeight="false" outlineLevel="0" collapsed="false">
      <c r="A65" s="8"/>
      <c r="B65" s="9" t="str">
        <f aca="false">IF(L65="","",IFERROR(INDEX('دليل العملاء'!$A$4:$A$203,MATCH(L65,'دليل العملاء'!$C$4:$C$203,0)),IF(COUNTIF('دليل العملاء'!$D$4:$D$203,"*"&amp;L65&amp;"*")=1,INDEX('دليل العملاء'!$A$4:$A$203,MATCH("*"&amp;L65&amp;"*",'دليل العملاء'!$D$4:$D$203,0)),IF(COUNTIF('دليل العملاء'!$D$4:$D$203,"*"&amp;L65&amp;"*")&gt;1,"⚠ أكثر من عميل — اكتب كلمة أوضح","⚠ غير موجود في الدليل"))))</f>
        <v/>
      </c>
      <c r="C65" s="8"/>
      <c r="D65" s="9" t="str">
        <f aca="false">IF(M65="","",IFERROR(INDEX('دليل الأصناف'!$A$4:$A$203,MATCH(M65,'دليل الأصناف'!$C$4:$C$203,0)),IF(COUNTIF('دليل الأصناف'!$D$4:$D$203,"*"&amp;M65&amp;"*")=1,INDEX('دليل الأصناف'!$A$4:$A$203,MATCH("*"&amp;M65&amp;"*",'دليل الأصناف'!$D$4:$D$203,0)),IF(COUNTIF('دليل الأصناف'!$D$4:$D$203,"*"&amp;M65&amp;"*")&gt;1,"⚠ أكثر من صنف — اكتب كلمة أوضح","⚠ غير موجود في الدليل"))))</f>
        <v/>
      </c>
      <c r="E65" s="10"/>
      <c r="F65" s="10"/>
      <c r="G65" s="10" t="s">
        <v>20</v>
      </c>
      <c r="H65" s="11" t="n">
        <f aca="false">IF(OR(E65="",F65=""),0,IF(G65="شامل الضريبة",ROUND(ROUND(E65*F65,2)/1.15,2),ROUND(E65*F65,2)))</f>
        <v>0</v>
      </c>
      <c r="I65" s="11" t="n">
        <f aca="false">IF(OR(E65="",F65=""),0,IF(G65="شامل الضريبة",ROUND(E65*F65,2)-H65,ROUND(H65*0.15,2)))</f>
        <v>0</v>
      </c>
      <c r="J65" s="12" t="n">
        <f aca="false">H65+I65</f>
        <v>0</v>
      </c>
      <c r="K65" s="8"/>
      <c r="L65" s="0" t="str">
        <f aca="false">SUBSTITUTE(SUBSTITUTE(SUBSTITUTE(SUBSTITUTE(SUBSTITUTE(SUBSTITUTE(TRIM(A65),"أ","ا"),"إ","ا"),"آ","ا"),"ة","ه"),"ى","ي"),"ـ","")</f>
        <v/>
      </c>
      <c r="M65" s="0" t="str">
        <f aca="false">SUBSTITUTE(SUBSTITUTE(SUBSTITUTE(SUBSTITUTE(SUBSTITUTE(SUBSTITUTE(TRIM(C65),"أ","ا"),"إ","ا"),"آ","ا"),"ة","ه"),"ى","ي"),"ـ","")</f>
        <v/>
      </c>
    </row>
    <row r="66" customFormat="false" ht="15" hidden="false" customHeight="false" outlineLevel="0" collapsed="false">
      <c r="A66" s="8"/>
      <c r="B66" s="9" t="str">
        <f aca="false">IF(L66="","",IFERROR(INDEX('دليل العملاء'!$A$4:$A$203,MATCH(L66,'دليل العملاء'!$C$4:$C$203,0)),IF(COUNTIF('دليل العملاء'!$D$4:$D$203,"*"&amp;L66&amp;"*")=1,INDEX('دليل العملاء'!$A$4:$A$203,MATCH("*"&amp;L66&amp;"*",'دليل العملاء'!$D$4:$D$203,0)),IF(COUNTIF('دليل العملاء'!$D$4:$D$203,"*"&amp;L66&amp;"*")&gt;1,"⚠ أكثر من عميل — اكتب كلمة أوضح","⚠ غير موجود في الدليل"))))</f>
        <v/>
      </c>
      <c r="C66" s="8"/>
      <c r="D66" s="9" t="str">
        <f aca="false">IF(M66="","",IFERROR(INDEX('دليل الأصناف'!$A$4:$A$203,MATCH(M66,'دليل الأصناف'!$C$4:$C$203,0)),IF(COUNTIF('دليل الأصناف'!$D$4:$D$203,"*"&amp;M66&amp;"*")=1,INDEX('دليل الأصناف'!$A$4:$A$203,MATCH("*"&amp;M66&amp;"*",'دليل الأصناف'!$D$4:$D$203,0)),IF(COUNTIF('دليل الأصناف'!$D$4:$D$203,"*"&amp;M66&amp;"*")&gt;1,"⚠ أكثر من صنف — اكتب كلمة أوضح","⚠ غير موجود في الدليل"))))</f>
        <v/>
      </c>
      <c r="E66" s="10"/>
      <c r="F66" s="10"/>
      <c r="G66" s="10" t="s">
        <v>20</v>
      </c>
      <c r="H66" s="11" t="n">
        <f aca="false">IF(OR(E66="",F66=""),0,IF(G66="شامل الضريبة",ROUND(ROUND(E66*F66,2)/1.15,2),ROUND(E66*F66,2)))</f>
        <v>0</v>
      </c>
      <c r="I66" s="11" t="n">
        <f aca="false">IF(OR(E66="",F66=""),0,IF(G66="شامل الضريبة",ROUND(E66*F66,2)-H66,ROUND(H66*0.15,2)))</f>
        <v>0</v>
      </c>
      <c r="J66" s="12" t="n">
        <f aca="false">H66+I66</f>
        <v>0</v>
      </c>
      <c r="K66" s="8"/>
      <c r="L66" s="0" t="str">
        <f aca="false">SUBSTITUTE(SUBSTITUTE(SUBSTITUTE(SUBSTITUTE(SUBSTITUTE(SUBSTITUTE(TRIM(A66),"أ","ا"),"إ","ا"),"آ","ا"),"ة","ه"),"ى","ي"),"ـ","")</f>
        <v/>
      </c>
      <c r="M66" s="0" t="str">
        <f aca="false">SUBSTITUTE(SUBSTITUTE(SUBSTITUTE(SUBSTITUTE(SUBSTITUTE(SUBSTITUTE(TRIM(C66),"أ","ا"),"إ","ا"),"آ","ا"),"ة","ه"),"ى","ي"),"ـ","")</f>
        <v/>
      </c>
    </row>
    <row r="67" customFormat="false" ht="15" hidden="false" customHeight="false" outlineLevel="0" collapsed="false">
      <c r="A67" s="8"/>
      <c r="B67" s="9" t="str">
        <f aca="false">IF(L67="","",IFERROR(INDEX('دليل العملاء'!$A$4:$A$203,MATCH(L67,'دليل العملاء'!$C$4:$C$203,0)),IF(COUNTIF('دليل العملاء'!$D$4:$D$203,"*"&amp;L67&amp;"*")=1,INDEX('دليل العملاء'!$A$4:$A$203,MATCH("*"&amp;L67&amp;"*",'دليل العملاء'!$D$4:$D$203,0)),IF(COUNTIF('دليل العملاء'!$D$4:$D$203,"*"&amp;L67&amp;"*")&gt;1,"⚠ أكثر من عميل — اكتب كلمة أوضح","⚠ غير موجود في الدليل"))))</f>
        <v/>
      </c>
      <c r="C67" s="8"/>
      <c r="D67" s="9" t="str">
        <f aca="false">IF(M67="","",IFERROR(INDEX('دليل الأصناف'!$A$4:$A$203,MATCH(M67,'دليل الأصناف'!$C$4:$C$203,0)),IF(COUNTIF('دليل الأصناف'!$D$4:$D$203,"*"&amp;M67&amp;"*")=1,INDEX('دليل الأصناف'!$A$4:$A$203,MATCH("*"&amp;M67&amp;"*",'دليل الأصناف'!$D$4:$D$203,0)),IF(COUNTIF('دليل الأصناف'!$D$4:$D$203,"*"&amp;M67&amp;"*")&gt;1,"⚠ أكثر من صنف — اكتب كلمة أوضح","⚠ غير موجود في الدليل"))))</f>
        <v/>
      </c>
      <c r="E67" s="10"/>
      <c r="F67" s="10"/>
      <c r="G67" s="10" t="s">
        <v>20</v>
      </c>
      <c r="H67" s="11" t="n">
        <f aca="false">IF(OR(E67="",F67=""),0,IF(G67="شامل الضريبة",ROUND(ROUND(E67*F67,2)/1.15,2),ROUND(E67*F67,2)))</f>
        <v>0</v>
      </c>
      <c r="I67" s="11" t="n">
        <f aca="false">IF(OR(E67="",F67=""),0,IF(G67="شامل الضريبة",ROUND(E67*F67,2)-H67,ROUND(H67*0.15,2)))</f>
        <v>0</v>
      </c>
      <c r="J67" s="12" t="n">
        <f aca="false">H67+I67</f>
        <v>0</v>
      </c>
      <c r="K67" s="8"/>
      <c r="L67" s="0" t="str">
        <f aca="false">SUBSTITUTE(SUBSTITUTE(SUBSTITUTE(SUBSTITUTE(SUBSTITUTE(SUBSTITUTE(TRIM(A67),"أ","ا"),"إ","ا"),"آ","ا"),"ة","ه"),"ى","ي"),"ـ","")</f>
        <v/>
      </c>
      <c r="M67" s="0" t="str">
        <f aca="false">SUBSTITUTE(SUBSTITUTE(SUBSTITUTE(SUBSTITUTE(SUBSTITUTE(SUBSTITUTE(TRIM(C67),"أ","ا"),"إ","ا"),"آ","ا"),"ة","ه"),"ى","ي"),"ـ","")</f>
        <v/>
      </c>
    </row>
    <row r="68" customFormat="false" ht="15" hidden="false" customHeight="false" outlineLevel="0" collapsed="false">
      <c r="A68" s="8"/>
      <c r="B68" s="9" t="str">
        <f aca="false">IF(L68="","",IFERROR(INDEX('دليل العملاء'!$A$4:$A$203,MATCH(L68,'دليل العملاء'!$C$4:$C$203,0)),IF(COUNTIF('دليل العملاء'!$D$4:$D$203,"*"&amp;L68&amp;"*")=1,INDEX('دليل العملاء'!$A$4:$A$203,MATCH("*"&amp;L68&amp;"*",'دليل العملاء'!$D$4:$D$203,0)),IF(COUNTIF('دليل العملاء'!$D$4:$D$203,"*"&amp;L68&amp;"*")&gt;1,"⚠ أكثر من عميل — اكتب كلمة أوضح","⚠ غير موجود في الدليل"))))</f>
        <v/>
      </c>
      <c r="C68" s="8"/>
      <c r="D68" s="9" t="str">
        <f aca="false">IF(M68="","",IFERROR(INDEX('دليل الأصناف'!$A$4:$A$203,MATCH(M68,'دليل الأصناف'!$C$4:$C$203,0)),IF(COUNTIF('دليل الأصناف'!$D$4:$D$203,"*"&amp;M68&amp;"*")=1,INDEX('دليل الأصناف'!$A$4:$A$203,MATCH("*"&amp;M68&amp;"*",'دليل الأصناف'!$D$4:$D$203,0)),IF(COUNTIF('دليل الأصناف'!$D$4:$D$203,"*"&amp;M68&amp;"*")&gt;1,"⚠ أكثر من صنف — اكتب كلمة أوضح","⚠ غير موجود في الدليل"))))</f>
        <v/>
      </c>
      <c r="E68" s="10"/>
      <c r="F68" s="10"/>
      <c r="G68" s="10" t="s">
        <v>20</v>
      </c>
      <c r="H68" s="11" t="n">
        <f aca="false">IF(OR(E68="",F68=""),0,IF(G68="شامل الضريبة",ROUND(ROUND(E68*F68,2)/1.15,2),ROUND(E68*F68,2)))</f>
        <v>0</v>
      </c>
      <c r="I68" s="11" t="n">
        <f aca="false">IF(OR(E68="",F68=""),0,IF(G68="شامل الضريبة",ROUND(E68*F68,2)-H68,ROUND(H68*0.15,2)))</f>
        <v>0</v>
      </c>
      <c r="J68" s="12" t="n">
        <f aca="false">H68+I68</f>
        <v>0</v>
      </c>
      <c r="K68" s="8"/>
      <c r="L68" s="0" t="str">
        <f aca="false">SUBSTITUTE(SUBSTITUTE(SUBSTITUTE(SUBSTITUTE(SUBSTITUTE(SUBSTITUTE(TRIM(A68),"أ","ا"),"إ","ا"),"آ","ا"),"ة","ه"),"ى","ي"),"ـ","")</f>
        <v/>
      </c>
      <c r="M68" s="0" t="str">
        <f aca="false">SUBSTITUTE(SUBSTITUTE(SUBSTITUTE(SUBSTITUTE(SUBSTITUTE(SUBSTITUTE(TRIM(C68),"أ","ا"),"إ","ا"),"آ","ا"),"ة","ه"),"ى","ي"),"ـ","")</f>
        <v/>
      </c>
    </row>
    <row r="69" customFormat="false" ht="15" hidden="false" customHeight="false" outlineLevel="0" collapsed="false">
      <c r="A69" s="8"/>
      <c r="B69" s="9" t="str">
        <f aca="false">IF(L69="","",IFERROR(INDEX('دليل العملاء'!$A$4:$A$203,MATCH(L69,'دليل العملاء'!$C$4:$C$203,0)),IF(COUNTIF('دليل العملاء'!$D$4:$D$203,"*"&amp;L69&amp;"*")=1,INDEX('دليل العملاء'!$A$4:$A$203,MATCH("*"&amp;L69&amp;"*",'دليل العملاء'!$D$4:$D$203,0)),IF(COUNTIF('دليل العملاء'!$D$4:$D$203,"*"&amp;L69&amp;"*")&gt;1,"⚠ أكثر من عميل — اكتب كلمة أوضح","⚠ غير موجود في الدليل"))))</f>
        <v/>
      </c>
      <c r="C69" s="8"/>
      <c r="D69" s="9" t="str">
        <f aca="false">IF(M69="","",IFERROR(INDEX('دليل الأصناف'!$A$4:$A$203,MATCH(M69,'دليل الأصناف'!$C$4:$C$203,0)),IF(COUNTIF('دليل الأصناف'!$D$4:$D$203,"*"&amp;M69&amp;"*")=1,INDEX('دليل الأصناف'!$A$4:$A$203,MATCH("*"&amp;M69&amp;"*",'دليل الأصناف'!$D$4:$D$203,0)),IF(COUNTIF('دليل الأصناف'!$D$4:$D$203,"*"&amp;M69&amp;"*")&gt;1,"⚠ أكثر من صنف — اكتب كلمة أوضح","⚠ غير موجود في الدليل"))))</f>
        <v/>
      </c>
      <c r="E69" s="10"/>
      <c r="F69" s="10"/>
      <c r="G69" s="10" t="s">
        <v>20</v>
      </c>
      <c r="H69" s="11" t="n">
        <f aca="false">IF(OR(E69="",F69=""),0,IF(G69="شامل الضريبة",ROUND(ROUND(E69*F69,2)/1.15,2),ROUND(E69*F69,2)))</f>
        <v>0</v>
      </c>
      <c r="I69" s="11" t="n">
        <f aca="false">IF(OR(E69="",F69=""),0,IF(G69="شامل الضريبة",ROUND(E69*F69,2)-H69,ROUND(H69*0.15,2)))</f>
        <v>0</v>
      </c>
      <c r="J69" s="12" t="n">
        <f aca="false">H69+I69</f>
        <v>0</v>
      </c>
      <c r="K69" s="8"/>
      <c r="L69" s="0" t="str">
        <f aca="false">SUBSTITUTE(SUBSTITUTE(SUBSTITUTE(SUBSTITUTE(SUBSTITUTE(SUBSTITUTE(TRIM(A69),"أ","ا"),"إ","ا"),"آ","ا"),"ة","ه"),"ى","ي"),"ـ","")</f>
        <v/>
      </c>
      <c r="M69" s="0" t="str">
        <f aca="false">SUBSTITUTE(SUBSTITUTE(SUBSTITUTE(SUBSTITUTE(SUBSTITUTE(SUBSTITUTE(TRIM(C69),"أ","ا"),"إ","ا"),"آ","ا"),"ة","ه"),"ى","ي"),"ـ","")</f>
        <v/>
      </c>
    </row>
    <row r="70" customFormat="false" ht="15" hidden="false" customHeight="false" outlineLevel="0" collapsed="false">
      <c r="A70" s="8"/>
      <c r="B70" s="9" t="str">
        <f aca="false">IF(L70="","",IFERROR(INDEX('دليل العملاء'!$A$4:$A$203,MATCH(L70,'دليل العملاء'!$C$4:$C$203,0)),IF(COUNTIF('دليل العملاء'!$D$4:$D$203,"*"&amp;L70&amp;"*")=1,INDEX('دليل العملاء'!$A$4:$A$203,MATCH("*"&amp;L70&amp;"*",'دليل العملاء'!$D$4:$D$203,0)),IF(COUNTIF('دليل العملاء'!$D$4:$D$203,"*"&amp;L70&amp;"*")&gt;1,"⚠ أكثر من عميل — اكتب كلمة أوضح","⚠ غير موجود في الدليل"))))</f>
        <v/>
      </c>
      <c r="C70" s="8"/>
      <c r="D70" s="9" t="str">
        <f aca="false">IF(M70="","",IFERROR(INDEX('دليل الأصناف'!$A$4:$A$203,MATCH(M70,'دليل الأصناف'!$C$4:$C$203,0)),IF(COUNTIF('دليل الأصناف'!$D$4:$D$203,"*"&amp;M70&amp;"*")=1,INDEX('دليل الأصناف'!$A$4:$A$203,MATCH("*"&amp;M70&amp;"*",'دليل الأصناف'!$D$4:$D$203,0)),IF(COUNTIF('دليل الأصناف'!$D$4:$D$203,"*"&amp;M70&amp;"*")&gt;1,"⚠ أكثر من صنف — اكتب كلمة أوضح","⚠ غير موجود في الدليل"))))</f>
        <v/>
      </c>
      <c r="E70" s="10"/>
      <c r="F70" s="10"/>
      <c r="G70" s="10" t="s">
        <v>20</v>
      </c>
      <c r="H70" s="11" t="n">
        <f aca="false">IF(OR(E70="",F70=""),0,IF(G70="شامل الضريبة",ROUND(ROUND(E70*F70,2)/1.15,2),ROUND(E70*F70,2)))</f>
        <v>0</v>
      </c>
      <c r="I70" s="11" t="n">
        <f aca="false">IF(OR(E70="",F70=""),0,IF(G70="شامل الضريبة",ROUND(E70*F70,2)-H70,ROUND(H70*0.15,2)))</f>
        <v>0</v>
      </c>
      <c r="J70" s="12" t="n">
        <f aca="false">H70+I70</f>
        <v>0</v>
      </c>
      <c r="K70" s="8"/>
      <c r="L70" s="0" t="str">
        <f aca="false">SUBSTITUTE(SUBSTITUTE(SUBSTITUTE(SUBSTITUTE(SUBSTITUTE(SUBSTITUTE(TRIM(A70),"أ","ا"),"إ","ا"),"آ","ا"),"ة","ه"),"ى","ي"),"ـ","")</f>
        <v/>
      </c>
      <c r="M70" s="0" t="str">
        <f aca="false">SUBSTITUTE(SUBSTITUTE(SUBSTITUTE(SUBSTITUTE(SUBSTITUTE(SUBSTITUTE(TRIM(C70),"أ","ا"),"إ","ا"),"آ","ا"),"ة","ه"),"ى","ي"),"ـ","")</f>
        <v/>
      </c>
    </row>
    <row r="71" customFormat="false" ht="15" hidden="false" customHeight="false" outlineLevel="0" collapsed="false">
      <c r="A71" s="8"/>
      <c r="B71" s="9" t="str">
        <f aca="false">IF(L71="","",IFERROR(INDEX('دليل العملاء'!$A$4:$A$203,MATCH(L71,'دليل العملاء'!$C$4:$C$203,0)),IF(COUNTIF('دليل العملاء'!$D$4:$D$203,"*"&amp;L71&amp;"*")=1,INDEX('دليل العملاء'!$A$4:$A$203,MATCH("*"&amp;L71&amp;"*",'دليل العملاء'!$D$4:$D$203,0)),IF(COUNTIF('دليل العملاء'!$D$4:$D$203,"*"&amp;L71&amp;"*")&gt;1,"⚠ أكثر من عميل — اكتب كلمة أوضح","⚠ غير موجود في الدليل"))))</f>
        <v/>
      </c>
      <c r="C71" s="8"/>
      <c r="D71" s="9" t="str">
        <f aca="false">IF(M71="","",IFERROR(INDEX('دليل الأصناف'!$A$4:$A$203,MATCH(M71,'دليل الأصناف'!$C$4:$C$203,0)),IF(COUNTIF('دليل الأصناف'!$D$4:$D$203,"*"&amp;M71&amp;"*")=1,INDEX('دليل الأصناف'!$A$4:$A$203,MATCH("*"&amp;M71&amp;"*",'دليل الأصناف'!$D$4:$D$203,0)),IF(COUNTIF('دليل الأصناف'!$D$4:$D$203,"*"&amp;M71&amp;"*")&gt;1,"⚠ أكثر من صنف — اكتب كلمة أوضح","⚠ غير موجود في الدليل"))))</f>
        <v/>
      </c>
      <c r="E71" s="10"/>
      <c r="F71" s="10"/>
      <c r="G71" s="10" t="s">
        <v>20</v>
      </c>
      <c r="H71" s="11" t="n">
        <f aca="false">IF(OR(E71="",F71=""),0,IF(G71="شامل الضريبة",ROUND(ROUND(E71*F71,2)/1.15,2),ROUND(E71*F71,2)))</f>
        <v>0</v>
      </c>
      <c r="I71" s="11" t="n">
        <f aca="false">IF(OR(E71="",F71=""),0,IF(G71="شامل الضريبة",ROUND(E71*F71,2)-H71,ROUND(H71*0.15,2)))</f>
        <v>0</v>
      </c>
      <c r="J71" s="12" t="n">
        <f aca="false">H71+I71</f>
        <v>0</v>
      </c>
      <c r="K71" s="8"/>
      <c r="L71" s="0" t="str">
        <f aca="false">SUBSTITUTE(SUBSTITUTE(SUBSTITUTE(SUBSTITUTE(SUBSTITUTE(SUBSTITUTE(TRIM(A71),"أ","ا"),"إ","ا"),"آ","ا"),"ة","ه"),"ى","ي"),"ـ","")</f>
        <v/>
      </c>
      <c r="M71" s="0" t="str">
        <f aca="false">SUBSTITUTE(SUBSTITUTE(SUBSTITUTE(SUBSTITUTE(SUBSTITUTE(SUBSTITUTE(TRIM(C71),"أ","ا"),"إ","ا"),"آ","ا"),"ة","ه"),"ى","ي"),"ـ","")</f>
        <v/>
      </c>
    </row>
    <row r="72" customFormat="false" ht="15" hidden="false" customHeight="false" outlineLevel="0" collapsed="false">
      <c r="A72" s="8"/>
      <c r="B72" s="9" t="str">
        <f aca="false">IF(L72="","",IFERROR(INDEX('دليل العملاء'!$A$4:$A$203,MATCH(L72,'دليل العملاء'!$C$4:$C$203,0)),IF(COUNTIF('دليل العملاء'!$D$4:$D$203,"*"&amp;L72&amp;"*")=1,INDEX('دليل العملاء'!$A$4:$A$203,MATCH("*"&amp;L72&amp;"*",'دليل العملاء'!$D$4:$D$203,0)),IF(COUNTIF('دليل العملاء'!$D$4:$D$203,"*"&amp;L72&amp;"*")&gt;1,"⚠ أكثر من عميل — اكتب كلمة أوضح","⚠ غير موجود في الدليل"))))</f>
        <v/>
      </c>
      <c r="C72" s="8"/>
      <c r="D72" s="9" t="str">
        <f aca="false">IF(M72="","",IFERROR(INDEX('دليل الأصناف'!$A$4:$A$203,MATCH(M72,'دليل الأصناف'!$C$4:$C$203,0)),IF(COUNTIF('دليل الأصناف'!$D$4:$D$203,"*"&amp;M72&amp;"*")=1,INDEX('دليل الأصناف'!$A$4:$A$203,MATCH("*"&amp;M72&amp;"*",'دليل الأصناف'!$D$4:$D$203,0)),IF(COUNTIF('دليل الأصناف'!$D$4:$D$203,"*"&amp;M72&amp;"*")&gt;1,"⚠ أكثر من صنف — اكتب كلمة أوضح","⚠ غير موجود في الدليل"))))</f>
        <v/>
      </c>
      <c r="E72" s="10"/>
      <c r="F72" s="10"/>
      <c r="G72" s="10" t="s">
        <v>20</v>
      </c>
      <c r="H72" s="11" t="n">
        <f aca="false">IF(OR(E72="",F72=""),0,IF(G72="شامل الضريبة",ROUND(ROUND(E72*F72,2)/1.15,2),ROUND(E72*F72,2)))</f>
        <v>0</v>
      </c>
      <c r="I72" s="11" t="n">
        <f aca="false">IF(OR(E72="",F72=""),0,IF(G72="شامل الضريبة",ROUND(E72*F72,2)-H72,ROUND(H72*0.15,2)))</f>
        <v>0</v>
      </c>
      <c r="J72" s="12" t="n">
        <f aca="false">H72+I72</f>
        <v>0</v>
      </c>
      <c r="K72" s="8"/>
      <c r="L72" s="0" t="str">
        <f aca="false">SUBSTITUTE(SUBSTITUTE(SUBSTITUTE(SUBSTITUTE(SUBSTITUTE(SUBSTITUTE(TRIM(A72),"أ","ا"),"إ","ا"),"آ","ا"),"ة","ه"),"ى","ي"),"ـ","")</f>
        <v/>
      </c>
      <c r="M72" s="0" t="str">
        <f aca="false">SUBSTITUTE(SUBSTITUTE(SUBSTITUTE(SUBSTITUTE(SUBSTITUTE(SUBSTITUTE(TRIM(C72),"أ","ا"),"إ","ا"),"آ","ا"),"ة","ه"),"ى","ي"),"ـ","")</f>
        <v/>
      </c>
    </row>
    <row r="73" customFormat="false" ht="15" hidden="false" customHeight="false" outlineLevel="0" collapsed="false">
      <c r="A73" s="8"/>
      <c r="B73" s="9" t="str">
        <f aca="false">IF(L73="","",IFERROR(INDEX('دليل العملاء'!$A$4:$A$203,MATCH(L73,'دليل العملاء'!$C$4:$C$203,0)),IF(COUNTIF('دليل العملاء'!$D$4:$D$203,"*"&amp;L73&amp;"*")=1,INDEX('دليل العملاء'!$A$4:$A$203,MATCH("*"&amp;L73&amp;"*",'دليل العملاء'!$D$4:$D$203,0)),IF(COUNTIF('دليل العملاء'!$D$4:$D$203,"*"&amp;L73&amp;"*")&gt;1,"⚠ أكثر من عميل — اكتب كلمة أوضح","⚠ غير موجود في الدليل"))))</f>
        <v/>
      </c>
      <c r="C73" s="8"/>
      <c r="D73" s="9" t="str">
        <f aca="false">IF(M73="","",IFERROR(INDEX('دليل الأصناف'!$A$4:$A$203,MATCH(M73,'دليل الأصناف'!$C$4:$C$203,0)),IF(COUNTIF('دليل الأصناف'!$D$4:$D$203,"*"&amp;M73&amp;"*")=1,INDEX('دليل الأصناف'!$A$4:$A$203,MATCH("*"&amp;M73&amp;"*",'دليل الأصناف'!$D$4:$D$203,0)),IF(COUNTIF('دليل الأصناف'!$D$4:$D$203,"*"&amp;M73&amp;"*")&gt;1,"⚠ أكثر من صنف — اكتب كلمة أوضح","⚠ غير موجود في الدليل"))))</f>
        <v/>
      </c>
      <c r="E73" s="10"/>
      <c r="F73" s="10"/>
      <c r="G73" s="10" t="s">
        <v>20</v>
      </c>
      <c r="H73" s="11" t="n">
        <f aca="false">IF(OR(E73="",F73=""),0,IF(G73="شامل الضريبة",ROUND(ROUND(E73*F73,2)/1.15,2),ROUND(E73*F73,2)))</f>
        <v>0</v>
      </c>
      <c r="I73" s="11" t="n">
        <f aca="false">IF(OR(E73="",F73=""),0,IF(G73="شامل الضريبة",ROUND(E73*F73,2)-H73,ROUND(H73*0.15,2)))</f>
        <v>0</v>
      </c>
      <c r="J73" s="12" t="n">
        <f aca="false">H73+I73</f>
        <v>0</v>
      </c>
      <c r="K73" s="8"/>
      <c r="L73" s="0" t="str">
        <f aca="false">SUBSTITUTE(SUBSTITUTE(SUBSTITUTE(SUBSTITUTE(SUBSTITUTE(SUBSTITUTE(TRIM(A73),"أ","ا"),"إ","ا"),"آ","ا"),"ة","ه"),"ى","ي"),"ـ","")</f>
        <v/>
      </c>
      <c r="M73" s="0" t="str">
        <f aca="false">SUBSTITUTE(SUBSTITUTE(SUBSTITUTE(SUBSTITUTE(SUBSTITUTE(SUBSTITUTE(TRIM(C73),"أ","ا"),"إ","ا"),"آ","ا"),"ة","ه"),"ى","ي"),"ـ","")</f>
        <v/>
      </c>
    </row>
    <row r="74" customFormat="false" ht="15" hidden="false" customHeight="false" outlineLevel="0" collapsed="false">
      <c r="A74" s="8"/>
      <c r="B74" s="9" t="str">
        <f aca="false">IF(L74="","",IFERROR(INDEX('دليل العملاء'!$A$4:$A$203,MATCH(L74,'دليل العملاء'!$C$4:$C$203,0)),IF(COUNTIF('دليل العملاء'!$D$4:$D$203,"*"&amp;L74&amp;"*")=1,INDEX('دليل العملاء'!$A$4:$A$203,MATCH("*"&amp;L74&amp;"*",'دليل العملاء'!$D$4:$D$203,0)),IF(COUNTIF('دليل العملاء'!$D$4:$D$203,"*"&amp;L74&amp;"*")&gt;1,"⚠ أكثر من عميل — اكتب كلمة أوضح","⚠ غير موجود في الدليل"))))</f>
        <v/>
      </c>
      <c r="C74" s="8"/>
      <c r="D74" s="9" t="str">
        <f aca="false">IF(M74="","",IFERROR(INDEX('دليل الأصناف'!$A$4:$A$203,MATCH(M74,'دليل الأصناف'!$C$4:$C$203,0)),IF(COUNTIF('دليل الأصناف'!$D$4:$D$203,"*"&amp;M74&amp;"*")=1,INDEX('دليل الأصناف'!$A$4:$A$203,MATCH("*"&amp;M74&amp;"*",'دليل الأصناف'!$D$4:$D$203,0)),IF(COUNTIF('دليل الأصناف'!$D$4:$D$203,"*"&amp;M74&amp;"*")&gt;1,"⚠ أكثر من صنف — اكتب كلمة أوضح","⚠ غير موجود في الدليل"))))</f>
        <v/>
      </c>
      <c r="E74" s="10"/>
      <c r="F74" s="10"/>
      <c r="G74" s="10" t="s">
        <v>20</v>
      </c>
      <c r="H74" s="11" t="n">
        <f aca="false">IF(OR(E74="",F74=""),0,IF(G74="شامل الضريبة",ROUND(ROUND(E74*F74,2)/1.15,2),ROUND(E74*F74,2)))</f>
        <v>0</v>
      </c>
      <c r="I74" s="11" t="n">
        <f aca="false">IF(OR(E74="",F74=""),0,IF(G74="شامل الضريبة",ROUND(E74*F74,2)-H74,ROUND(H74*0.15,2)))</f>
        <v>0</v>
      </c>
      <c r="J74" s="12" t="n">
        <f aca="false">H74+I74</f>
        <v>0</v>
      </c>
      <c r="K74" s="8"/>
      <c r="L74" s="0" t="str">
        <f aca="false">SUBSTITUTE(SUBSTITUTE(SUBSTITUTE(SUBSTITUTE(SUBSTITUTE(SUBSTITUTE(TRIM(A74),"أ","ا"),"إ","ا"),"آ","ا"),"ة","ه"),"ى","ي"),"ـ","")</f>
        <v/>
      </c>
      <c r="M74" s="0" t="str">
        <f aca="false">SUBSTITUTE(SUBSTITUTE(SUBSTITUTE(SUBSTITUTE(SUBSTITUTE(SUBSTITUTE(TRIM(C74),"أ","ا"),"إ","ا"),"آ","ا"),"ة","ه"),"ى","ي"),"ـ","")</f>
        <v/>
      </c>
    </row>
    <row r="75" customFormat="false" ht="15" hidden="false" customHeight="false" outlineLevel="0" collapsed="false">
      <c r="A75" s="8"/>
      <c r="B75" s="9" t="str">
        <f aca="false">IF(L75="","",IFERROR(INDEX('دليل العملاء'!$A$4:$A$203,MATCH(L75,'دليل العملاء'!$C$4:$C$203,0)),IF(COUNTIF('دليل العملاء'!$D$4:$D$203,"*"&amp;L75&amp;"*")=1,INDEX('دليل العملاء'!$A$4:$A$203,MATCH("*"&amp;L75&amp;"*",'دليل العملاء'!$D$4:$D$203,0)),IF(COUNTIF('دليل العملاء'!$D$4:$D$203,"*"&amp;L75&amp;"*")&gt;1,"⚠ أكثر من عميل — اكتب كلمة أوضح","⚠ غير موجود في الدليل"))))</f>
        <v/>
      </c>
      <c r="C75" s="8"/>
      <c r="D75" s="9" t="str">
        <f aca="false">IF(M75="","",IFERROR(INDEX('دليل الأصناف'!$A$4:$A$203,MATCH(M75,'دليل الأصناف'!$C$4:$C$203,0)),IF(COUNTIF('دليل الأصناف'!$D$4:$D$203,"*"&amp;M75&amp;"*")=1,INDEX('دليل الأصناف'!$A$4:$A$203,MATCH("*"&amp;M75&amp;"*",'دليل الأصناف'!$D$4:$D$203,0)),IF(COUNTIF('دليل الأصناف'!$D$4:$D$203,"*"&amp;M75&amp;"*")&gt;1,"⚠ أكثر من صنف — اكتب كلمة أوضح","⚠ غير موجود في الدليل"))))</f>
        <v/>
      </c>
      <c r="E75" s="10"/>
      <c r="F75" s="10"/>
      <c r="G75" s="10" t="s">
        <v>20</v>
      </c>
      <c r="H75" s="11" t="n">
        <f aca="false">IF(OR(E75="",F75=""),0,IF(G75="شامل الضريبة",ROUND(ROUND(E75*F75,2)/1.15,2),ROUND(E75*F75,2)))</f>
        <v>0</v>
      </c>
      <c r="I75" s="11" t="n">
        <f aca="false">IF(OR(E75="",F75=""),0,IF(G75="شامل الضريبة",ROUND(E75*F75,2)-H75,ROUND(H75*0.15,2)))</f>
        <v>0</v>
      </c>
      <c r="J75" s="12" t="n">
        <f aca="false">H75+I75</f>
        <v>0</v>
      </c>
      <c r="K75" s="8"/>
      <c r="L75" s="0" t="str">
        <f aca="false">SUBSTITUTE(SUBSTITUTE(SUBSTITUTE(SUBSTITUTE(SUBSTITUTE(SUBSTITUTE(TRIM(A75),"أ","ا"),"إ","ا"),"آ","ا"),"ة","ه"),"ى","ي"),"ـ","")</f>
        <v/>
      </c>
      <c r="M75" s="0" t="str">
        <f aca="false">SUBSTITUTE(SUBSTITUTE(SUBSTITUTE(SUBSTITUTE(SUBSTITUTE(SUBSTITUTE(TRIM(C75),"أ","ا"),"إ","ا"),"آ","ا"),"ة","ه"),"ى","ي"),"ـ","")</f>
        <v/>
      </c>
    </row>
    <row r="76" customFormat="false" ht="15" hidden="false" customHeight="false" outlineLevel="0" collapsed="false">
      <c r="A76" s="8"/>
      <c r="B76" s="9" t="str">
        <f aca="false">IF(L76="","",IFERROR(INDEX('دليل العملاء'!$A$4:$A$203,MATCH(L76,'دليل العملاء'!$C$4:$C$203,0)),IF(COUNTIF('دليل العملاء'!$D$4:$D$203,"*"&amp;L76&amp;"*")=1,INDEX('دليل العملاء'!$A$4:$A$203,MATCH("*"&amp;L76&amp;"*",'دليل العملاء'!$D$4:$D$203,0)),IF(COUNTIF('دليل العملاء'!$D$4:$D$203,"*"&amp;L76&amp;"*")&gt;1,"⚠ أكثر من عميل — اكتب كلمة أوضح","⚠ غير موجود في الدليل"))))</f>
        <v/>
      </c>
      <c r="C76" s="8"/>
      <c r="D76" s="9" t="str">
        <f aca="false">IF(M76="","",IFERROR(INDEX('دليل الأصناف'!$A$4:$A$203,MATCH(M76,'دليل الأصناف'!$C$4:$C$203,0)),IF(COUNTIF('دليل الأصناف'!$D$4:$D$203,"*"&amp;M76&amp;"*")=1,INDEX('دليل الأصناف'!$A$4:$A$203,MATCH("*"&amp;M76&amp;"*",'دليل الأصناف'!$D$4:$D$203,0)),IF(COUNTIF('دليل الأصناف'!$D$4:$D$203,"*"&amp;M76&amp;"*")&gt;1,"⚠ أكثر من صنف — اكتب كلمة أوضح","⚠ غير موجود في الدليل"))))</f>
        <v/>
      </c>
      <c r="E76" s="10"/>
      <c r="F76" s="10"/>
      <c r="G76" s="10" t="s">
        <v>20</v>
      </c>
      <c r="H76" s="11" t="n">
        <f aca="false">IF(OR(E76="",F76=""),0,IF(G76="شامل الضريبة",ROUND(ROUND(E76*F76,2)/1.15,2),ROUND(E76*F76,2)))</f>
        <v>0</v>
      </c>
      <c r="I76" s="11" t="n">
        <f aca="false">IF(OR(E76="",F76=""),0,IF(G76="شامل الضريبة",ROUND(E76*F76,2)-H76,ROUND(H76*0.15,2)))</f>
        <v>0</v>
      </c>
      <c r="J76" s="12" t="n">
        <f aca="false">H76+I76</f>
        <v>0</v>
      </c>
      <c r="K76" s="8"/>
      <c r="L76" s="0" t="str">
        <f aca="false">SUBSTITUTE(SUBSTITUTE(SUBSTITUTE(SUBSTITUTE(SUBSTITUTE(SUBSTITUTE(TRIM(A76),"أ","ا"),"إ","ا"),"آ","ا"),"ة","ه"),"ى","ي"),"ـ","")</f>
        <v/>
      </c>
      <c r="M76" s="0" t="str">
        <f aca="false">SUBSTITUTE(SUBSTITUTE(SUBSTITUTE(SUBSTITUTE(SUBSTITUTE(SUBSTITUTE(TRIM(C76),"أ","ا"),"إ","ا"),"آ","ا"),"ة","ه"),"ى","ي"),"ـ","")</f>
        <v/>
      </c>
    </row>
    <row r="77" customFormat="false" ht="15" hidden="false" customHeight="false" outlineLevel="0" collapsed="false">
      <c r="A77" s="8"/>
      <c r="B77" s="9" t="str">
        <f aca="false">IF(L77="","",IFERROR(INDEX('دليل العملاء'!$A$4:$A$203,MATCH(L77,'دليل العملاء'!$C$4:$C$203,0)),IF(COUNTIF('دليل العملاء'!$D$4:$D$203,"*"&amp;L77&amp;"*")=1,INDEX('دليل العملاء'!$A$4:$A$203,MATCH("*"&amp;L77&amp;"*",'دليل العملاء'!$D$4:$D$203,0)),IF(COUNTIF('دليل العملاء'!$D$4:$D$203,"*"&amp;L77&amp;"*")&gt;1,"⚠ أكثر من عميل — اكتب كلمة أوضح","⚠ غير موجود في الدليل"))))</f>
        <v/>
      </c>
      <c r="C77" s="8"/>
      <c r="D77" s="9" t="str">
        <f aca="false">IF(M77="","",IFERROR(INDEX('دليل الأصناف'!$A$4:$A$203,MATCH(M77,'دليل الأصناف'!$C$4:$C$203,0)),IF(COUNTIF('دليل الأصناف'!$D$4:$D$203,"*"&amp;M77&amp;"*")=1,INDEX('دليل الأصناف'!$A$4:$A$203,MATCH("*"&amp;M77&amp;"*",'دليل الأصناف'!$D$4:$D$203,0)),IF(COUNTIF('دليل الأصناف'!$D$4:$D$203,"*"&amp;M77&amp;"*")&gt;1,"⚠ أكثر من صنف — اكتب كلمة أوضح","⚠ غير موجود في الدليل"))))</f>
        <v/>
      </c>
      <c r="E77" s="10"/>
      <c r="F77" s="10"/>
      <c r="G77" s="10" t="s">
        <v>20</v>
      </c>
      <c r="H77" s="11" t="n">
        <f aca="false">IF(OR(E77="",F77=""),0,IF(G77="شامل الضريبة",ROUND(ROUND(E77*F77,2)/1.15,2),ROUND(E77*F77,2)))</f>
        <v>0</v>
      </c>
      <c r="I77" s="11" t="n">
        <f aca="false">IF(OR(E77="",F77=""),0,IF(G77="شامل الضريبة",ROUND(E77*F77,2)-H77,ROUND(H77*0.15,2)))</f>
        <v>0</v>
      </c>
      <c r="J77" s="12" t="n">
        <f aca="false">H77+I77</f>
        <v>0</v>
      </c>
      <c r="K77" s="8"/>
      <c r="L77" s="0" t="str">
        <f aca="false">SUBSTITUTE(SUBSTITUTE(SUBSTITUTE(SUBSTITUTE(SUBSTITUTE(SUBSTITUTE(TRIM(A77),"أ","ا"),"إ","ا"),"آ","ا"),"ة","ه"),"ى","ي"),"ـ","")</f>
        <v/>
      </c>
      <c r="M77" s="0" t="str">
        <f aca="false">SUBSTITUTE(SUBSTITUTE(SUBSTITUTE(SUBSTITUTE(SUBSTITUTE(SUBSTITUTE(TRIM(C77),"أ","ا"),"إ","ا"),"آ","ا"),"ة","ه"),"ى","ي"),"ـ","")</f>
        <v/>
      </c>
    </row>
    <row r="78" customFormat="false" ht="15" hidden="false" customHeight="false" outlineLevel="0" collapsed="false">
      <c r="A78" s="8"/>
      <c r="B78" s="9" t="str">
        <f aca="false">IF(L78="","",IFERROR(INDEX('دليل العملاء'!$A$4:$A$203,MATCH(L78,'دليل العملاء'!$C$4:$C$203,0)),IF(COUNTIF('دليل العملاء'!$D$4:$D$203,"*"&amp;L78&amp;"*")=1,INDEX('دليل العملاء'!$A$4:$A$203,MATCH("*"&amp;L78&amp;"*",'دليل العملاء'!$D$4:$D$203,0)),IF(COUNTIF('دليل العملاء'!$D$4:$D$203,"*"&amp;L78&amp;"*")&gt;1,"⚠ أكثر من عميل — اكتب كلمة أوضح","⚠ غير موجود في الدليل"))))</f>
        <v/>
      </c>
      <c r="C78" s="8"/>
      <c r="D78" s="9" t="str">
        <f aca="false">IF(M78="","",IFERROR(INDEX('دليل الأصناف'!$A$4:$A$203,MATCH(M78,'دليل الأصناف'!$C$4:$C$203,0)),IF(COUNTIF('دليل الأصناف'!$D$4:$D$203,"*"&amp;M78&amp;"*")=1,INDEX('دليل الأصناف'!$A$4:$A$203,MATCH("*"&amp;M78&amp;"*",'دليل الأصناف'!$D$4:$D$203,0)),IF(COUNTIF('دليل الأصناف'!$D$4:$D$203,"*"&amp;M78&amp;"*")&gt;1,"⚠ أكثر من صنف — اكتب كلمة أوضح","⚠ غير موجود في الدليل"))))</f>
        <v/>
      </c>
      <c r="E78" s="10"/>
      <c r="F78" s="10"/>
      <c r="G78" s="10" t="s">
        <v>20</v>
      </c>
      <c r="H78" s="11" t="n">
        <f aca="false">IF(OR(E78="",F78=""),0,IF(G78="شامل الضريبة",ROUND(ROUND(E78*F78,2)/1.15,2),ROUND(E78*F78,2)))</f>
        <v>0</v>
      </c>
      <c r="I78" s="11" t="n">
        <f aca="false">IF(OR(E78="",F78=""),0,IF(G78="شامل الضريبة",ROUND(E78*F78,2)-H78,ROUND(H78*0.15,2)))</f>
        <v>0</v>
      </c>
      <c r="J78" s="12" t="n">
        <f aca="false">H78+I78</f>
        <v>0</v>
      </c>
      <c r="K78" s="8"/>
      <c r="L78" s="0" t="str">
        <f aca="false">SUBSTITUTE(SUBSTITUTE(SUBSTITUTE(SUBSTITUTE(SUBSTITUTE(SUBSTITUTE(TRIM(A78),"أ","ا"),"إ","ا"),"آ","ا"),"ة","ه"),"ى","ي"),"ـ","")</f>
        <v/>
      </c>
      <c r="M78" s="0" t="str">
        <f aca="false">SUBSTITUTE(SUBSTITUTE(SUBSTITUTE(SUBSTITUTE(SUBSTITUTE(SUBSTITUTE(TRIM(C78),"أ","ا"),"إ","ا"),"آ","ا"),"ة","ه"),"ى","ي"),"ـ","")</f>
        <v/>
      </c>
    </row>
    <row r="79" customFormat="false" ht="15" hidden="false" customHeight="false" outlineLevel="0" collapsed="false">
      <c r="A79" s="8"/>
      <c r="B79" s="9" t="str">
        <f aca="false">IF(L79="","",IFERROR(INDEX('دليل العملاء'!$A$4:$A$203,MATCH(L79,'دليل العملاء'!$C$4:$C$203,0)),IF(COUNTIF('دليل العملاء'!$D$4:$D$203,"*"&amp;L79&amp;"*")=1,INDEX('دليل العملاء'!$A$4:$A$203,MATCH("*"&amp;L79&amp;"*",'دليل العملاء'!$D$4:$D$203,0)),IF(COUNTIF('دليل العملاء'!$D$4:$D$203,"*"&amp;L79&amp;"*")&gt;1,"⚠ أكثر من عميل — اكتب كلمة أوضح","⚠ غير موجود في الدليل"))))</f>
        <v/>
      </c>
      <c r="C79" s="8"/>
      <c r="D79" s="9" t="str">
        <f aca="false">IF(M79="","",IFERROR(INDEX('دليل الأصناف'!$A$4:$A$203,MATCH(M79,'دليل الأصناف'!$C$4:$C$203,0)),IF(COUNTIF('دليل الأصناف'!$D$4:$D$203,"*"&amp;M79&amp;"*")=1,INDEX('دليل الأصناف'!$A$4:$A$203,MATCH("*"&amp;M79&amp;"*",'دليل الأصناف'!$D$4:$D$203,0)),IF(COUNTIF('دليل الأصناف'!$D$4:$D$203,"*"&amp;M79&amp;"*")&gt;1,"⚠ أكثر من صنف — اكتب كلمة أوضح","⚠ غير موجود في الدليل"))))</f>
        <v/>
      </c>
      <c r="E79" s="10"/>
      <c r="F79" s="10"/>
      <c r="G79" s="10" t="s">
        <v>20</v>
      </c>
      <c r="H79" s="11" t="n">
        <f aca="false">IF(OR(E79="",F79=""),0,IF(G79="شامل الضريبة",ROUND(ROUND(E79*F79,2)/1.15,2),ROUND(E79*F79,2)))</f>
        <v>0</v>
      </c>
      <c r="I79" s="11" t="n">
        <f aca="false">IF(OR(E79="",F79=""),0,IF(G79="شامل الضريبة",ROUND(E79*F79,2)-H79,ROUND(H79*0.15,2)))</f>
        <v>0</v>
      </c>
      <c r="J79" s="12" t="n">
        <f aca="false">H79+I79</f>
        <v>0</v>
      </c>
      <c r="K79" s="8"/>
      <c r="L79" s="0" t="str">
        <f aca="false">SUBSTITUTE(SUBSTITUTE(SUBSTITUTE(SUBSTITUTE(SUBSTITUTE(SUBSTITUTE(TRIM(A79),"أ","ا"),"إ","ا"),"آ","ا"),"ة","ه"),"ى","ي"),"ـ","")</f>
        <v/>
      </c>
      <c r="M79" s="0" t="str">
        <f aca="false">SUBSTITUTE(SUBSTITUTE(SUBSTITUTE(SUBSTITUTE(SUBSTITUTE(SUBSTITUTE(TRIM(C79),"أ","ا"),"إ","ا"),"آ","ا"),"ة","ه"),"ى","ي"),"ـ","")</f>
        <v/>
      </c>
    </row>
    <row r="80" customFormat="false" ht="15" hidden="false" customHeight="false" outlineLevel="0" collapsed="false">
      <c r="A80" s="8"/>
      <c r="B80" s="9" t="str">
        <f aca="false">IF(L80="","",IFERROR(INDEX('دليل العملاء'!$A$4:$A$203,MATCH(L80,'دليل العملاء'!$C$4:$C$203,0)),IF(COUNTIF('دليل العملاء'!$D$4:$D$203,"*"&amp;L80&amp;"*")=1,INDEX('دليل العملاء'!$A$4:$A$203,MATCH("*"&amp;L80&amp;"*",'دليل العملاء'!$D$4:$D$203,0)),IF(COUNTIF('دليل العملاء'!$D$4:$D$203,"*"&amp;L80&amp;"*")&gt;1,"⚠ أكثر من عميل — اكتب كلمة أوضح","⚠ غير موجود في الدليل"))))</f>
        <v/>
      </c>
      <c r="C80" s="8"/>
      <c r="D80" s="9" t="str">
        <f aca="false">IF(M80="","",IFERROR(INDEX('دليل الأصناف'!$A$4:$A$203,MATCH(M80,'دليل الأصناف'!$C$4:$C$203,0)),IF(COUNTIF('دليل الأصناف'!$D$4:$D$203,"*"&amp;M80&amp;"*")=1,INDEX('دليل الأصناف'!$A$4:$A$203,MATCH("*"&amp;M80&amp;"*",'دليل الأصناف'!$D$4:$D$203,0)),IF(COUNTIF('دليل الأصناف'!$D$4:$D$203,"*"&amp;M80&amp;"*")&gt;1,"⚠ أكثر من صنف — اكتب كلمة أوضح","⚠ غير موجود في الدليل"))))</f>
        <v/>
      </c>
      <c r="E80" s="10"/>
      <c r="F80" s="10"/>
      <c r="G80" s="10" t="s">
        <v>20</v>
      </c>
      <c r="H80" s="11" t="n">
        <f aca="false">IF(OR(E80="",F80=""),0,IF(G80="شامل الضريبة",ROUND(ROUND(E80*F80,2)/1.15,2),ROUND(E80*F80,2)))</f>
        <v>0</v>
      </c>
      <c r="I80" s="11" t="n">
        <f aca="false">IF(OR(E80="",F80=""),0,IF(G80="شامل الضريبة",ROUND(E80*F80,2)-H80,ROUND(H80*0.15,2)))</f>
        <v>0</v>
      </c>
      <c r="J80" s="12" t="n">
        <f aca="false">H80+I80</f>
        <v>0</v>
      </c>
      <c r="K80" s="8"/>
      <c r="L80" s="0" t="str">
        <f aca="false">SUBSTITUTE(SUBSTITUTE(SUBSTITUTE(SUBSTITUTE(SUBSTITUTE(SUBSTITUTE(TRIM(A80),"أ","ا"),"إ","ا"),"آ","ا"),"ة","ه"),"ى","ي"),"ـ","")</f>
        <v/>
      </c>
      <c r="M80" s="0" t="str">
        <f aca="false">SUBSTITUTE(SUBSTITUTE(SUBSTITUTE(SUBSTITUTE(SUBSTITUTE(SUBSTITUTE(TRIM(C80),"أ","ا"),"إ","ا"),"آ","ا"),"ة","ه"),"ى","ي"),"ـ","")</f>
        <v/>
      </c>
    </row>
    <row r="81" customFormat="false" ht="15" hidden="false" customHeight="false" outlineLevel="0" collapsed="false">
      <c r="A81" s="8"/>
      <c r="B81" s="9" t="str">
        <f aca="false">IF(L81="","",IFERROR(INDEX('دليل العملاء'!$A$4:$A$203,MATCH(L81,'دليل العملاء'!$C$4:$C$203,0)),IF(COUNTIF('دليل العملاء'!$D$4:$D$203,"*"&amp;L81&amp;"*")=1,INDEX('دليل العملاء'!$A$4:$A$203,MATCH("*"&amp;L81&amp;"*",'دليل العملاء'!$D$4:$D$203,0)),IF(COUNTIF('دليل العملاء'!$D$4:$D$203,"*"&amp;L81&amp;"*")&gt;1,"⚠ أكثر من عميل — اكتب كلمة أوضح","⚠ غير موجود في الدليل"))))</f>
        <v/>
      </c>
      <c r="C81" s="8"/>
      <c r="D81" s="9" t="str">
        <f aca="false">IF(M81="","",IFERROR(INDEX('دليل الأصناف'!$A$4:$A$203,MATCH(M81,'دليل الأصناف'!$C$4:$C$203,0)),IF(COUNTIF('دليل الأصناف'!$D$4:$D$203,"*"&amp;M81&amp;"*")=1,INDEX('دليل الأصناف'!$A$4:$A$203,MATCH("*"&amp;M81&amp;"*",'دليل الأصناف'!$D$4:$D$203,0)),IF(COUNTIF('دليل الأصناف'!$D$4:$D$203,"*"&amp;M81&amp;"*")&gt;1,"⚠ أكثر من صنف — اكتب كلمة أوضح","⚠ غير موجود في الدليل"))))</f>
        <v/>
      </c>
      <c r="E81" s="10"/>
      <c r="F81" s="10"/>
      <c r="G81" s="10" t="s">
        <v>20</v>
      </c>
      <c r="H81" s="11" t="n">
        <f aca="false">IF(OR(E81="",F81=""),0,IF(G81="شامل الضريبة",ROUND(ROUND(E81*F81,2)/1.15,2),ROUND(E81*F81,2)))</f>
        <v>0</v>
      </c>
      <c r="I81" s="11" t="n">
        <f aca="false">IF(OR(E81="",F81=""),0,IF(G81="شامل الضريبة",ROUND(E81*F81,2)-H81,ROUND(H81*0.15,2)))</f>
        <v>0</v>
      </c>
      <c r="J81" s="12" t="n">
        <f aca="false">H81+I81</f>
        <v>0</v>
      </c>
      <c r="K81" s="8"/>
      <c r="L81" s="0" t="str">
        <f aca="false">SUBSTITUTE(SUBSTITUTE(SUBSTITUTE(SUBSTITUTE(SUBSTITUTE(SUBSTITUTE(TRIM(A81),"أ","ا"),"إ","ا"),"آ","ا"),"ة","ه"),"ى","ي"),"ـ","")</f>
        <v/>
      </c>
      <c r="M81" s="0" t="str">
        <f aca="false">SUBSTITUTE(SUBSTITUTE(SUBSTITUTE(SUBSTITUTE(SUBSTITUTE(SUBSTITUTE(TRIM(C81),"أ","ا"),"إ","ا"),"آ","ا"),"ة","ه"),"ى","ي"),"ـ","")</f>
        <v/>
      </c>
    </row>
    <row r="82" customFormat="false" ht="15" hidden="false" customHeight="false" outlineLevel="0" collapsed="false">
      <c r="A82" s="8"/>
      <c r="B82" s="9" t="str">
        <f aca="false">IF(L82="","",IFERROR(INDEX('دليل العملاء'!$A$4:$A$203,MATCH(L82,'دليل العملاء'!$C$4:$C$203,0)),IF(COUNTIF('دليل العملاء'!$D$4:$D$203,"*"&amp;L82&amp;"*")=1,INDEX('دليل العملاء'!$A$4:$A$203,MATCH("*"&amp;L82&amp;"*",'دليل العملاء'!$D$4:$D$203,0)),IF(COUNTIF('دليل العملاء'!$D$4:$D$203,"*"&amp;L82&amp;"*")&gt;1,"⚠ أكثر من عميل — اكتب كلمة أوضح","⚠ غير موجود في الدليل"))))</f>
        <v/>
      </c>
      <c r="C82" s="8"/>
      <c r="D82" s="9" t="str">
        <f aca="false">IF(M82="","",IFERROR(INDEX('دليل الأصناف'!$A$4:$A$203,MATCH(M82,'دليل الأصناف'!$C$4:$C$203,0)),IF(COUNTIF('دليل الأصناف'!$D$4:$D$203,"*"&amp;M82&amp;"*")=1,INDEX('دليل الأصناف'!$A$4:$A$203,MATCH("*"&amp;M82&amp;"*",'دليل الأصناف'!$D$4:$D$203,0)),IF(COUNTIF('دليل الأصناف'!$D$4:$D$203,"*"&amp;M82&amp;"*")&gt;1,"⚠ أكثر من صنف — اكتب كلمة أوضح","⚠ غير موجود في الدليل"))))</f>
        <v/>
      </c>
      <c r="E82" s="10"/>
      <c r="F82" s="10"/>
      <c r="G82" s="10" t="s">
        <v>20</v>
      </c>
      <c r="H82" s="11" t="n">
        <f aca="false">IF(OR(E82="",F82=""),0,IF(G82="شامل الضريبة",ROUND(ROUND(E82*F82,2)/1.15,2),ROUND(E82*F82,2)))</f>
        <v>0</v>
      </c>
      <c r="I82" s="11" t="n">
        <f aca="false">IF(OR(E82="",F82=""),0,IF(G82="شامل الضريبة",ROUND(E82*F82,2)-H82,ROUND(H82*0.15,2)))</f>
        <v>0</v>
      </c>
      <c r="J82" s="12" t="n">
        <f aca="false">H82+I82</f>
        <v>0</v>
      </c>
      <c r="K82" s="8"/>
      <c r="L82" s="0" t="str">
        <f aca="false">SUBSTITUTE(SUBSTITUTE(SUBSTITUTE(SUBSTITUTE(SUBSTITUTE(SUBSTITUTE(TRIM(A82),"أ","ا"),"إ","ا"),"آ","ا"),"ة","ه"),"ى","ي"),"ـ","")</f>
        <v/>
      </c>
      <c r="M82" s="0" t="str">
        <f aca="false">SUBSTITUTE(SUBSTITUTE(SUBSTITUTE(SUBSTITUTE(SUBSTITUTE(SUBSTITUTE(TRIM(C82),"أ","ا"),"إ","ا"),"آ","ا"),"ة","ه"),"ى","ي"),"ـ","")</f>
        <v/>
      </c>
    </row>
    <row r="83" customFormat="false" ht="15" hidden="false" customHeight="false" outlineLevel="0" collapsed="false">
      <c r="A83" s="8"/>
      <c r="B83" s="9" t="str">
        <f aca="false">IF(L83="","",IFERROR(INDEX('دليل العملاء'!$A$4:$A$203,MATCH(L83,'دليل العملاء'!$C$4:$C$203,0)),IF(COUNTIF('دليل العملاء'!$D$4:$D$203,"*"&amp;L83&amp;"*")=1,INDEX('دليل العملاء'!$A$4:$A$203,MATCH("*"&amp;L83&amp;"*",'دليل العملاء'!$D$4:$D$203,0)),IF(COUNTIF('دليل العملاء'!$D$4:$D$203,"*"&amp;L83&amp;"*")&gt;1,"⚠ أكثر من عميل — اكتب كلمة أوضح","⚠ غير موجود في الدليل"))))</f>
        <v/>
      </c>
      <c r="C83" s="8"/>
      <c r="D83" s="9" t="str">
        <f aca="false">IF(M83="","",IFERROR(INDEX('دليل الأصناف'!$A$4:$A$203,MATCH(M83,'دليل الأصناف'!$C$4:$C$203,0)),IF(COUNTIF('دليل الأصناف'!$D$4:$D$203,"*"&amp;M83&amp;"*")=1,INDEX('دليل الأصناف'!$A$4:$A$203,MATCH("*"&amp;M83&amp;"*",'دليل الأصناف'!$D$4:$D$203,0)),IF(COUNTIF('دليل الأصناف'!$D$4:$D$203,"*"&amp;M83&amp;"*")&gt;1,"⚠ أكثر من صنف — اكتب كلمة أوضح","⚠ غير موجود في الدليل"))))</f>
        <v/>
      </c>
      <c r="E83" s="10"/>
      <c r="F83" s="10"/>
      <c r="G83" s="10" t="s">
        <v>20</v>
      </c>
      <c r="H83" s="11" t="n">
        <f aca="false">IF(OR(E83="",F83=""),0,IF(G83="شامل الضريبة",ROUND(ROUND(E83*F83,2)/1.15,2),ROUND(E83*F83,2)))</f>
        <v>0</v>
      </c>
      <c r="I83" s="11" t="n">
        <f aca="false">IF(OR(E83="",F83=""),0,IF(G83="شامل الضريبة",ROUND(E83*F83,2)-H83,ROUND(H83*0.15,2)))</f>
        <v>0</v>
      </c>
      <c r="J83" s="12" t="n">
        <f aca="false">H83+I83</f>
        <v>0</v>
      </c>
      <c r="K83" s="8"/>
      <c r="L83" s="0" t="str">
        <f aca="false">SUBSTITUTE(SUBSTITUTE(SUBSTITUTE(SUBSTITUTE(SUBSTITUTE(SUBSTITUTE(TRIM(A83),"أ","ا"),"إ","ا"),"آ","ا"),"ة","ه"),"ى","ي"),"ـ","")</f>
        <v/>
      </c>
      <c r="M83" s="0" t="str">
        <f aca="false">SUBSTITUTE(SUBSTITUTE(SUBSTITUTE(SUBSTITUTE(SUBSTITUTE(SUBSTITUTE(TRIM(C83),"أ","ا"),"إ","ا"),"آ","ا"),"ة","ه"),"ى","ي"),"ـ","")</f>
        <v/>
      </c>
    </row>
    <row r="84" customFormat="false" ht="15" hidden="false" customHeight="false" outlineLevel="0" collapsed="false">
      <c r="A84" s="8"/>
      <c r="B84" s="9" t="str">
        <f aca="false">IF(L84="","",IFERROR(INDEX('دليل العملاء'!$A$4:$A$203,MATCH(L84,'دليل العملاء'!$C$4:$C$203,0)),IF(COUNTIF('دليل العملاء'!$D$4:$D$203,"*"&amp;L84&amp;"*")=1,INDEX('دليل العملاء'!$A$4:$A$203,MATCH("*"&amp;L84&amp;"*",'دليل العملاء'!$D$4:$D$203,0)),IF(COUNTIF('دليل العملاء'!$D$4:$D$203,"*"&amp;L84&amp;"*")&gt;1,"⚠ أكثر من عميل — اكتب كلمة أوضح","⚠ غير موجود في الدليل"))))</f>
        <v/>
      </c>
      <c r="C84" s="8"/>
      <c r="D84" s="9" t="str">
        <f aca="false">IF(M84="","",IFERROR(INDEX('دليل الأصناف'!$A$4:$A$203,MATCH(M84,'دليل الأصناف'!$C$4:$C$203,0)),IF(COUNTIF('دليل الأصناف'!$D$4:$D$203,"*"&amp;M84&amp;"*")=1,INDEX('دليل الأصناف'!$A$4:$A$203,MATCH("*"&amp;M84&amp;"*",'دليل الأصناف'!$D$4:$D$203,0)),IF(COUNTIF('دليل الأصناف'!$D$4:$D$203,"*"&amp;M84&amp;"*")&gt;1,"⚠ أكثر من صنف — اكتب كلمة أوضح","⚠ غير موجود في الدليل"))))</f>
        <v/>
      </c>
      <c r="E84" s="10"/>
      <c r="F84" s="10"/>
      <c r="G84" s="10" t="s">
        <v>20</v>
      </c>
      <c r="H84" s="11" t="n">
        <f aca="false">IF(OR(E84="",F84=""),0,IF(G84="شامل الضريبة",ROUND(ROUND(E84*F84,2)/1.15,2),ROUND(E84*F84,2)))</f>
        <v>0</v>
      </c>
      <c r="I84" s="11" t="n">
        <f aca="false">IF(OR(E84="",F84=""),0,IF(G84="شامل الضريبة",ROUND(E84*F84,2)-H84,ROUND(H84*0.15,2)))</f>
        <v>0</v>
      </c>
      <c r="J84" s="12" t="n">
        <f aca="false">H84+I84</f>
        <v>0</v>
      </c>
      <c r="K84" s="8"/>
      <c r="L84" s="0" t="str">
        <f aca="false">SUBSTITUTE(SUBSTITUTE(SUBSTITUTE(SUBSTITUTE(SUBSTITUTE(SUBSTITUTE(TRIM(A84),"أ","ا"),"إ","ا"),"آ","ا"),"ة","ه"),"ى","ي"),"ـ","")</f>
        <v/>
      </c>
      <c r="M84" s="0" t="str">
        <f aca="false">SUBSTITUTE(SUBSTITUTE(SUBSTITUTE(SUBSTITUTE(SUBSTITUTE(SUBSTITUTE(TRIM(C84),"أ","ا"),"إ","ا"),"آ","ا"),"ة","ه"),"ى","ي"),"ـ","")</f>
        <v/>
      </c>
    </row>
    <row r="85" customFormat="false" ht="15" hidden="false" customHeight="false" outlineLevel="0" collapsed="false">
      <c r="A85" s="8"/>
      <c r="B85" s="9" t="str">
        <f aca="false">IF(L85="","",IFERROR(INDEX('دليل العملاء'!$A$4:$A$203,MATCH(L85,'دليل العملاء'!$C$4:$C$203,0)),IF(COUNTIF('دليل العملاء'!$D$4:$D$203,"*"&amp;L85&amp;"*")=1,INDEX('دليل العملاء'!$A$4:$A$203,MATCH("*"&amp;L85&amp;"*",'دليل العملاء'!$D$4:$D$203,0)),IF(COUNTIF('دليل العملاء'!$D$4:$D$203,"*"&amp;L85&amp;"*")&gt;1,"⚠ أكثر من عميل — اكتب كلمة أوضح","⚠ غير موجود في الدليل"))))</f>
        <v/>
      </c>
      <c r="C85" s="8"/>
      <c r="D85" s="9" t="str">
        <f aca="false">IF(M85="","",IFERROR(INDEX('دليل الأصناف'!$A$4:$A$203,MATCH(M85,'دليل الأصناف'!$C$4:$C$203,0)),IF(COUNTIF('دليل الأصناف'!$D$4:$D$203,"*"&amp;M85&amp;"*")=1,INDEX('دليل الأصناف'!$A$4:$A$203,MATCH("*"&amp;M85&amp;"*",'دليل الأصناف'!$D$4:$D$203,0)),IF(COUNTIF('دليل الأصناف'!$D$4:$D$203,"*"&amp;M85&amp;"*")&gt;1,"⚠ أكثر من صنف — اكتب كلمة أوضح","⚠ غير موجود في الدليل"))))</f>
        <v/>
      </c>
      <c r="E85" s="10"/>
      <c r="F85" s="10"/>
      <c r="G85" s="10" t="s">
        <v>20</v>
      </c>
      <c r="H85" s="11" t="n">
        <f aca="false">IF(OR(E85="",F85=""),0,IF(G85="شامل الضريبة",ROUND(ROUND(E85*F85,2)/1.15,2),ROUND(E85*F85,2)))</f>
        <v>0</v>
      </c>
      <c r="I85" s="11" t="n">
        <f aca="false">IF(OR(E85="",F85=""),0,IF(G85="شامل الضريبة",ROUND(E85*F85,2)-H85,ROUND(H85*0.15,2)))</f>
        <v>0</v>
      </c>
      <c r="J85" s="12" t="n">
        <f aca="false">H85+I85</f>
        <v>0</v>
      </c>
      <c r="K85" s="8"/>
      <c r="L85" s="0" t="str">
        <f aca="false">SUBSTITUTE(SUBSTITUTE(SUBSTITUTE(SUBSTITUTE(SUBSTITUTE(SUBSTITUTE(TRIM(A85),"أ","ا"),"إ","ا"),"آ","ا"),"ة","ه"),"ى","ي"),"ـ","")</f>
        <v/>
      </c>
      <c r="M85" s="0" t="str">
        <f aca="false">SUBSTITUTE(SUBSTITUTE(SUBSTITUTE(SUBSTITUTE(SUBSTITUTE(SUBSTITUTE(TRIM(C85),"أ","ا"),"إ","ا"),"آ","ا"),"ة","ه"),"ى","ي"),"ـ","")</f>
        <v/>
      </c>
    </row>
    <row r="86" customFormat="false" ht="15" hidden="false" customHeight="false" outlineLevel="0" collapsed="false">
      <c r="A86" s="8"/>
      <c r="B86" s="9" t="str">
        <f aca="false">IF(L86="","",IFERROR(INDEX('دليل العملاء'!$A$4:$A$203,MATCH(L86,'دليل العملاء'!$C$4:$C$203,0)),IF(COUNTIF('دليل العملاء'!$D$4:$D$203,"*"&amp;L86&amp;"*")=1,INDEX('دليل العملاء'!$A$4:$A$203,MATCH("*"&amp;L86&amp;"*",'دليل العملاء'!$D$4:$D$203,0)),IF(COUNTIF('دليل العملاء'!$D$4:$D$203,"*"&amp;L86&amp;"*")&gt;1,"⚠ أكثر من عميل — اكتب كلمة أوضح","⚠ غير موجود في الدليل"))))</f>
        <v/>
      </c>
      <c r="C86" s="8"/>
      <c r="D86" s="9" t="str">
        <f aca="false">IF(M86="","",IFERROR(INDEX('دليل الأصناف'!$A$4:$A$203,MATCH(M86,'دليل الأصناف'!$C$4:$C$203,0)),IF(COUNTIF('دليل الأصناف'!$D$4:$D$203,"*"&amp;M86&amp;"*")=1,INDEX('دليل الأصناف'!$A$4:$A$203,MATCH("*"&amp;M86&amp;"*",'دليل الأصناف'!$D$4:$D$203,0)),IF(COUNTIF('دليل الأصناف'!$D$4:$D$203,"*"&amp;M86&amp;"*")&gt;1,"⚠ أكثر من صنف — اكتب كلمة أوضح","⚠ غير موجود في الدليل"))))</f>
        <v/>
      </c>
      <c r="E86" s="10"/>
      <c r="F86" s="10"/>
      <c r="G86" s="10" t="s">
        <v>20</v>
      </c>
      <c r="H86" s="11" t="n">
        <f aca="false">IF(OR(E86="",F86=""),0,IF(G86="شامل الضريبة",ROUND(ROUND(E86*F86,2)/1.15,2),ROUND(E86*F86,2)))</f>
        <v>0</v>
      </c>
      <c r="I86" s="11" t="n">
        <f aca="false">IF(OR(E86="",F86=""),0,IF(G86="شامل الضريبة",ROUND(E86*F86,2)-H86,ROUND(H86*0.15,2)))</f>
        <v>0</v>
      </c>
      <c r="J86" s="12" t="n">
        <f aca="false">H86+I86</f>
        <v>0</v>
      </c>
      <c r="K86" s="8"/>
      <c r="L86" s="0" t="str">
        <f aca="false">SUBSTITUTE(SUBSTITUTE(SUBSTITUTE(SUBSTITUTE(SUBSTITUTE(SUBSTITUTE(TRIM(A86),"أ","ا"),"إ","ا"),"آ","ا"),"ة","ه"),"ى","ي"),"ـ","")</f>
        <v/>
      </c>
      <c r="M86" s="0" t="str">
        <f aca="false">SUBSTITUTE(SUBSTITUTE(SUBSTITUTE(SUBSTITUTE(SUBSTITUTE(SUBSTITUTE(TRIM(C86),"أ","ا"),"إ","ا"),"آ","ا"),"ة","ه"),"ى","ي"),"ـ","")</f>
        <v/>
      </c>
    </row>
    <row r="87" customFormat="false" ht="15" hidden="false" customHeight="false" outlineLevel="0" collapsed="false">
      <c r="A87" s="8"/>
      <c r="B87" s="9" t="str">
        <f aca="false">IF(L87="","",IFERROR(INDEX('دليل العملاء'!$A$4:$A$203,MATCH(L87,'دليل العملاء'!$C$4:$C$203,0)),IF(COUNTIF('دليل العملاء'!$D$4:$D$203,"*"&amp;L87&amp;"*")=1,INDEX('دليل العملاء'!$A$4:$A$203,MATCH("*"&amp;L87&amp;"*",'دليل العملاء'!$D$4:$D$203,0)),IF(COUNTIF('دليل العملاء'!$D$4:$D$203,"*"&amp;L87&amp;"*")&gt;1,"⚠ أكثر من عميل — اكتب كلمة أوضح","⚠ غير موجود في الدليل"))))</f>
        <v/>
      </c>
      <c r="C87" s="8"/>
      <c r="D87" s="9" t="str">
        <f aca="false">IF(M87="","",IFERROR(INDEX('دليل الأصناف'!$A$4:$A$203,MATCH(M87,'دليل الأصناف'!$C$4:$C$203,0)),IF(COUNTIF('دليل الأصناف'!$D$4:$D$203,"*"&amp;M87&amp;"*")=1,INDEX('دليل الأصناف'!$A$4:$A$203,MATCH("*"&amp;M87&amp;"*",'دليل الأصناف'!$D$4:$D$203,0)),IF(COUNTIF('دليل الأصناف'!$D$4:$D$203,"*"&amp;M87&amp;"*")&gt;1,"⚠ أكثر من صنف — اكتب كلمة أوضح","⚠ غير موجود في الدليل"))))</f>
        <v/>
      </c>
      <c r="E87" s="10"/>
      <c r="F87" s="10"/>
      <c r="G87" s="10" t="s">
        <v>20</v>
      </c>
      <c r="H87" s="11" t="n">
        <f aca="false">IF(OR(E87="",F87=""),0,IF(G87="شامل الضريبة",ROUND(ROUND(E87*F87,2)/1.15,2),ROUND(E87*F87,2)))</f>
        <v>0</v>
      </c>
      <c r="I87" s="11" t="n">
        <f aca="false">IF(OR(E87="",F87=""),0,IF(G87="شامل الضريبة",ROUND(E87*F87,2)-H87,ROUND(H87*0.15,2)))</f>
        <v>0</v>
      </c>
      <c r="J87" s="12" t="n">
        <f aca="false">H87+I87</f>
        <v>0</v>
      </c>
      <c r="K87" s="8"/>
      <c r="L87" s="0" t="str">
        <f aca="false">SUBSTITUTE(SUBSTITUTE(SUBSTITUTE(SUBSTITUTE(SUBSTITUTE(SUBSTITUTE(TRIM(A87),"أ","ا"),"إ","ا"),"آ","ا"),"ة","ه"),"ى","ي"),"ـ","")</f>
        <v/>
      </c>
      <c r="M87" s="0" t="str">
        <f aca="false">SUBSTITUTE(SUBSTITUTE(SUBSTITUTE(SUBSTITUTE(SUBSTITUTE(SUBSTITUTE(TRIM(C87),"أ","ا"),"إ","ا"),"آ","ا"),"ة","ه"),"ى","ي"),"ـ","")</f>
        <v/>
      </c>
    </row>
    <row r="88" customFormat="false" ht="15" hidden="false" customHeight="false" outlineLevel="0" collapsed="false">
      <c r="A88" s="8"/>
      <c r="B88" s="9" t="str">
        <f aca="false">IF(L88="","",IFERROR(INDEX('دليل العملاء'!$A$4:$A$203,MATCH(L88,'دليل العملاء'!$C$4:$C$203,0)),IF(COUNTIF('دليل العملاء'!$D$4:$D$203,"*"&amp;L88&amp;"*")=1,INDEX('دليل العملاء'!$A$4:$A$203,MATCH("*"&amp;L88&amp;"*",'دليل العملاء'!$D$4:$D$203,0)),IF(COUNTIF('دليل العملاء'!$D$4:$D$203,"*"&amp;L88&amp;"*")&gt;1,"⚠ أكثر من عميل — اكتب كلمة أوضح","⚠ غير موجود في الدليل"))))</f>
        <v/>
      </c>
      <c r="C88" s="8"/>
      <c r="D88" s="9" t="str">
        <f aca="false">IF(M88="","",IFERROR(INDEX('دليل الأصناف'!$A$4:$A$203,MATCH(M88,'دليل الأصناف'!$C$4:$C$203,0)),IF(COUNTIF('دليل الأصناف'!$D$4:$D$203,"*"&amp;M88&amp;"*")=1,INDEX('دليل الأصناف'!$A$4:$A$203,MATCH("*"&amp;M88&amp;"*",'دليل الأصناف'!$D$4:$D$203,0)),IF(COUNTIF('دليل الأصناف'!$D$4:$D$203,"*"&amp;M88&amp;"*")&gt;1,"⚠ أكثر من صنف — اكتب كلمة أوضح","⚠ غير موجود في الدليل"))))</f>
        <v/>
      </c>
      <c r="E88" s="10"/>
      <c r="F88" s="10"/>
      <c r="G88" s="10" t="s">
        <v>20</v>
      </c>
      <c r="H88" s="11" t="n">
        <f aca="false">IF(OR(E88="",F88=""),0,IF(G88="شامل الضريبة",ROUND(ROUND(E88*F88,2)/1.15,2),ROUND(E88*F88,2)))</f>
        <v>0</v>
      </c>
      <c r="I88" s="11" t="n">
        <f aca="false">IF(OR(E88="",F88=""),0,IF(G88="شامل الضريبة",ROUND(E88*F88,2)-H88,ROUND(H88*0.15,2)))</f>
        <v>0</v>
      </c>
      <c r="J88" s="12" t="n">
        <f aca="false">H88+I88</f>
        <v>0</v>
      </c>
      <c r="K88" s="8"/>
      <c r="L88" s="0" t="str">
        <f aca="false">SUBSTITUTE(SUBSTITUTE(SUBSTITUTE(SUBSTITUTE(SUBSTITUTE(SUBSTITUTE(TRIM(A88),"أ","ا"),"إ","ا"),"آ","ا"),"ة","ه"),"ى","ي"),"ـ","")</f>
        <v/>
      </c>
      <c r="M88" s="0" t="str">
        <f aca="false">SUBSTITUTE(SUBSTITUTE(SUBSTITUTE(SUBSTITUTE(SUBSTITUTE(SUBSTITUTE(TRIM(C88),"أ","ا"),"إ","ا"),"آ","ا"),"ة","ه"),"ى","ي"),"ـ","")</f>
        <v/>
      </c>
    </row>
    <row r="89" customFormat="false" ht="15" hidden="false" customHeight="false" outlineLevel="0" collapsed="false">
      <c r="A89" s="8"/>
      <c r="B89" s="9" t="str">
        <f aca="false">IF(L89="","",IFERROR(INDEX('دليل العملاء'!$A$4:$A$203,MATCH(L89,'دليل العملاء'!$C$4:$C$203,0)),IF(COUNTIF('دليل العملاء'!$D$4:$D$203,"*"&amp;L89&amp;"*")=1,INDEX('دليل العملاء'!$A$4:$A$203,MATCH("*"&amp;L89&amp;"*",'دليل العملاء'!$D$4:$D$203,0)),IF(COUNTIF('دليل العملاء'!$D$4:$D$203,"*"&amp;L89&amp;"*")&gt;1,"⚠ أكثر من عميل — اكتب كلمة أوضح","⚠ غير موجود في الدليل"))))</f>
        <v/>
      </c>
      <c r="C89" s="8"/>
      <c r="D89" s="9" t="str">
        <f aca="false">IF(M89="","",IFERROR(INDEX('دليل الأصناف'!$A$4:$A$203,MATCH(M89,'دليل الأصناف'!$C$4:$C$203,0)),IF(COUNTIF('دليل الأصناف'!$D$4:$D$203,"*"&amp;M89&amp;"*")=1,INDEX('دليل الأصناف'!$A$4:$A$203,MATCH("*"&amp;M89&amp;"*",'دليل الأصناف'!$D$4:$D$203,0)),IF(COUNTIF('دليل الأصناف'!$D$4:$D$203,"*"&amp;M89&amp;"*")&gt;1,"⚠ أكثر من صنف — اكتب كلمة أوضح","⚠ غير موجود في الدليل"))))</f>
        <v/>
      </c>
      <c r="E89" s="10"/>
      <c r="F89" s="10"/>
      <c r="G89" s="10" t="s">
        <v>20</v>
      </c>
      <c r="H89" s="11" t="n">
        <f aca="false">IF(OR(E89="",F89=""),0,IF(G89="شامل الضريبة",ROUND(ROUND(E89*F89,2)/1.15,2),ROUND(E89*F89,2)))</f>
        <v>0</v>
      </c>
      <c r="I89" s="11" t="n">
        <f aca="false">IF(OR(E89="",F89=""),0,IF(G89="شامل الضريبة",ROUND(E89*F89,2)-H89,ROUND(H89*0.15,2)))</f>
        <v>0</v>
      </c>
      <c r="J89" s="12" t="n">
        <f aca="false">H89+I89</f>
        <v>0</v>
      </c>
      <c r="K89" s="8"/>
      <c r="L89" s="0" t="str">
        <f aca="false">SUBSTITUTE(SUBSTITUTE(SUBSTITUTE(SUBSTITUTE(SUBSTITUTE(SUBSTITUTE(TRIM(A89),"أ","ا"),"إ","ا"),"آ","ا"),"ة","ه"),"ى","ي"),"ـ","")</f>
        <v/>
      </c>
      <c r="M89" s="0" t="str">
        <f aca="false">SUBSTITUTE(SUBSTITUTE(SUBSTITUTE(SUBSTITUTE(SUBSTITUTE(SUBSTITUTE(TRIM(C89),"أ","ا"),"إ","ا"),"آ","ا"),"ة","ه"),"ى","ي"),"ـ","")</f>
        <v/>
      </c>
    </row>
    <row r="90" customFormat="false" ht="15" hidden="false" customHeight="false" outlineLevel="0" collapsed="false">
      <c r="A90" s="8"/>
      <c r="B90" s="9" t="str">
        <f aca="false">IF(L90="","",IFERROR(INDEX('دليل العملاء'!$A$4:$A$203,MATCH(L90,'دليل العملاء'!$C$4:$C$203,0)),IF(COUNTIF('دليل العملاء'!$D$4:$D$203,"*"&amp;L90&amp;"*")=1,INDEX('دليل العملاء'!$A$4:$A$203,MATCH("*"&amp;L90&amp;"*",'دليل العملاء'!$D$4:$D$203,0)),IF(COUNTIF('دليل العملاء'!$D$4:$D$203,"*"&amp;L90&amp;"*")&gt;1,"⚠ أكثر من عميل — اكتب كلمة أوضح","⚠ غير موجود في الدليل"))))</f>
        <v/>
      </c>
      <c r="C90" s="8"/>
      <c r="D90" s="9" t="str">
        <f aca="false">IF(M90="","",IFERROR(INDEX('دليل الأصناف'!$A$4:$A$203,MATCH(M90,'دليل الأصناف'!$C$4:$C$203,0)),IF(COUNTIF('دليل الأصناف'!$D$4:$D$203,"*"&amp;M90&amp;"*")=1,INDEX('دليل الأصناف'!$A$4:$A$203,MATCH("*"&amp;M90&amp;"*",'دليل الأصناف'!$D$4:$D$203,0)),IF(COUNTIF('دليل الأصناف'!$D$4:$D$203,"*"&amp;M90&amp;"*")&gt;1,"⚠ أكثر من صنف — اكتب كلمة أوضح","⚠ غير موجود في الدليل"))))</f>
        <v/>
      </c>
      <c r="E90" s="10"/>
      <c r="F90" s="10"/>
      <c r="G90" s="10" t="s">
        <v>20</v>
      </c>
      <c r="H90" s="11" t="n">
        <f aca="false">IF(OR(E90="",F90=""),0,IF(G90="شامل الضريبة",ROUND(ROUND(E90*F90,2)/1.15,2),ROUND(E90*F90,2)))</f>
        <v>0</v>
      </c>
      <c r="I90" s="11" t="n">
        <f aca="false">IF(OR(E90="",F90=""),0,IF(G90="شامل الضريبة",ROUND(E90*F90,2)-H90,ROUND(H90*0.15,2)))</f>
        <v>0</v>
      </c>
      <c r="J90" s="12" t="n">
        <f aca="false">H90+I90</f>
        <v>0</v>
      </c>
      <c r="K90" s="8"/>
      <c r="L90" s="0" t="str">
        <f aca="false">SUBSTITUTE(SUBSTITUTE(SUBSTITUTE(SUBSTITUTE(SUBSTITUTE(SUBSTITUTE(TRIM(A90),"أ","ا"),"إ","ا"),"آ","ا"),"ة","ه"),"ى","ي"),"ـ","")</f>
        <v/>
      </c>
      <c r="M90" s="0" t="str">
        <f aca="false">SUBSTITUTE(SUBSTITUTE(SUBSTITUTE(SUBSTITUTE(SUBSTITUTE(SUBSTITUTE(TRIM(C90),"أ","ا"),"إ","ا"),"آ","ا"),"ة","ه"),"ى","ي"),"ـ","")</f>
        <v/>
      </c>
    </row>
    <row r="91" customFormat="false" ht="15" hidden="false" customHeight="false" outlineLevel="0" collapsed="false">
      <c r="A91" s="8"/>
      <c r="B91" s="9" t="str">
        <f aca="false">IF(L91="","",IFERROR(INDEX('دليل العملاء'!$A$4:$A$203,MATCH(L91,'دليل العملاء'!$C$4:$C$203,0)),IF(COUNTIF('دليل العملاء'!$D$4:$D$203,"*"&amp;L91&amp;"*")=1,INDEX('دليل العملاء'!$A$4:$A$203,MATCH("*"&amp;L91&amp;"*",'دليل العملاء'!$D$4:$D$203,0)),IF(COUNTIF('دليل العملاء'!$D$4:$D$203,"*"&amp;L91&amp;"*")&gt;1,"⚠ أكثر من عميل — اكتب كلمة أوضح","⚠ غير موجود في الدليل"))))</f>
        <v/>
      </c>
      <c r="C91" s="8"/>
      <c r="D91" s="9" t="str">
        <f aca="false">IF(M91="","",IFERROR(INDEX('دليل الأصناف'!$A$4:$A$203,MATCH(M91,'دليل الأصناف'!$C$4:$C$203,0)),IF(COUNTIF('دليل الأصناف'!$D$4:$D$203,"*"&amp;M91&amp;"*")=1,INDEX('دليل الأصناف'!$A$4:$A$203,MATCH("*"&amp;M91&amp;"*",'دليل الأصناف'!$D$4:$D$203,0)),IF(COUNTIF('دليل الأصناف'!$D$4:$D$203,"*"&amp;M91&amp;"*")&gt;1,"⚠ أكثر من صنف — اكتب كلمة أوضح","⚠ غير موجود في الدليل"))))</f>
        <v/>
      </c>
      <c r="E91" s="10"/>
      <c r="F91" s="10"/>
      <c r="G91" s="10" t="s">
        <v>20</v>
      </c>
      <c r="H91" s="11" t="n">
        <f aca="false">IF(OR(E91="",F91=""),0,IF(G91="شامل الضريبة",ROUND(ROUND(E91*F91,2)/1.15,2),ROUND(E91*F91,2)))</f>
        <v>0</v>
      </c>
      <c r="I91" s="11" t="n">
        <f aca="false">IF(OR(E91="",F91=""),0,IF(G91="شامل الضريبة",ROUND(E91*F91,2)-H91,ROUND(H91*0.15,2)))</f>
        <v>0</v>
      </c>
      <c r="J91" s="12" t="n">
        <f aca="false">H91+I91</f>
        <v>0</v>
      </c>
      <c r="K91" s="8"/>
      <c r="L91" s="0" t="str">
        <f aca="false">SUBSTITUTE(SUBSTITUTE(SUBSTITUTE(SUBSTITUTE(SUBSTITUTE(SUBSTITUTE(TRIM(A91),"أ","ا"),"إ","ا"),"آ","ا"),"ة","ه"),"ى","ي"),"ـ","")</f>
        <v/>
      </c>
      <c r="M91" s="0" t="str">
        <f aca="false">SUBSTITUTE(SUBSTITUTE(SUBSTITUTE(SUBSTITUTE(SUBSTITUTE(SUBSTITUTE(TRIM(C91),"أ","ا"),"إ","ا"),"آ","ا"),"ة","ه"),"ى","ي"),"ـ","")</f>
        <v/>
      </c>
    </row>
    <row r="92" customFormat="false" ht="15" hidden="false" customHeight="false" outlineLevel="0" collapsed="false">
      <c r="A92" s="8"/>
      <c r="B92" s="9" t="str">
        <f aca="false">IF(L92="","",IFERROR(INDEX('دليل العملاء'!$A$4:$A$203,MATCH(L92,'دليل العملاء'!$C$4:$C$203,0)),IF(COUNTIF('دليل العملاء'!$D$4:$D$203,"*"&amp;L92&amp;"*")=1,INDEX('دليل العملاء'!$A$4:$A$203,MATCH("*"&amp;L92&amp;"*",'دليل العملاء'!$D$4:$D$203,0)),IF(COUNTIF('دليل العملاء'!$D$4:$D$203,"*"&amp;L92&amp;"*")&gt;1,"⚠ أكثر من عميل — اكتب كلمة أوضح","⚠ غير موجود في الدليل"))))</f>
        <v/>
      </c>
      <c r="C92" s="8"/>
      <c r="D92" s="9" t="str">
        <f aca="false">IF(M92="","",IFERROR(INDEX('دليل الأصناف'!$A$4:$A$203,MATCH(M92,'دليل الأصناف'!$C$4:$C$203,0)),IF(COUNTIF('دليل الأصناف'!$D$4:$D$203,"*"&amp;M92&amp;"*")=1,INDEX('دليل الأصناف'!$A$4:$A$203,MATCH("*"&amp;M92&amp;"*",'دليل الأصناف'!$D$4:$D$203,0)),IF(COUNTIF('دليل الأصناف'!$D$4:$D$203,"*"&amp;M92&amp;"*")&gt;1,"⚠ أكثر من صنف — اكتب كلمة أوضح","⚠ غير موجود في الدليل"))))</f>
        <v/>
      </c>
      <c r="E92" s="10"/>
      <c r="F92" s="10"/>
      <c r="G92" s="10" t="s">
        <v>20</v>
      </c>
      <c r="H92" s="11" t="n">
        <f aca="false">IF(OR(E92="",F92=""),0,IF(G92="شامل الضريبة",ROUND(ROUND(E92*F92,2)/1.15,2),ROUND(E92*F92,2)))</f>
        <v>0</v>
      </c>
      <c r="I92" s="11" t="n">
        <f aca="false">IF(OR(E92="",F92=""),0,IF(G92="شامل الضريبة",ROUND(E92*F92,2)-H92,ROUND(H92*0.15,2)))</f>
        <v>0</v>
      </c>
      <c r="J92" s="12" t="n">
        <f aca="false">H92+I92</f>
        <v>0</v>
      </c>
      <c r="K92" s="8"/>
      <c r="L92" s="0" t="str">
        <f aca="false">SUBSTITUTE(SUBSTITUTE(SUBSTITUTE(SUBSTITUTE(SUBSTITUTE(SUBSTITUTE(TRIM(A92),"أ","ا"),"إ","ا"),"آ","ا"),"ة","ه"),"ى","ي"),"ـ","")</f>
        <v/>
      </c>
      <c r="M92" s="0" t="str">
        <f aca="false">SUBSTITUTE(SUBSTITUTE(SUBSTITUTE(SUBSTITUTE(SUBSTITUTE(SUBSTITUTE(TRIM(C92),"أ","ا"),"إ","ا"),"آ","ا"),"ة","ه"),"ى","ي"),"ـ","")</f>
        <v/>
      </c>
    </row>
    <row r="93" customFormat="false" ht="15" hidden="false" customHeight="false" outlineLevel="0" collapsed="false">
      <c r="A93" s="8"/>
      <c r="B93" s="9" t="str">
        <f aca="false">IF(L93="","",IFERROR(INDEX('دليل العملاء'!$A$4:$A$203,MATCH(L93,'دليل العملاء'!$C$4:$C$203,0)),IF(COUNTIF('دليل العملاء'!$D$4:$D$203,"*"&amp;L93&amp;"*")=1,INDEX('دليل العملاء'!$A$4:$A$203,MATCH("*"&amp;L93&amp;"*",'دليل العملاء'!$D$4:$D$203,0)),IF(COUNTIF('دليل العملاء'!$D$4:$D$203,"*"&amp;L93&amp;"*")&gt;1,"⚠ أكثر من عميل — اكتب كلمة أوضح","⚠ غير موجود في الدليل"))))</f>
        <v/>
      </c>
      <c r="C93" s="8"/>
      <c r="D93" s="9" t="str">
        <f aca="false">IF(M93="","",IFERROR(INDEX('دليل الأصناف'!$A$4:$A$203,MATCH(M93,'دليل الأصناف'!$C$4:$C$203,0)),IF(COUNTIF('دليل الأصناف'!$D$4:$D$203,"*"&amp;M93&amp;"*")=1,INDEX('دليل الأصناف'!$A$4:$A$203,MATCH("*"&amp;M93&amp;"*",'دليل الأصناف'!$D$4:$D$203,0)),IF(COUNTIF('دليل الأصناف'!$D$4:$D$203,"*"&amp;M93&amp;"*")&gt;1,"⚠ أكثر من صنف — اكتب كلمة أوضح","⚠ غير موجود في الدليل"))))</f>
        <v/>
      </c>
      <c r="E93" s="10"/>
      <c r="F93" s="10"/>
      <c r="G93" s="10" t="s">
        <v>20</v>
      </c>
      <c r="H93" s="11" t="n">
        <f aca="false">IF(OR(E93="",F93=""),0,IF(G93="شامل الضريبة",ROUND(ROUND(E93*F93,2)/1.15,2),ROUND(E93*F93,2)))</f>
        <v>0</v>
      </c>
      <c r="I93" s="11" t="n">
        <f aca="false">IF(OR(E93="",F93=""),0,IF(G93="شامل الضريبة",ROUND(E93*F93,2)-H93,ROUND(H93*0.15,2)))</f>
        <v>0</v>
      </c>
      <c r="J93" s="12" t="n">
        <f aca="false">H93+I93</f>
        <v>0</v>
      </c>
      <c r="K93" s="8"/>
      <c r="L93" s="0" t="str">
        <f aca="false">SUBSTITUTE(SUBSTITUTE(SUBSTITUTE(SUBSTITUTE(SUBSTITUTE(SUBSTITUTE(TRIM(A93),"أ","ا"),"إ","ا"),"آ","ا"),"ة","ه"),"ى","ي"),"ـ","")</f>
        <v/>
      </c>
      <c r="M93" s="0" t="str">
        <f aca="false">SUBSTITUTE(SUBSTITUTE(SUBSTITUTE(SUBSTITUTE(SUBSTITUTE(SUBSTITUTE(TRIM(C93),"أ","ا"),"إ","ا"),"آ","ا"),"ة","ه"),"ى","ي"),"ـ","")</f>
        <v/>
      </c>
    </row>
    <row r="94" customFormat="false" ht="15" hidden="false" customHeight="false" outlineLevel="0" collapsed="false">
      <c r="A94" s="8"/>
      <c r="B94" s="9" t="str">
        <f aca="false">IF(L94="","",IFERROR(INDEX('دليل العملاء'!$A$4:$A$203,MATCH(L94,'دليل العملاء'!$C$4:$C$203,0)),IF(COUNTIF('دليل العملاء'!$D$4:$D$203,"*"&amp;L94&amp;"*")=1,INDEX('دليل العملاء'!$A$4:$A$203,MATCH("*"&amp;L94&amp;"*",'دليل العملاء'!$D$4:$D$203,0)),IF(COUNTIF('دليل العملاء'!$D$4:$D$203,"*"&amp;L94&amp;"*")&gt;1,"⚠ أكثر من عميل — اكتب كلمة أوضح","⚠ غير موجود في الدليل"))))</f>
        <v/>
      </c>
      <c r="C94" s="8"/>
      <c r="D94" s="9" t="str">
        <f aca="false">IF(M94="","",IFERROR(INDEX('دليل الأصناف'!$A$4:$A$203,MATCH(M94,'دليل الأصناف'!$C$4:$C$203,0)),IF(COUNTIF('دليل الأصناف'!$D$4:$D$203,"*"&amp;M94&amp;"*")=1,INDEX('دليل الأصناف'!$A$4:$A$203,MATCH("*"&amp;M94&amp;"*",'دليل الأصناف'!$D$4:$D$203,0)),IF(COUNTIF('دليل الأصناف'!$D$4:$D$203,"*"&amp;M94&amp;"*")&gt;1,"⚠ أكثر من صنف — اكتب كلمة أوضح","⚠ غير موجود في الدليل"))))</f>
        <v/>
      </c>
      <c r="E94" s="10"/>
      <c r="F94" s="10"/>
      <c r="G94" s="10" t="s">
        <v>20</v>
      </c>
      <c r="H94" s="11" t="n">
        <f aca="false">IF(OR(E94="",F94=""),0,IF(G94="شامل الضريبة",ROUND(ROUND(E94*F94,2)/1.15,2),ROUND(E94*F94,2)))</f>
        <v>0</v>
      </c>
      <c r="I94" s="11" t="n">
        <f aca="false">IF(OR(E94="",F94=""),0,IF(G94="شامل الضريبة",ROUND(E94*F94,2)-H94,ROUND(H94*0.15,2)))</f>
        <v>0</v>
      </c>
      <c r="J94" s="12" t="n">
        <f aca="false">H94+I94</f>
        <v>0</v>
      </c>
      <c r="K94" s="8"/>
      <c r="L94" s="0" t="str">
        <f aca="false">SUBSTITUTE(SUBSTITUTE(SUBSTITUTE(SUBSTITUTE(SUBSTITUTE(SUBSTITUTE(TRIM(A94),"أ","ا"),"إ","ا"),"آ","ا"),"ة","ه"),"ى","ي"),"ـ","")</f>
        <v/>
      </c>
      <c r="M94" s="0" t="str">
        <f aca="false">SUBSTITUTE(SUBSTITUTE(SUBSTITUTE(SUBSTITUTE(SUBSTITUTE(SUBSTITUTE(TRIM(C94),"أ","ا"),"إ","ا"),"آ","ا"),"ة","ه"),"ى","ي"),"ـ","")</f>
        <v/>
      </c>
    </row>
    <row r="95" customFormat="false" ht="15" hidden="false" customHeight="false" outlineLevel="0" collapsed="false">
      <c r="A95" s="8"/>
      <c r="B95" s="9" t="str">
        <f aca="false">IF(L95="","",IFERROR(INDEX('دليل العملاء'!$A$4:$A$203,MATCH(L95,'دليل العملاء'!$C$4:$C$203,0)),IF(COUNTIF('دليل العملاء'!$D$4:$D$203,"*"&amp;L95&amp;"*")=1,INDEX('دليل العملاء'!$A$4:$A$203,MATCH("*"&amp;L95&amp;"*",'دليل العملاء'!$D$4:$D$203,0)),IF(COUNTIF('دليل العملاء'!$D$4:$D$203,"*"&amp;L95&amp;"*")&gt;1,"⚠ أكثر من عميل — اكتب كلمة أوضح","⚠ غير موجود في الدليل"))))</f>
        <v/>
      </c>
      <c r="C95" s="8"/>
      <c r="D95" s="9" t="str">
        <f aca="false">IF(M95="","",IFERROR(INDEX('دليل الأصناف'!$A$4:$A$203,MATCH(M95,'دليل الأصناف'!$C$4:$C$203,0)),IF(COUNTIF('دليل الأصناف'!$D$4:$D$203,"*"&amp;M95&amp;"*")=1,INDEX('دليل الأصناف'!$A$4:$A$203,MATCH("*"&amp;M95&amp;"*",'دليل الأصناف'!$D$4:$D$203,0)),IF(COUNTIF('دليل الأصناف'!$D$4:$D$203,"*"&amp;M95&amp;"*")&gt;1,"⚠ أكثر من صنف — اكتب كلمة أوضح","⚠ غير موجود في الدليل"))))</f>
        <v/>
      </c>
      <c r="E95" s="10"/>
      <c r="F95" s="10"/>
      <c r="G95" s="10" t="s">
        <v>20</v>
      </c>
      <c r="H95" s="11" t="n">
        <f aca="false">IF(OR(E95="",F95=""),0,IF(G95="شامل الضريبة",ROUND(ROUND(E95*F95,2)/1.15,2),ROUND(E95*F95,2)))</f>
        <v>0</v>
      </c>
      <c r="I95" s="11" t="n">
        <f aca="false">IF(OR(E95="",F95=""),0,IF(G95="شامل الضريبة",ROUND(E95*F95,2)-H95,ROUND(H95*0.15,2)))</f>
        <v>0</v>
      </c>
      <c r="J95" s="12" t="n">
        <f aca="false">H95+I95</f>
        <v>0</v>
      </c>
      <c r="K95" s="8"/>
      <c r="L95" s="0" t="str">
        <f aca="false">SUBSTITUTE(SUBSTITUTE(SUBSTITUTE(SUBSTITUTE(SUBSTITUTE(SUBSTITUTE(TRIM(A95),"أ","ا"),"إ","ا"),"آ","ا"),"ة","ه"),"ى","ي"),"ـ","")</f>
        <v/>
      </c>
      <c r="M95" s="0" t="str">
        <f aca="false">SUBSTITUTE(SUBSTITUTE(SUBSTITUTE(SUBSTITUTE(SUBSTITUTE(SUBSTITUTE(TRIM(C95),"أ","ا"),"إ","ا"),"آ","ا"),"ة","ه"),"ى","ي"),"ـ","")</f>
        <v/>
      </c>
    </row>
    <row r="96" customFormat="false" ht="15" hidden="false" customHeight="false" outlineLevel="0" collapsed="false">
      <c r="A96" s="8"/>
      <c r="B96" s="9" t="str">
        <f aca="false">IF(L96="","",IFERROR(INDEX('دليل العملاء'!$A$4:$A$203,MATCH(L96,'دليل العملاء'!$C$4:$C$203,0)),IF(COUNTIF('دليل العملاء'!$D$4:$D$203,"*"&amp;L96&amp;"*")=1,INDEX('دليل العملاء'!$A$4:$A$203,MATCH("*"&amp;L96&amp;"*",'دليل العملاء'!$D$4:$D$203,0)),IF(COUNTIF('دليل العملاء'!$D$4:$D$203,"*"&amp;L96&amp;"*")&gt;1,"⚠ أكثر من عميل — اكتب كلمة أوضح","⚠ غير موجود في الدليل"))))</f>
        <v/>
      </c>
      <c r="C96" s="8"/>
      <c r="D96" s="9" t="str">
        <f aca="false">IF(M96="","",IFERROR(INDEX('دليل الأصناف'!$A$4:$A$203,MATCH(M96,'دليل الأصناف'!$C$4:$C$203,0)),IF(COUNTIF('دليل الأصناف'!$D$4:$D$203,"*"&amp;M96&amp;"*")=1,INDEX('دليل الأصناف'!$A$4:$A$203,MATCH("*"&amp;M96&amp;"*",'دليل الأصناف'!$D$4:$D$203,0)),IF(COUNTIF('دليل الأصناف'!$D$4:$D$203,"*"&amp;M96&amp;"*")&gt;1,"⚠ أكثر من صنف — اكتب كلمة أوضح","⚠ غير موجود في الدليل"))))</f>
        <v/>
      </c>
      <c r="E96" s="10"/>
      <c r="F96" s="10"/>
      <c r="G96" s="10" t="s">
        <v>20</v>
      </c>
      <c r="H96" s="11" t="n">
        <f aca="false">IF(OR(E96="",F96=""),0,IF(G96="شامل الضريبة",ROUND(ROUND(E96*F96,2)/1.15,2),ROUND(E96*F96,2)))</f>
        <v>0</v>
      </c>
      <c r="I96" s="11" t="n">
        <f aca="false">IF(OR(E96="",F96=""),0,IF(G96="شامل الضريبة",ROUND(E96*F96,2)-H96,ROUND(H96*0.15,2)))</f>
        <v>0</v>
      </c>
      <c r="J96" s="12" t="n">
        <f aca="false">H96+I96</f>
        <v>0</v>
      </c>
      <c r="K96" s="8"/>
      <c r="L96" s="0" t="str">
        <f aca="false">SUBSTITUTE(SUBSTITUTE(SUBSTITUTE(SUBSTITUTE(SUBSTITUTE(SUBSTITUTE(TRIM(A96),"أ","ا"),"إ","ا"),"آ","ا"),"ة","ه"),"ى","ي"),"ـ","")</f>
        <v/>
      </c>
      <c r="M96" s="0" t="str">
        <f aca="false">SUBSTITUTE(SUBSTITUTE(SUBSTITUTE(SUBSTITUTE(SUBSTITUTE(SUBSTITUTE(TRIM(C96),"أ","ا"),"إ","ا"),"آ","ا"),"ة","ه"),"ى","ي"),"ـ","")</f>
        <v/>
      </c>
    </row>
    <row r="97" customFormat="false" ht="15" hidden="false" customHeight="false" outlineLevel="0" collapsed="false">
      <c r="A97" s="8"/>
      <c r="B97" s="9" t="str">
        <f aca="false">IF(L97="","",IFERROR(INDEX('دليل العملاء'!$A$4:$A$203,MATCH(L97,'دليل العملاء'!$C$4:$C$203,0)),IF(COUNTIF('دليل العملاء'!$D$4:$D$203,"*"&amp;L97&amp;"*")=1,INDEX('دليل العملاء'!$A$4:$A$203,MATCH("*"&amp;L97&amp;"*",'دليل العملاء'!$D$4:$D$203,0)),IF(COUNTIF('دليل العملاء'!$D$4:$D$203,"*"&amp;L97&amp;"*")&gt;1,"⚠ أكثر من عميل — اكتب كلمة أوضح","⚠ غير موجود في الدليل"))))</f>
        <v/>
      </c>
      <c r="C97" s="8"/>
      <c r="D97" s="9" t="str">
        <f aca="false">IF(M97="","",IFERROR(INDEX('دليل الأصناف'!$A$4:$A$203,MATCH(M97,'دليل الأصناف'!$C$4:$C$203,0)),IF(COUNTIF('دليل الأصناف'!$D$4:$D$203,"*"&amp;M97&amp;"*")=1,INDEX('دليل الأصناف'!$A$4:$A$203,MATCH("*"&amp;M97&amp;"*",'دليل الأصناف'!$D$4:$D$203,0)),IF(COUNTIF('دليل الأصناف'!$D$4:$D$203,"*"&amp;M97&amp;"*")&gt;1,"⚠ أكثر من صنف — اكتب كلمة أوضح","⚠ غير موجود في الدليل"))))</f>
        <v/>
      </c>
      <c r="E97" s="10"/>
      <c r="F97" s="10"/>
      <c r="G97" s="10" t="s">
        <v>20</v>
      </c>
      <c r="H97" s="11" t="n">
        <f aca="false">IF(OR(E97="",F97=""),0,IF(G97="شامل الضريبة",ROUND(ROUND(E97*F97,2)/1.15,2),ROUND(E97*F97,2)))</f>
        <v>0</v>
      </c>
      <c r="I97" s="11" t="n">
        <f aca="false">IF(OR(E97="",F97=""),0,IF(G97="شامل الضريبة",ROUND(E97*F97,2)-H97,ROUND(H97*0.15,2)))</f>
        <v>0</v>
      </c>
      <c r="J97" s="12" t="n">
        <f aca="false">H97+I97</f>
        <v>0</v>
      </c>
      <c r="K97" s="8"/>
      <c r="L97" s="0" t="str">
        <f aca="false">SUBSTITUTE(SUBSTITUTE(SUBSTITUTE(SUBSTITUTE(SUBSTITUTE(SUBSTITUTE(TRIM(A97),"أ","ا"),"إ","ا"),"آ","ا"),"ة","ه"),"ى","ي"),"ـ","")</f>
        <v/>
      </c>
      <c r="M97" s="0" t="str">
        <f aca="false">SUBSTITUTE(SUBSTITUTE(SUBSTITUTE(SUBSTITUTE(SUBSTITUTE(SUBSTITUTE(TRIM(C97),"أ","ا"),"إ","ا"),"آ","ا"),"ة","ه"),"ى","ي"),"ـ","")</f>
        <v/>
      </c>
    </row>
    <row r="98" customFormat="false" ht="15" hidden="false" customHeight="false" outlineLevel="0" collapsed="false">
      <c r="A98" s="8"/>
      <c r="B98" s="9" t="str">
        <f aca="false">IF(L98="","",IFERROR(INDEX('دليل العملاء'!$A$4:$A$203,MATCH(L98,'دليل العملاء'!$C$4:$C$203,0)),IF(COUNTIF('دليل العملاء'!$D$4:$D$203,"*"&amp;L98&amp;"*")=1,INDEX('دليل العملاء'!$A$4:$A$203,MATCH("*"&amp;L98&amp;"*",'دليل العملاء'!$D$4:$D$203,0)),IF(COUNTIF('دليل العملاء'!$D$4:$D$203,"*"&amp;L98&amp;"*")&gt;1,"⚠ أكثر من عميل — اكتب كلمة أوضح","⚠ غير موجود في الدليل"))))</f>
        <v/>
      </c>
      <c r="C98" s="8"/>
      <c r="D98" s="9" t="str">
        <f aca="false">IF(M98="","",IFERROR(INDEX('دليل الأصناف'!$A$4:$A$203,MATCH(M98,'دليل الأصناف'!$C$4:$C$203,0)),IF(COUNTIF('دليل الأصناف'!$D$4:$D$203,"*"&amp;M98&amp;"*")=1,INDEX('دليل الأصناف'!$A$4:$A$203,MATCH("*"&amp;M98&amp;"*",'دليل الأصناف'!$D$4:$D$203,0)),IF(COUNTIF('دليل الأصناف'!$D$4:$D$203,"*"&amp;M98&amp;"*")&gt;1,"⚠ أكثر من صنف — اكتب كلمة أوضح","⚠ غير موجود في الدليل"))))</f>
        <v/>
      </c>
      <c r="E98" s="10"/>
      <c r="F98" s="10"/>
      <c r="G98" s="10" t="s">
        <v>20</v>
      </c>
      <c r="H98" s="11" t="n">
        <f aca="false">IF(OR(E98="",F98=""),0,IF(G98="شامل الضريبة",ROUND(ROUND(E98*F98,2)/1.15,2),ROUND(E98*F98,2)))</f>
        <v>0</v>
      </c>
      <c r="I98" s="11" t="n">
        <f aca="false">IF(OR(E98="",F98=""),0,IF(G98="شامل الضريبة",ROUND(E98*F98,2)-H98,ROUND(H98*0.15,2)))</f>
        <v>0</v>
      </c>
      <c r="J98" s="12" t="n">
        <f aca="false">H98+I98</f>
        <v>0</v>
      </c>
      <c r="K98" s="8"/>
      <c r="L98" s="0" t="str">
        <f aca="false">SUBSTITUTE(SUBSTITUTE(SUBSTITUTE(SUBSTITUTE(SUBSTITUTE(SUBSTITUTE(TRIM(A98),"أ","ا"),"إ","ا"),"آ","ا"),"ة","ه"),"ى","ي"),"ـ","")</f>
        <v/>
      </c>
      <c r="M98" s="0" t="str">
        <f aca="false">SUBSTITUTE(SUBSTITUTE(SUBSTITUTE(SUBSTITUTE(SUBSTITUTE(SUBSTITUTE(TRIM(C98),"أ","ا"),"إ","ا"),"آ","ا"),"ة","ه"),"ى","ي"),"ـ","")</f>
        <v/>
      </c>
    </row>
    <row r="99" customFormat="false" ht="15" hidden="false" customHeight="false" outlineLevel="0" collapsed="false">
      <c r="A99" s="8"/>
      <c r="B99" s="9" t="str">
        <f aca="false">IF(L99="","",IFERROR(INDEX('دليل العملاء'!$A$4:$A$203,MATCH(L99,'دليل العملاء'!$C$4:$C$203,0)),IF(COUNTIF('دليل العملاء'!$D$4:$D$203,"*"&amp;L99&amp;"*")=1,INDEX('دليل العملاء'!$A$4:$A$203,MATCH("*"&amp;L99&amp;"*",'دليل العملاء'!$D$4:$D$203,0)),IF(COUNTIF('دليل العملاء'!$D$4:$D$203,"*"&amp;L99&amp;"*")&gt;1,"⚠ أكثر من عميل — اكتب كلمة أوضح","⚠ غير موجود في الدليل"))))</f>
        <v/>
      </c>
      <c r="C99" s="8"/>
      <c r="D99" s="9" t="str">
        <f aca="false">IF(M99="","",IFERROR(INDEX('دليل الأصناف'!$A$4:$A$203,MATCH(M99,'دليل الأصناف'!$C$4:$C$203,0)),IF(COUNTIF('دليل الأصناف'!$D$4:$D$203,"*"&amp;M99&amp;"*")=1,INDEX('دليل الأصناف'!$A$4:$A$203,MATCH("*"&amp;M99&amp;"*",'دليل الأصناف'!$D$4:$D$203,0)),IF(COUNTIF('دليل الأصناف'!$D$4:$D$203,"*"&amp;M99&amp;"*")&gt;1,"⚠ أكثر من صنف — اكتب كلمة أوضح","⚠ غير موجود في الدليل"))))</f>
        <v/>
      </c>
      <c r="E99" s="10"/>
      <c r="F99" s="10"/>
      <c r="G99" s="10" t="s">
        <v>20</v>
      </c>
      <c r="H99" s="11" t="n">
        <f aca="false">IF(OR(E99="",F99=""),0,IF(G99="شامل الضريبة",ROUND(ROUND(E99*F99,2)/1.15,2),ROUND(E99*F99,2)))</f>
        <v>0</v>
      </c>
      <c r="I99" s="11" t="n">
        <f aca="false">IF(OR(E99="",F99=""),0,IF(G99="شامل الضريبة",ROUND(E99*F99,2)-H99,ROUND(H99*0.15,2)))</f>
        <v>0</v>
      </c>
      <c r="J99" s="12" t="n">
        <f aca="false">H99+I99</f>
        <v>0</v>
      </c>
      <c r="K99" s="8"/>
      <c r="L99" s="0" t="str">
        <f aca="false">SUBSTITUTE(SUBSTITUTE(SUBSTITUTE(SUBSTITUTE(SUBSTITUTE(SUBSTITUTE(TRIM(A99),"أ","ا"),"إ","ا"),"آ","ا"),"ة","ه"),"ى","ي"),"ـ","")</f>
        <v/>
      </c>
      <c r="M99" s="0" t="str">
        <f aca="false">SUBSTITUTE(SUBSTITUTE(SUBSTITUTE(SUBSTITUTE(SUBSTITUTE(SUBSTITUTE(TRIM(C99),"أ","ا"),"إ","ا"),"آ","ا"),"ة","ه"),"ى","ي"),"ـ","")</f>
        <v/>
      </c>
    </row>
    <row r="100" customFormat="false" ht="15" hidden="false" customHeight="false" outlineLevel="0" collapsed="false">
      <c r="A100" s="8"/>
      <c r="B100" s="9" t="str">
        <f aca="false">IF(L100="","",IFERROR(INDEX('دليل العملاء'!$A$4:$A$203,MATCH(L100,'دليل العملاء'!$C$4:$C$203,0)),IF(COUNTIF('دليل العملاء'!$D$4:$D$203,"*"&amp;L100&amp;"*")=1,INDEX('دليل العملاء'!$A$4:$A$203,MATCH("*"&amp;L100&amp;"*",'دليل العملاء'!$D$4:$D$203,0)),IF(COUNTIF('دليل العملاء'!$D$4:$D$203,"*"&amp;L100&amp;"*")&gt;1,"⚠ أكثر من عميل — اكتب كلمة أوضح","⚠ غير موجود في الدليل"))))</f>
        <v/>
      </c>
      <c r="C100" s="8"/>
      <c r="D100" s="9" t="str">
        <f aca="false">IF(M100="","",IFERROR(INDEX('دليل الأصناف'!$A$4:$A$203,MATCH(M100,'دليل الأصناف'!$C$4:$C$203,0)),IF(COUNTIF('دليل الأصناف'!$D$4:$D$203,"*"&amp;M100&amp;"*")=1,INDEX('دليل الأصناف'!$A$4:$A$203,MATCH("*"&amp;M100&amp;"*",'دليل الأصناف'!$D$4:$D$203,0)),IF(COUNTIF('دليل الأصناف'!$D$4:$D$203,"*"&amp;M100&amp;"*")&gt;1,"⚠ أكثر من صنف — اكتب كلمة أوضح","⚠ غير موجود في الدليل"))))</f>
        <v/>
      </c>
      <c r="E100" s="10"/>
      <c r="F100" s="10"/>
      <c r="G100" s="10" t="s">
        <v>20</v>
      </c>
      <c r="H100" s="11" t="n">
        <f aca="false">IF(OR(E100="",F100=""),0,IF(G100="شامل الضريبة",ROUND(ROUND(E100*F100,2)/1.15,2),ROUND(E100*F100,2)))</f>
        <v>0</v>
      </c>
      <c r="I100" s="11" t="n">
        <f aca="false">IF(OR(E100="",F100=""),0,IF(G100="شامل الضريبة",ROUND(E100*F100,2)-H100,ROUND(H100*0.15,2)))</f>
        <v>0</v>
      </c>
      <c r="J100" s="12" t="n">
        <f aca="false">H100+I100</f>
        <v>0</v>
      </c>
      <c r="K100" s="8"/>
      <c r="L100" s="0" t="str">
        <f aca="false">SUBSTITUTE(SUBSTITUTE(SUBSTITUTE(SUBSTITUTE(SUBSTITUTE(SUBSTITUTE(TRIM(A100),"أ","ا"),"إ","ا"),"آ","ا"),"ة","ه"),"ى","ي"),"ـ","")</f>
        <v/>
      </c>
      <c r="M100" s="0" t="str">
        <f aca="false">SUBSTITUTE(SUBSTITUTE(SUBSTITUTE(SUBSTITUTE(SUBSTITUTE(SUBSTITUTE(TRIM(C100),"أ","ا"),"إ","ا"),"آ","ا"),"ة","ه"),"ى","ي"),"ـ","")</f>
        <v/>
      </c>
    </row>
    <row r="101" customFormat="false" ht="15" hidden="false" customHeight="false" outlineLevel="0" collapsed="false">
      <c r="A101" s="8"/>
      <c r="B101" s="9" t="str">
        <f aca="false">IF(L101="","",IFERROR(INDEX('دليل العملاء'!$A$4:$A$203,MATCH(L101,'دليل العملاء'!$C$4:$C$203,0)),IF(COUNTIF('دليل العملاء'!$D$4:$D$203,"*"&amp;L101&amp;"*")=1,INDEX('دليل العملاء'!$A$4:$A$203,MATCH("*"&amp;L101&amp;"*",'دليل العملاء'!$D$4:$D$203,0)),IF(COUNTIF('دليل العملاء'!$D$4:$D$203,"*"&amp;L101&amp;"*")&gt;1,"⚠ أكثر من عميل — اكتب كلمة أوضح","⚠ غير موجود في الدليل"))))</f>
        <v/>
      </c>
      <c r="C101" s="8"/>
      <c r="D101" s="9" t="str">
        <f aca="false">IF(M101="","",IFERROR(INDEX('دليل الأصناف'!$A$4:$A$203,MATCH(M101,'دليل الأصناف'!$C$4:$C$203,0)),IF(COUNTIF('دليل الأصناف'!$D$4:$D$203,"*"&amp;M101&amp;"*")=1,INDEX('دليل الأصناف'!$A$4:$A$203,MATCH("*"&amp;M101&amp;"*",'دليل الأصناف'!$D$4:$D$203,0)),IF(COUNTIF('دليل الأصناف'!$D$4:$D$203,"*"&amp;M101&amp;"*")&gt;1,"⚠ أكثر من صنف — اكتب كلمة أوضح","⚠ غير موجود في الدليل"))))</f>
        <v/>
      </c>
      <c r="E101" s="10"/>
      <c r="F101" s="10"/>
      <c r="G101" s="10" t="s">
        <v>20</v>
      </c>
      <c r="H101" s="11" t="n">
        <f aca="false">IF(OR(E101="",F101=""),0,IF(G101="شامل الضريبة",ROUND(ROUND(E101*F101,2)/1.15,2),ROUND(E101*F101,2)))</f>
        <v>0</v>
      </c>
      <c r="I101" s="11" t="n">
        <f aca="false">IF(OR(E101="",F101=""),0,IF(G101="شامل الضريبة",ROUND(E101*F101,2)-H101,ROUND(H101*0.15,2)))</f>
        <v>0</v>
      </c>
      <c r="J101" s="12" t="n">
        <f aca="false">H101+I101</f>
        <v>0</v>
      </c>
      <c r="K101" s="8"/>
      <c r="L101" s="0" t="str">
        <f aca="false">SUBSTITUTE(SUBSTITUTE(SUBSTITUTE(SUBSTITUTE(SUBSTITUTE(SUBSTITUTE(TRIM(A101),"أ","ا"),"إ","ا"),"آ","ا"),"ة","ه"),"ى","ي"),"ـ","")</f>
        <v/>
      </c>
      <c r="M101" s="0" t="str">
        <f aca="false">SUBSTITUTE(SUBSTITUTE(SUBSTITUTE(SUBSTITUTE(SUBSTITUTE(SUBSTITUTE(TRIM(C101),"أ","ا"),"إ","ا"),"آ","ا"),"ة","ه"),"ى","ي"),"ـ","")</f>
        <v/>
      </c>
    </row>
    <row r="102" customFormat="false" ht="15" hidden="false" customHeight="false" outlineLevel="0" collapsed="false">
      <c r="A102" s="8"/>
      <c r="B102" s="9" t="str">
        <f aca="false">IF(L102="","",IFERROR(INDEX('دليل العملاء'!$A$4:$A$203,MATCH(L102,'دليل العملاء'!$C$4:$C$203,0)),IF(COUNTIF('دليل العملاء'!$D$4:$D$203,"*"&amp;L102&amp;"*")=1,INDEX('دليل العملاء'!$A$4:$A$203,MATCH("*"&amp;L102&amp;"*",'دليل العملاء'!$D$4:$D$203,0)),IF(COUNTIF('دليل العملاء'!$D$4:$D$203,"*"&amp;L102&amp;"*")&gt;1,"⚠ أكثر من عميل — اكتب كلمة أوضح","⚠ غير موجود في الدليل"))))</f>
        <v/>
      </c>
      <c r="C102" s="8"/>
      <c r="D102" s="9" t="str">
        <f aca="false">IF(M102="","",IFERROR(INDEX('دليل الأصناف'!$A$4:$A$203,MATCH(M102,'دليل الأصناف'!$C$4:$C$203,0)),IF(COUNTIF('دليل الأصناف'!$D$4:$D$203,"*"&amp;M102&amp;"*")=1,INDEX('دليل الأصناف'!$A$4:$A$203,MATCH("*"&amp;M102&amp;"*",'دليل الأصناف'!$D$4:$D$203,0)),IF(COUNTIF('دليل الأصناف'!$D$4:$D$203,"*"&amp;M102&amp;"*")&gt;1,"⚠ أكثر من صنف — اكتب كلمة أوضح","⚠ غير موجود في الدليل"))))</f>
        <v/>
      </c>
      <c r="E102" s="10"/>
      <c r="F102" s="10"/>
      <c r="G102" s="10" t="s">
        <v>20</v>
      </c>
      <c r="H102" s="11" t="n">
        <f aca="false">IF(OR(E102="",F102=""),0,IF(G102="شامل الضريبة",ROUND(ROUND(E102*F102,2)/1.15,2),ROUND(E102*F102,2)))</f>
        <v>0</v>
      </c>
      <c r="I102" s="11" t="n">
        <f aca="false">IF(OR(E102="",F102=""),0,IF(G102="شامل الضريبة",ROUND(E102*F102,2)-H102,ROUND(H102*0.15,2)))</f>
        <v>0</v>
      </c>
      <c r="J102" s="12" t="n">
        <f aca="false">H102+I102</f>
        <v>0</v>
      </c>
      <c r="K102" s="8"/>
      <c r="L102" s="0" t="str">
        <f aca="false">SUBSTITUTE(SUBSTITUTE(SUBSTITUTE(SUBSTITUTE(SUBSTITUTE(SUBSTITUTE(TRIM(A102),"أ","ا"),"إ","ا"),"آ","ا"),"ة","ه"),"ى","ي"),"ـ","")</f>
        <v/>
      </c>
      <c r="M102" s="0" t="str">
        <f aca="false">SUBSTITUTE(SUBSTITUTE(SUBSTITUTE(SUBSTITUTE(SUBSTITUTE(SUBSTITUTE(TRIM(C102),"أ","ا"),"إ","ا"),"آ","ا"),"ة","ه"),"ى","ي"),"ـ","")</f>
        <v/>
      </c>
    </row>
    <row r="103" customFormat="false" ht="15" hidden="false" customHeight="false" outlineLevel="0" collapsed="false">
      <c r="A103" s="8"/>
      <c r="B103" s="9" t="str">
        <f aca="false">IF(L103="","",IFERROR(INDEX('دليل العملاء'!$A$4:$A$203,MATCH(L103,'دليل العملاء'!$C$4:$C$203,0)),IF(COUNTIF('دليل العملاء'!$D$4:$D$203,"*"&amp;L103&amp;"*")=1,INDEX('دليل العملاء'!$A$4:$A$203,MATCH("*"&amp;L103&amp;"*",'دليل العملاء'!$D$4:$D$203,0)),IF(COUNTIF('دليل العملاء'!$D$4:$D$203,"*"&amp;L103&amp;"*")&gt;1,"⚠ أكثر من عميل — اكتب كلمة أوضح","⚠ غير موجود في الدليل"))))</f>
        <v/>
      </c>
      <c r="C103" s="8"/>
      <c r="D103" s="9" t="str">
        <f aca="false">IF(M103="","",IFERROR(INDEX('دليل الأصناف'!$A$4:$A$203,MATCH(M103,'دليل الأصناف'!$C$4:$C$203,0)),IF(COUNTIF('دليل الأصناف'!$D$4:$D$203,"*"&amp;M103&amp;"*")=1,INDEX('دليل الأصناف'!$A$4:$A$203,MATCH("*"&amp;M103&amp;"*",'دليل الأصناف'!$D$4:$D$203,0)),IF(COUNTIF('دليل الأصناف'!$D$4:$D$203,"*"&amp;M103&amp;"*")&gt;1,"⚠ أكثر من صنف — اكتب كلمة أوضح","⚠ غير موجود في الدليل"))))</f>
        <v/>
      </c>
      <c r="E103" s="10"/>
      <c r="F103" s="10"/>
      <c r="G103" s="10" t="s">
        <v>20</v>
      </c>
      <c r="H103" s="11" t="n">
        <f aca="false">IF(OR(E103="",F103=""),0,IF(G103="شامل الضريبة",ROUND(ROUND(E103*F103,2)/1.15,2),ROUND(E103*F103,2)))</f>
        <v>0</v>
      </c>
      <c r="I103" s="11" t="n">
        <f aca="false">IF(OR(E103="",F103=""),0,IF(G103="شامل الضريبة",ROUND(E103*F103,2)-H103,ROUND(H103*0.15,2)))</f>
        <v>0</v>
      </c>
      <c r="J103" s="12" t="n">
        <f aca="false">H103+I103</f>
        <v>0</v>
      </c>
      <c r="K103" s="8"/>
      <c r="L103" s="0" t="str">
        <f aca="false">SUBSTITUTE(SUBSTITUTE(SUBSTITUTE(SUBSTITUTE(SUBSTITUTE(SUBSTITUTE(TRIM(A103),"أ","ا"),"إ","ا"),"آ","ا"),"ة","ه"),"ى","ي"),"ـ","")</f>
        <v/>
      </c>
      <c r="M103" s="0" t="str">
        <f aca="false">SUBSTITUTE(SUBSTITUTE(SUBSTITUTE(SUBSTITUTE(SUBSTITUTE(SUBSTITUTE(TRIM(C103),"أ","ا"),"إ","ا"),"آ","ا"),"ة","ه"),"ى","ي"),"ـ","")</f>
        <v/>
      </c>
    </row>
    <row r="104" customFormat="false" ht="15" hidden="false" customHeight="false" outlineLevel="0" collapsed="false">
      <c r="A104" s="8"/>
      <c r="B104" s="9" t="str">
        <f aca="false">IF(L104="","",IFERROR(INDEX('دليل العملاء'!$A$4:$A$203,MATCH(L104,'دليل العملاء'!$C$4:$C$203,0)),IF(COUNTIF('دليل العملاء'!$D$4:$D$203,"*"&amp;L104&amp;"*")=1,INDEX('دليل العملاء'!$A$4:$A$203,MATCH("*"&amp;L104&amp;"*",'دليل العملاء'!$D$4:$D$203,0)),IF(COUNTIF('دليل العملاء'!$D$4:$D$203,"*"&amp;L104&amp;"*")&gt;1,"⚠ أكثر من عميل — اكتب كلمة أوضح","⚠ غير موجود في الدليل"))))</f>
        <v/>
      </c>
      <c r="C104" s="8"/>
      <c r="D104" s="9" t="str">
        <f aca="false">IF(M104="","",IFERROR(INDEX('دليل الأصناف'!$A$4:$A$203,MATCH(M104,'دليل الأصناف'!$C$4:$C$203,0)),IF(COUNTIF('دليل الأصناف'!$D$4:$D$203,"*"&amp;M104&amp;"*")=1,INDEX('دليل الأصناف'!$A$4:$A$203,MATCH("*"&amp;M104&amp;"*",'دليل الأصناف'!$D$4:$D$203,0)),IF(COUNTIF('دليل الأصناف'!$D$4:$D$203,"*"&amp;M104&amp;"*")&gt;1,"⚠ أكثر من صنف — اكتب كلمة أوضح","⚠ غير موجود في الدليل"))))</f>
        <v/>
      </c>
      <c r="E104" s="10"/>
      <c r="F104" s="10"/>
      <c r="G104" s="10" t="s">
        <v>20</v>
      </c>
      <c r="H104" s="11" t="n">
        <f aca="false">IF(OR(E104="",F104=""),0,IF(G104="شامل الضريبة",ROUND(ROUND(E104*F104,2)/1.15,2),ROUND(E104*F104,2)))</f>
        <v>0</v>
      </c>
      <c r="I104" s="11" t="n">
        <f aca="false">IF(OR(E104="",F104=""),0,IF(G104="شامل الضريبة",ROUND(E104*F104,2)-H104,ROUND(H104*0.15,2)))</f>
        <v>0</v>
      </c>
      <c r="J104" s="12" t="n">
        <f aca="false">H104+I104</f>
        <v>0</v>
      </c>
      <c r="K104" s="8"/>
      <c r="L104" s="0" t="str">
        <f aca="false">SUBSTITUTE(SUBSTITUTE(SUBSTITUTE(SUBSTITUTE(SUBSTITUTE(SUBSTITUTE(TRIM(A104),"أ","ا"),"إ","ا"),"آ","ا"),"ة","ه"),"ى","ي"),"ـ","")</f>
        <v/>
      </c>
      <c r="M104" s="0" t="str">
        <f aca="false">SUBSTITUTE(SUBSTITUTE(SUBSTITUTE(SUBSTITUTE(SUBSTITUTE(SUBSTITUTE(TRIM(C104),"أ","ا"),"إ","ا"),"آ","ا"),"ة","ه"),"ى","ي"),"ـ","")</f>
        <v/>
      </c>
    </row>
    <row r="105" customFormat="false" ht="15" hidden="false" customHeight="false" outlineLevel="0" collapsed="false">
      <c r="A105" s="8"/>
      <c r="B105" s="9" t="str">
        <f aca="false">IF(L105="","",IFERROR(INDEX('دليل العملاء'!$A$4:$A$203,MATCH(L105,'دليل العملاء'!$C$4:$C$203,0)),IF(COUNTIF('دليل العملاء'!$D$4:$D$203,"*"&amp;L105&amp;"*")=1,INDEX('دليل العملاء'!$A$4:$A$203,MATCH("*"&amp;L105&amp;"*",'دليل العملاء'!$D$4:$D$203,0)),IF(COUNTIF('دليل العملاء'!$D$4:$D$203,"*"&amp;L105&amp;"*")&gt;1,"⚠ أكثر من عميل — اكتب كلمة أوضح","⚠ غير موجود في الدليل"))))</f>
        <v/>
      </c>
      <c r="C105" s="8"/>
      <c r="D105" s="9" t="str">
        <f aca="false">IF(M105="","",IFERROR(INDEX('دليل الأصناف'!$A$4:$A$203,MATCH(M105,'دليل الأصناف'!$C$4:$C$203,0)),IF(COUNTIF('دليل الأصناف'!$D$4:$D$203,"*"&amp;M105&amp;"*")=1,INDEX('دليل الأصناف'!$A$4:$A$203,MATCH("*"&amp;M105&amp;"*",'دليل الأصناف'!$D$4:$D$203,0)),IF(COUNTIF('دليل الأصناف'!$D$4:$D$203,"*"&amp;M105&amp;"*")&gt;1,"⚠ أكثر من صنف — اكتب كلمة أوضح","⚠ غير موجود في الدليل"))))</f>
        <v/>
      </c>
      <c r="E105" s="10"/>
      <c r="F105" s="10"/>
      <c r="G105" s="10" t="s">
        <v>20</v>
      </c>
      <c r="H105" s="11" t="n">
        <f aca="false">IF(OR(E105="",F105=""),0,IF(G105="شامل الضريبة",ROUND(ROUND(E105*F105,2)/1.15,2),ROUND(E105*F105,2)))</f>
        <v>0</v>
      </c>
      <c r="I105" s="11" t="n">
        <f aca="false">IF(OR(E105="",F105=""),0,IF(G105="شامل الضريبة",ROUND(E105*F105,2)-H105,ROUND(H105*0.15,2)))</f>
        <v>0</v>
      </c>
      <c r="J105" s="12" t="n">
        <f aca="false">H105+I105</f>
        <v>0</v>
      </c>
      <c r="K105" s="8"/>
      <c r="L105" s="0" t="str">
        <f aca="false">SUBSTITUTE(SUBSTITUTE(SUBSTITUTE(SUBSTITUTE(SUBSTITUTE(SUBSTITUTE(TRIM(A105),"أ","ا"),"إ","ا"),"آ","ا"),"ة","ه"),"ى","ي"),"ـ","")</f>
        <v/>
      </c>
      <c r="M105" s="0" t="str">
        <f aca="false">SUBSTITUTE(SUBSTITUTE(SUBSTITUTE(SUBSTITUTE(SUBSTITUTE(SUBSTITUTE(TRIM(C105),"أ","ا"),"إ","ا"),"آ","ا"),"ة","ه"),"ى","ي"),"ـ","")</f>
        <v/>
      </c>
    </row>
    <row r="106" customFormat="false" ht="15" hidden="false" customHeight="false" outlineLevel="0" collapsed="false">
      <c r="A106" s="8"/>
      <c r="B106" s="9" t="str">
        <f aca="false">IF(L106="","",IFERROR(INDEX('دليل العملاء'!$A$4:$A$203,MATCH(L106,'دليل العملاء'!$C$4:$C$203,0)),IF(COUNTIF('دليل العملاء'!$D$4:$D$203,"*"&amp;L106&amp;"*")=1,INDEX('دليل العملاء'!$A$4:$A$203,MATCH("*"&amp;L106&amp;"*",'دليل العملاء'!$D$4:$D$203,0)),IF(COUNTIF('دليل العملاء'!$D$4:$D$203,"*"&amp;L106&amp;"*")&gt;1,"⚠ أكثر من عميل — اكتب كلمة أوضح","⚠ غير موجود في الدليل"))))</f>
        <v/>
      </c>
      <c r="C106" s="8"/>
      <c r="D106" s="9" t="str">
        <f aca="false">IF(M106="","",IFERROR(INDEX('دليل الأصناف'!$A$4:$A$203,MATCH(M106,'دليل الأصناف'!$C$4:$C$203,0)),IF(COUNTIF('دليل الأصناف'!$D$4:$D$203,"*"&amp;M106&amp;"*")=1,INDEX('دليل الأصناف'!$A$4:$A$203,MATCH("*"&amp;M106&amp;"*",'دليل الأصناف'!$D$4:$D$203,0)),IF(COUNTIF('دليل الأصناف'!$D$4:$D$203,"*"&amp;M106&amp;"*")&gt;1,"⚠ أكثر من صنف — اكتب كلمة أوضح","⚠ غير موجود في الدليل"))))</f>
        <v/>
      </c>
      <c r="E106" s="10"/>
      <c r="F106" s="10"/>
      <c r="G106" s="10" t="s">
        <v>20</v>
      </c>
      <c r="H106" s="11" t="n">
        <f aca="false">IF(OR(E106="",F106=""),0,IF(G106="شامل الضريبة",ROUND(ROUND(E106*F106,2)/1.15,2),ROUND(E106*F106,2)))</f>
        <v>0</v>
      </c>
      <c r="I106" s="11" t="n">
        <f aca="false">IF(OR(E106="",F106=""),0,IF(G106="شامل الضريبة",ROUND(E106*F106,2)-H106,ROUND(H106*0.15,2)))</f>
        <v>0</v>
      </c>
      <c r="J106" s="12" t="n">
        <f aca="false">H106+I106</f>
        <v>0</v>
      </c>
      <c r="K106" s="8"/>
      <c r="L106" s="0" t="str">
        <f aca="false">SUBSTITUTE(SUBSTITUTE(SUBSTITUTE(SUBSTITUTE(SUBSTITUTE(SUBSTITUTE(TRIM(A106),"أ","ا"),"إ","ا"),"آ","ا"),"ة","ه"),"ى","ي"),"ـ","")</f>
        <v/>
      </c>
      <c r="M106" s="0" t="str">
        <f aca="false">SUBSTITUTE(SUBSTITUTE(SUBSTITUTE(SUBSTITUTE(SUBSTITUTE(SUBSTITUTE(TRIM(C106),"أ","ا"),"إ","ا"),"آ","ا"),"ة","ه"),"ى","ي"),"ـ","")</f>
        <v/>
      </c>
    </row>
    <row r="107" customFormat="false" ht="15" hidden="false" customHeight="false" outlineLevel="0" collapsed="false">
      <c r="A107" s="8"/>
      <c r="B107" s="9" t="str">
        <f aca="false">IF(L107="","",IFERROR(INDEX('دليل العملاء'!$A$4:$A$203,MATCH(L107,'دليل العملاء'!$C$4:$C$203,0)),IF(COUNTIF('دليل العملاء'!$D$4:$D$203,"*"&amp;L107&amp;"*")=1,INDEX('دليل العملاء'!$A$4:$A$203,MATCH("*"&amp;L107&amp;"*",'دليل العملاء'!$D$4:$D$203,0)),IF(COUNTIF('دليل العملاء'!$D$4:$D$203,"*"&amp;L107&amp;"*")&gt;1,"⚠ أكثر من عميل — اكتب كلمة أوضح","⚠ غير موجود في الدليل"))))</f>
        <v/>
      </c>
      <c r="C107" s="8"/>
      <c r="D107" s="9" t="str">
        <f aca="false">IF(M107="","",IFERROR(INDEX('دليل الأصناف'!$A$4:$A$203,MATCH(M107,'دليل الأصناف'!$C$4:$C$203,0)),IF(COUNTIF('دليل الأصناف'!$D$4:$D$203,"*"&amp;M107&amp;"*")=1,INDEX('دليل الأصناف'!$A$4:$A$203,MATCH("*"&amp;M107&amp;"*",'دليل الأصناف'!$D$4:$D$203,0)),IF(COUNTIF('دليل الأصناف'!$D$4:$D$203,"*"&amp;M107&amp;"*")&gt;1,"⚠ أكثر من صنف — اكتب كلمة أوضح","⚠ غير موجود في الدليل"))))</f>
        <v/>
      </c>
      <c r="E107" s="10"/>
      <c r="F107" s="10"/>
      <c r="G107" s="10" t="s">
        <v>20</v>
      </c>
      <c r="H107" s="11" t="n">
        <f aca="false">IF(OR(E107="",F107=""),0,IF(G107="شامل الضريبة",ROUND(ROUND(E107*F107,2)/1.15,2),ROUND(E107*F107,2)))</f>
        <v>0</v>
      </c>
      <c r="I107" s="11" t="n">
        <f aca="false">IF(OR(E107="",F107=""),0,IF(G107="شامل الضريبة",ROUND(E107*F107,2)-H107,ROUND(H107*0.15,2)))</f>
        <v>0</v>
      </c>
      <c r="J107" s="12" t="n">
        <f aca="false">H107+I107</f>
        <v>0</v>
      </c>
      <c r="K107" s="8"/>
      <c r="L107" s="0" t="str">
        <f aca="false">SUBSTITUTE(SUBSTITUTE(SUBSTITUTE(SUBSTITUTE(SUBSTITUTE(SUBSTITUTE(TRIM(A107),"أ","ا"),"إ","ا"),"آ","ا"),"ة","ه"),"ى","ي"),"ـ","")</f>
        <v/>
      </c>
      <c r="M107" s="0" t="str">
        <f aca="false">SUBSTITUTE(SUBSTITUTE(SUBSTITUTE(SUBSTITUTE(SUBSTITUTE(SUBSTITUTE(TRIM(C107),"أ","ا"),"إ","ا"),"آ","ا"),"ة","ه"),"ى","ي"),"ـ","")</f>
        <v/>
      </c>
    </row>
    <row r="108" customFormat="false" ht="15" hidden="false" customHeight="true" outlineLevel="0" collapsed="false">
      <c r="A108" s="13" t="s">
        <v>44</v>
      </c>
      <c r="B108" s="13"/>
      <c r="C108" s="13"/>
      <c r="D108" s="13"/>
      <c r="E108" s="13"/>
      <c r="F108" s="13"/>
      <c r="G108" s="13"/>
      <c r="H108" s="13" t="n">
        <f aca="false">SUM(H8:H107)</f>
        <v>11944.5</v>
      </c>
      <c r="I108" s="13" t="n">
        <f aca="false">SUM(I8:I107)</f>
        <v>1791.68</v>
      </c>
      <c r="J108" s="13" t="n">
        <f aca="false">SUM(J8:J107)</f>
        <v>13736.18</v>
      </c>
      <c r="K108" s="13"/>
    </row>
  </sheetData>
  <mergeCells count="14">
    <mergeCell ref="A1:K1"/>
    <mergeCell ref="A2:K2"/>
    <mergeCell ref="A3:B3"/>
    <mergeCell ref="C3:D3"/>
    <mergeCell ref="E3:G3"/>
    <mergeCell ref="H3:I3"/>
    <mergeCell ref="J3:K3"/>
    <mergeCell ref="A4:B4"/>
    <mergeCell ref="C4:D4"/>
    <mergeCell ref="E4:G4"/>
    <mergeCell ref="H4:I4"/>
    <mergeCell ref="J4:K4"/>
    <mergeCell ref="A6:K6"/>
    <mergeCell ref="A108:G108"/>
  </mergeCells>
  <conditionalFormatting sqref="J4">
    <cfRule type="expression" priority="2" aboveAverage="0" equalAverage="0" bottom="0" percent="0" rank="0" text="" dxfId="0">
      <formula>$J$4&gt;0</formula>
    </cfRule>
  </conditionalFormatting>
  <conditionalFormatting sqref="B8:B107 D8:D107">
    <cfRule type="expression" priority="3" aboveAverage="0" equalAverage="0" bottom="0" percent="0" rank="0" text="" dxfId="0">
      <formula>LEFT(B8,1)="⚠"</formula>
    </cfRule>
  </conditionalFormatting>
  <conditionalFormatting sqref="E8:F107">
    <cfRule type="expression" priority="4" aboveAverage="0" equalAverage="0" bottom="0" percent="0" rank="0" text="" dxfId="1">
      <formula>AND(E8="",OR($A8&lt;&gt;"",$C8&lt;&gt;""))</formula>
    </cfRule>
  </conditionalFormatting>
  <dataValidations count="2">
    <dataValidation allowBlank="false" error="اختر: غير شامل الضريبة أو شامل الضريبة." errorStyle="stop" errorTitle="نوع السعر" operator="between" showDropDown="false" showErrorMessage="true" showInputMessage="false" sqref="G8:G107" type="list">
      <formula1>"غير شامل الضريبة,شامل الضريبة"</formula1>
      <formula2>0</formula2>
    </dataValidation>
    <dataValidation allowBlank="true" error="اكتب رقماً أكبر من صفر." errorStyle="stop" errorTitle="رقم غير صحيح" operator="greaterThan" showDropDown="false" showErrorMessage="true" showInputMessage="false" sqref="E8:F107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true"/>
  </sheetPr>
  <dimension ref="A1:G20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18"/>
  </cols>
  <sheetData>
    <row r="1" customFormat="false" ht="36" hidden="false" customHeight="true" outlineLevel="0" collapsed="false">
      <c r="A1" s="1" t="s">
        <v>45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tr">
        <f aca="true">"مبيعات يوم: "&amp;TEXT(TODAY(),"yyyy/mm/dd")</f>
        <v>مبيعات يوم: 2026/10/24</v>
      </c>
      <c r="B2" s="2"/>
      <c r="C2" s="2"/>
      <c r="D2" s="2"/>
      <c r="E2" s="2"/>
      <c r="F2" s="2"/>
      <c r="G2" s="2"/>
    </row>
    <row r="4" customFormat="false" ht="39.75" hidden="false" customHeight="true" outlineLevel="0" collapsed="false">
      <c r="A4" s="7" t="s">
        <v>46</v>
      </c>
      <c r="B4" s="7" t="s">
        <v>47</v>
      </c>
      <c r="C4" s="7" t="s">
        <v>4</v>
      </c>
      <c r="D4" s="7" t="s">
        <v>48</v>
      </c>
      <c r="E4" s="7" t="s">
        <v>14</v>
      </c>
      <c r="F4" s="7" t="s">
        <v>49</v>
      </c>
      <c r="G4" s="7" t="s">
        <v>16</v>
      </c>
    </row>
    <row r="5" customFormat="false" ht="15" hidden="false" customHeight="false" outlineLevel="0" collapsed="false">
      <c r="A5" s="14" t="n">
        <f aca="false">IF(B5="","",1)</f>
        <v>1</v>
      </c>
      <c r="B5" s="15" t="str">
        <f aca="false">IF('دليل العملاء'!A4="","",'دليل العملاء'!A4)</f>
        <v>شركة التخصص الذهبي -النسيم</v>
      </c>
      <c r="C5" s="14" t="n">
        <f aca="false">IF(B5="","",COUNTIF('المبيعات اليومية'!$B$8:$B$107,B5))</f>
        <v>0</v>
      </c>
      <c r="D5" s="14" t="n">
        <f aca="false">IF(B5="","",SUMIF('المبيعات اليومية'!$B$8:$B$107,B5,'المبيعات اليومية'!$E$8:$E$107))</f>
        <v>0</v>
      </c>
      <c r="E5" s="11" t="n">
        <f aca="false">IF(B5="","",SUMIF('المبيعات اليومية'!$B$8:$B$107,B5,'المبيعات اليومية'!$H$8:$H$107))</f>
        <v>0</v>
      </c>
      <c r="F5" s="11" t="n">
        <f aca="false">IF(B5="","",SUMIF('المبيعات اليومية'!$B$8:$B$107,B5,'المبيعات اليومية'!$I$8:$I$107))</f>
        <v>0</v>
      </c>
      <c r="G5" s="11" t="n">
        <f aca="false">IF(B5="","",SUMIF('المبيعات اليومية'!$B$8:$B$107,B5,'المبيعات اليومية'!$J$8:$J$107))</f>
        <v>0</v>
      </c>
    </row>
    <row r="6" customFormat="false" ht="15" hidden="false" customHeight="false" outlineLevel="0" collapsed="false">
      <c r="A6" s="14" t="n">
        <f aca="false">IF(B6="","",2)</f>
        <v>2</v>
      </c>
      <c r="B6" s="15" t="str">
        <f aca="false">IF('دليل العملاء'!A5="","",'دليل العملاء'!A5)</f>
        <v>شركة التخصص الذهبي -حراء</v>
      </c>
      <c r="C6" s="14" t="n">
        <f aca="false">IF(B6="","",COUNTIF('المبيعات اليومية'!$B$8:$B$107,B6))</f>
        <v>1</v>
      </c>
      <c r="D6" s="14" t="n">
        <f aca="false">IF(B6="","",SUMIF('المبيعات اليومية'!$B$8:$B$107,B6,'المبيعات اليومية'!$E$8:$E$107))</f>
        <v>297</v>
      </c>
      <c r="E6" s="11" t="n">
        <f aca="false">IF(B6="","",SUMIF('المبيعات اليومية'!$B$8:$B$107,B6,'المبيعات اليومية'!$H$8:$H$107))</f>
        <v>2524.5</v>
      </c>
      <c r="F6" s="11" t="n">
        <f aca="false">IF(B6="","",SUMIF('المبيعات اليومية'!$B$8:$B$107,B6,'المبيعات اليومية'!$I$8:$I$107))</f>
        <v>378.68</v>
      </c>
      <c r="G6" s="11" t="n">
        <f aca="false">IF(B6="","",SUMIF('المبيعات اليومية'!$B$8:$B$107,B6,'المبيعات اليومية'!$J$8:$J$107))</f>
        <v>2903.18</v>
      </c>
    </row>
    <row r="7" customFormat="false" ht="15" hidden="false" customHeight="false" outlineLevel="0" collapsed="false">
      <c r="A7" s="14" t="n">
        <f aca="false">IF(B7="","",3)</f>
        <v>3</v>
      </c>
      <c r="B7" s="15" t="str">
        <f aca="false">IF('دليل العملاء'!A6="","",'دليل العملاء'!A6)</f>
        <v>شركة التخصص الذهبي -المنار</v>
      </c>
      <c r="C7" s="14" t="n">
        <f aca="false">IF(B7="","",COUNTIF('المبيعات اليومية'!$B$8:$B$107,B7))</f>
        <v>0</v>
      </c>
      <c r="D7" s="14" t="n">
        <f aca="false">IF(B7="","",SUMIF('المبيعات اليومية'!$B$8:$B$107,B7,'المبيعات اليومية'!$E$8:$E$107))</f>
        <v>0</v>
      </c>
      <c r="E7" s="11" t="n">
        <f aca="false">IF(B7="","",SUMIF('المبيعات اليومية'!$B$8:$B$107,B7,'المبيعات اليومية'!$H$8:$H$107))</f>
        <v>0</v>
      </c>
      <c r="F7" s="11" t="n">
        <f aca="false">IF(B7="","",SUMIF('المبيعات اليومية'!$B$8:$B$107,B7,'المبيعات اليومية'!$I$8:$I$107))</f>
        <v>0</v>
      </c>
      <c r="G7" s="11" t="n">
        <f aca="false">IF(B7="","",SUMIF('المبيعات اليومية'!$B$8:$B$107,B7,'المبيعات اليومية'!$J$8:$J$107))</f>
        <v>0</v>
      </c>
    </row>
    <row r="8" customFormat="false" ht="15" hidden="false" customHeight="false" outlineLevel="0" collapsed="false">
      <c r="A8" s="14" t="n">
        <f aca="false">IF(B8="","",4)</f>
        <v>4</v>
      </c>
      <c r="B8" s="15" t="str">
        <f aca="false">IF('دليل العملاء'!A7="","",'دليل العملاء'!A7)</f>
        <v>شركة التخصص الذهبي -الصفا</v>
      </c>
      <c r="C8" s="14" t="n">
        <f aca="false">IF(B8="","",COUNTIF('المبيعات اليومية'!$B$8:$B$107,B8))</f>
        <v>1</v>
      </c>
      <c r="D8" s="14" t="n">
        <f aca="false">IF(B8="","",SUMIF('المبيعات اليومية'!$B$8:$B$107,B8,'المبيعات اليومية'!$E$8:$E$107))</f>
        <v>150</v>
      </c>
      <c r="E8" s="11" t="n">
        <f aca="false">IF(B8="","",SUMIF('المبيعات اليومية'!$B$8:$B$107,B8,'المبيعات اليومية'!$H$8:$H$107))</f>
        <v>750</v>
      </c>
      <c r="F8" s="11" t="n">
        <f aca="false">IF(B8="","",SUMIF('المبيعات اليومية'!$B$8:$B$107,B8,'المبيعات اليومية'!$I$8:$I$107))</f>
        <v>112.5</v>
      </c>
      <c r="G8" s="11" t="n">
        <f aca="false">IF(B8="","",SUMIF('المبيعات اليومية'!$B$8:$B$107,B8,'المبيعات اليومية'!$J$8:$J$107))</f>
        <v>862.5</v>
      </c>
    </row>
    <row r="9" customFormat="false" ht="15" hidden="false" customHeight="false" outlineLevel="0" collapsed="false">
      <c r="A9" s="14" t="n">
        <f aca="false">IF(B9="","",5)</f>
        <v>5</v>
      </c>
      <c r="B9" s="15" t="str">
        <f aca="false">IF('دليل العملاء'!A8="","",'دليل العملاء'!A8)</f>
        <v>شركة التخصص الذهبي -الربوه</v>
      </c>
      <c r="C9" s="14" t="n">
        <f aca="false">IF(B9="","",COUNTIF('المبيعات اليومية'!$B$8:$B$107,B9))</f>
        <v>1</v>
      </c>
      <c r="D9" s="14" t="n">
        <f aca="false">IF(B9="","",SUMIF('المبيعات اليومية'!$B$8:$B$107,B9,'المبيعات اليومية'!$E$8:$E$107))</f>
        <v>470</v>
      </c>
      <c r="E9" s="11" t="n">
        <f aca="false">IF(B9="","",SUMIF('المبيعات اليومية'!$B$8:$B$107,B9,'المبيعات اليومية'!$H$8:$H$107))</f>
        <v>2115</v>
      </c>
      <c r="F9" s="11" t="n">
        <f aca="false">IF(B9="","",SUMIF('المبيعات اليومية'!$B$8:$B$107,B9,'المبيعات اليومية'!$I$8:$I$107))</f>
        <v>317.25</v>
      </c>
      <c r="G9" s="11" t="n">
        <f aca="false">IF(B9="","",SUMIF('المبيعات اليومية'!$B$8:$B$107,B9,'المبيعات اليومية'!$J$8:$J$107))</f>
        <v>2432.25</v>
      </c>
    </row>
    <row r="10" customFormat="false" ht="15" hidden="false" customHeight="false" outlineLevel="0" collapsed="false">
      <c r="A10" s="14" t="n">
        <f aca="false">IF(B10="","",6)</f>
        <v>6</v>
      </c>
      <c r="B10" s="15" t="str">
        <f aca="false">IF('دليل العملاء'!A9="","",'دليل العملاء'!A9)</f>
        <v>شركة التخصص الذهبي -الرحاب</v>
      </c>
      <c r="C10" s="14" t="n">
        <f aca="false">IF(B10="","",COUNTIF('المبيعات اليومية'!$B$8:$B$107,B10))</f>
        <v>0</v>
      </c>
      <c r="D10" s="14" t="n">
        <f aca="false">IF(B10="","",SUMIF('المبيعات اليومية'!$B$8:$B$107,B10,'المبيعات اليومية'!$E$8:$E$107))</f>
        <v>0</v>
      </c>
      <c r="E10" s="11" t="n">
        <f aca="false">IF(B10="","",SUMIF('المبيعات اليومية'!$B$8:$B$107,B10,'المبيعات اليومية'!$H$8:$H$107))</f>
        <v>0</v>
      </c>
      <c r="F10" s="11" t="n">
        <f aca="false">IF(B10="","",SUMIF('المبيعات اليومية'!$B$8:$B$107,B10,'المبيعات اليومية'!$I$8:$I$107))</f>
        <v>0</v>
      </c>
      <c r="G10" s="11" t="n">
        <f aca="false">IF(B10="","",SUMIF('المبيعات اليومية'!$B$8:$B$107,B10,'المبيعات اليومية'!$J$8:$J$107))</f>
        <v>0</v>
      </c>
    </row>
    <row r="11" customFormat="false" ht="15" hidden="false" customHeight="false" outlineLevel="0" collapsed="false">
      <c r="A11" s="14" t="n">
        <f aca="false">IF(B11="","",7)</f>
        <v>7</v>
      </c>
      <c r="B11" s="15" t="str">
        <f aca="false">IF('دليل العملاء'!A10="","",'دليل العملاء'!A10)</f>
        <v>عبر الإقليم</v>
      </c>
      <c r="C11" s="14" t="n">
        <f aca="false">IF(B11="","",COUNTIF('المبيعات اليومية'!$B$8:$B$107,B11))</f>
        <v>1</v>
      </c>
      <c r="D11" s="14" t="n">
        <f aca="false">IF(B11="","",SUMIF('المبيعات اليومية'!$B$8:$B$107,B11,'المبيعات اليومية'!$E$8:$E$107))</f>
        <v>200</v>
      </c>
      <c r="E11" s="11" t="n">
        <f aca="false">IF(B11="","",SUMIF('المبيعات اليومية'!$B$8:$B$107,B11,'المبيعات اليومية'!$H$8:$H$107))</f>
        <v>1600</v>
      </c>
      <c r="F11" s="11" t="n">
        <f aca="false">IF(B11="","",SUMIF('المبيعات اليومية'!$B$8:$B$107,B11,'المبيعات اليومية'!$I$8:$I$107))</f>
        <v>240</v>
      </c>
      <c r="G11" s="11" t="n">
        <f aca="false">IF(B11="","",SUMIF('المبيعات اليومية'!$B$8:$B$107,B11,'المبيعات اليومية'!$J$8:$J$107))</f>
        <v>1840</v>
      </c>
    </row>
    <row r="12" customFormat="false" ht="15" hidden="false" customHeight="false" outlineLevel="0" collapsed="false">
      <c r="A12" s="14" t="n">
        <f aca="false">IF(B12="","",8)</f>
        <v>8</v>
      </c>
      <c r="B12" s="15" t="str">
        <f aca="false">IF('دليل العملاء'!A11="","",'دليل العملاء'!A11)</f>
        <v>حقيبة الفواكه</v>
      </c>
      <c r="C12" s="14" t="n">
        <f aca="false">IF(B12="","",COUNTIF('المبيعات اليومية'!$B$8:$B$107,B12))</f>
        <v>1</v>
      </c>
      <c r="D12" s="14" t="n">
        <f aca="false">IF(B12="","",SUMIF('المبيعات اليومية'!$B$8:$B$107,B12,'المبيعات اليومية'!$E$8:$E$107))</f>
        <v>150</v>
      </c>
      <c r="E12" s="11" t="n">
        <f aca="false">IF(B12="","",SUMIF('المبيعات اليومية'!$B$8:$B$107,B12,'المبيعات اليومية'!$H$8:$H$107))</f>
        <v>1125</v>
      </c>
      <c r="F12" s="11" t="n">
        <f aca="false">IF(B12="","",SUMIF('المبيعات اليومية'!$B$8:$B$107,B12,'المبيعات اليومية'!$I$8:$I$107))</f>
        <v>168.75</v>
      </c>
      <c r="G12" s="11" t="n">
        <f aca="false">IF(B12="","",SUMIF('المبيعات اليومية'!$B$8:$B$107,B12,'المبيعات اليومية'!$J$8:$J$107))</f>
        <v>1293.75</v>
      </c>
    </row>
    <row r="13" customFormat="false" ht="15" hidden="false" customHeight="false" outlineLevel="0" collapsed="false">
      <c r="A13" s="14" t="n">
        <f aca="false">IF(B13="","",9)</f>
        <v>9</v>
      </c>
      <c r="B13" s="15" t="str">
        <f aca="false">IF('دليل العملاء'!A12="","",'دليل العملاء'!A12)</f>
        <v>فيض الكرم</v>
      </c>
      <c r="C13" s="14" t="n">
        <f aca="false">IF(B13="","",COUNTIF('المبيعات اليومية'!$B$8:$B$107,B13))</f>
        <v>1</v>
      </c>
      <c r="D13" s="14" t="n">
        <f aca="false">IF(B13="","",SUMIF('المبيعات اليومية'!$B$8:$B$107,B13,'المبيعات اليومية'!$E$8:$E$107))</f>
        <v>80</v>
      </c>
      <c r="E13" s="11" t="n">
        <f aca="false">IF(B13="","",SUMIF('المبيعات اليومية'!$B$8:$B$107,B13,'المبيعات اليومية'!$H$8:$H$107))</f>
        <v>1000</v>
      </c>
      <c r="F13" s="11" t="n">
        <f aca="false">IF(B13="","",SUMIF('المبيعات اليومية'!$B$8:$B$107,B13,'المبيعات اليومية'!$I$8:$I$107))</f>
        <v>150</v>
      </c>
      <c r="G13" s="11" t="n">
        <f aca="false">IF(B13="","",SUMIF('المبيعات اليومية'!$B$8:$B$107,B13,'المبيعات اليومية'!$J$8:$J$107))</f>
        <v>1150</v>
      </c>
    </row>
    <row r="14" customFormat="false" ht="15" hidden="false" customHeight="false" outlineLevel="0" collapsed="false">
      <c r="A14" s="14" t="n">
        <f aca="false">IF(B14="","",10)</f>
        <v>10</v>
      </c>
      <c r="B14" s="15" t="str">
        <f aca="false">IF('دليل العملاء'!A13="","",'دليل العملاء'!A13)</f>
        <v>غصون الفاكهه</v>
      </c>
      <c r="C14" s="14" t="n">
        <f aca="false">IF(B14="","",COUNTIF('المبيعات اليومية'!$B$8:$B$107,B14))</f>
        <v>1</v>
      </c>
      <c r="D14" s="14" t="n">
        <f aca="false">IF(B14="","",SUMIF('المبيعات اليومية'!$B$8:$B$107,B14,'المبيعات اليومية'!$E$8:$E$107))</f>
        <v>350</v>
      </c>
      <c r="E14" s="11" t="n">
        <f aca="false">IF(B14="","",SUMIF('المبيعات اليومية'!$B$8:$B$107,B14,'المبيعات اليومية'!$H$8:$H$107))</f>
        <v>1750</v>
      </c>
      <c r="F14" s="11" t="n">
        <f aca="false">IF(B14="","",SUMIF('المبيعات اليومية'!$B$8:$B$107,B14,'المبيعات اليومية'!$I$8:$I$107))</f>
        <v>262.5</v>
      </c>
      <c r="G14" s="11" t="n">
        <f aca="false">IF(B14="","",SUMIF('المبيعات اليومية'!$B$8:$B$107,B14,'المبيعات اليومية'!$J$8:$J$107))</f>
        <v>2012.5</v>
      </c>
    </row>
    <row r="15" customFormat="false" ht="15" hidden="false" customHeight="false" outlineLevel="0" collapsed="false">
      <c r="A15" s="14" t="n">
        <f aca="false">IF(B15="","",11)</f>
        <v>11</v>
      </c>
      <c r="B15" s="15" t="str">
        <f aca="false">IF('دليل العملاء'!A14="","",'دليل العملاء'!A14)</f>
        <v>نقاوه بس</v>
      </c>
      <c r="C15" s="14" t="n">
        <f aca="false">IF(B15="","",COUNTIF('المبيعات اليومية'!$B$8:$B$107,B15))</f>
        <v>1</v>
      </c>
      <c r="D15" s="14" t="n">
        <f aca="false">IF(B15="","",SUMIF('المبيعات اليومية'!$B$8:$B$107,B15,'المبيعات اليومية'!$E$8:$E$107))</f>
        <v>120</v>
      </c>
      <c r="E15" s="11" t="n">
        <f aca="false">IF(B15="","",SUMIF('المبيعات اليومية'!$B$8:$B$107,B15,'المبيعات اليومية'!$H$8:$H$107))</f>
        <v>1080</v>
      </c>
      <c r="F15" s="11" t="n">
        <f aca="false">IF(B15="","",SUMIF('المبيعات اليومية'!$B$8:$B$107,B15,'المبيعات اليومية'!$I$8:$I$107))</f>
        <v>162</v>
      </c>
      <c r="G15" s="11" t="n">
        <f aca="false">IF(B15="","",SUMIF('المبيعات اليومية'!$B$8:$B$107,B15,'المبيعات اليومية'!$J$8:$J$107))</f>
        <v>1242</v>
      </c>
    </row>
    <row r="16" customFormat="false" ht="15" hidden="false" customHeight="false" outlineLevel="0" collapsed="false">
      <c r="A16" s="14" t="str">
        <f aca="false">IF(B16="","",12)</f>
        <v/>
      </c>
      <c r="B16" s="15" t="str">
        <f aca="false">IF('دليل العملاء'!A15="","",'دليل العملاء'!A15)</f>
        <v/>
      </c>
      <c r="C16" s="14" t="str">
        <f aca="false">IF(B16="","",COUNTIF('المبيعات اليومية'!$B$8:$B$107,B16))</f>
        <v/>
      </c>
      <c r="D16" s="14" t="str">
        <f aca="false">IF(B16="","",SUMIF('المبيعات اليومية'!$B$8:$B$107,B16,'المبيعات اليومية'!$E$8:$E$107))</f>
        <v/>
      </c>
      <c r="E16" s="11" t="str">
        <f aca="false">IF(B16="","",SUMIF('المبيعات اليومية'!$B$8:$B$107,B16,'المبيعات اليومية'!$H$8:$H$107))</f>
        <v/>
      </c>
      <c r="F16" s="11" t="str">
        <f aca="false">IF(B16="","",SUMIF('المبيعات اليومية'!$B$8:$B$107,B16,'المبيعات اليومية'!$I$8:$I$107))</f>
        <v/>
      </c>
      <c r="G16" s="11" t="str">
        <f aca="false">IF(B16="","",SUMIF('المبيعات اليومية'!$B$8:$B$107,B16,'المبيعات اليومية'!$J$8:$J$107))</f>
        <v/>
      </c>
    </row>
    <row r="17" customFormat="false" ht="15" hidden="false" customHeight="false" outlineLevel="0" collapsed="false">
      <c r="A17" s="14" t="str">
        <f aca="false">IF(B17="","",13)</f>
        <v/>
      </c>
      <c r="B17" s="15" t="str">
        <f aca="false">IF('دليل العملاء'!A16="","",'دليل العملاء'!A16)</f>
        <v/>
      </c>
      <c r="C17" s="14" t="str">
        <f aca="false">IF(B17="","",COUNTIF('المبيعات اليومية'!$B$8:$B$107,B17))</f>
        <v/>
      </c>
      <c r="D17" s="14" t="str">
        <f aca="false">IF(B17="","",SUMIF('المبيعات اليومية'!$B$8:$B$107,B17,'المبيعات اليومية'!$E$8:$E$107))</f>
        <v/>
      </c>
      <c r="E17" s="11" t="str">
        <f aca="false">IF(B17="","",SUMIF('المبيعات اليومية'!$B$8:$B$107,B17,'المبيعات اليومية'!$H$8:$H$107))</f>
        <v/>
      </c>
      <c r="F17" s="11" t="str">
        <f aca="false">IF(B17="","",SUMIF('المبيعات اليومية'!$B$8:$B$107,B17,'المبيعات اليومية'!$I$8:$I$107))</f>
        <v/>
      </c>
      <c r="G17" s="11" t="str">
        <f aca="false">IF(B17="","",SUMIF('المبيعات اليومية'!$B$8:$B$107,B17,'المبيعات اليومية'!$J$8:$J$107))</f>
        <v/>
      </c>
    </row>
    <row r="18" customFormat="false" ht="15" hidden="false" customHeight="false" outlineLevel="0" collapsed="false">
      <c r="A18" s="14" t="str">
        <f aca="false">IF(B18="","",14)</f>
        <v/>
      </c>
      <c r="B18" s="15" t="str">
        <f aca="false">IF('دليل العملاء'!A17="","",'دليل العملاء'!A17)</f>
        <v/>
      </c>
      <c r="C18" s="14" t="str">
        <f aca="false">IF(B18="","",COUNTIF('المبيعات اليومية'!$B$8:$B$107,B18))</f>
        <v/>
      </c>
      <c r="D18" s="14" t="str">
        <f aca="false">IF(B18="","",SUMIF('المبيعات اليومية'!$B$8:$B$107,B18,'المبيعات اليومية'!$E$8:$E$107))</f>
        <v/>
      </c>
      <c r="E18" s="11" t="str">
        <f aca="false">IF(B18="","",SUMIF('المبيعات اليومية'!$B$8:$B$107,B18,'المبيعات اليومية'!$H$8:$H$107))</f>
        <v/>
      </c>
      <c r="F18" s="11" t="str">
        <f aca="false">IF(B18="","",SUMIF('المبيعات اليومية'!$B$8:$B$107,B18,'المبيعات اليومية'!$I$8:$I$107))</f>
        <v/>
      </c>
      <c r="G18" s="11" t="str">
        <f aca="false">IF(B18="","",SUMIF('المبيعات اليومية'!$B$8:$B$107,B18,'المبيعات اليومية'!$J$8:$J$107))</f>
        <v/>
      </c>
    </row>
    <row r="19" customFormat="false" ht="15" hidden="false" customHeight="false" outlineLevel="0" collapsed="false">
      <c r="A19" s="14" t="str">
        <f aca="false">IF(B19="","",15)</f>
        <v/>
      </c>
      <c r="B19" s="15" t="str">
        <f aca="false">IF('دليل العملاء'!A18="","",'دليل العملاء'!A18)</f>
        <v/>
      </c>
      <c r="C19" s="14" t="str">
        <f aca="false">IF(B19="","",COUNTIF('المبيعات اليومية'!$B$8:$B$107,B19))</f>
        <v/>
      </c>
      <c r="D19" s="14" t="str">
        <f aca="false">IF(B19="","",SUMIF('المبيعات اليومية'!$B$8:$B$107,B19,'المبيعات اليومية'!$E$8:$E$107))</f>
        <v/>
      </c>
      <c r="E19" s="11" t="str">
        <f aca="false">IF(B19="","",SUMIF('المبيعات اليومية'!$B$8:$B$107,B19,'المبيعات اليومية'!$H$8:$H$107))</f>
        <v/>
      </c>
      <c r="F19" s="11" t="str">
        <f aca="false">IF(B19="","",SUMIF('المبيعات اليومية'!$B$8:$B$107,B19,'المبيعات اليومية'!$I$8:$I$107))</f>
        <v/>
      </c>
      <c r="G19" s="11" t="str">
        <f aca="false">IF(B19="","",SUMIF('المبيعات اليومية'!$B$8:$B$107,B19,'المبيعات اليومية'!$J$8:$J$107))</f>
        <v/>
      </c>
    </row>
    <row r="20" customFormat="false" ht="15" hidden="false" customHeight="false" outlineLevel="0" collapsed="false">
      <c r="A20" s="14" t="str">
        <f aca="false">IF(B20="","",16)</f>
        <v/>
      </c>
      <c r="B20" s="15" t="str">
        <f aca="false">IF('دليل العملاء'!A19="","",'دليل العملاء'!A19)</f>
        <v/>
      </c>
      <c r="C20" s="14" t="str">
        <f aca="false">IF(B20="","",COUNTIF('المبيعات اليومية'!$B$8:$B$107,B20))</f>
        <v/>
      </c>
      <c r="D20" s="14" t="str">
        <f aca="false">IF(B20="","",SUMIF('المبيعات اليومية'!$B$8:$B$107,B20,'المبيعات اليومية'!$E$8:$E$107))</f>
        <v/>
      </c>
      <c r="E20" s="11" t="str">
        <f aca="false">IF(B20="","",SUMIF('المبيعات اليومية'!$B$8:$B$107,B20,'المبيعات اليومية'!$H$8:$H$107))</f>
        <v/>
      </c>
      <c r="F20" s="11" t="str">
        <f aca="false">IF(B20="","",SUMIF('المبيعات اليومية'!$B$8:$B$107,B20,'المبيعات اليومية'!$I$8:$I$107))</f>
        <v/>
      </c>
      <c r="G20" s="11" t="str">
        <f aca="false">IF(B20="","",SUMIF('المبيعات اليومية'!$B$8:$B$107,B20,'المبيعات اليومية'!$J$8:$J$107))</f>
        <v/>
      </c>
    </row>
    <row r="21" customFormat="false" ht="15" hidden="false" customHeight="false" outlineLevel="0" collapsed="false">
      <c r="A21" s="14" t="str">
        <f aca="false">IF(B21="","",17)</f>
        <v/>
      </c>
      <c r="B21" s="15" t="str">
        <f aca="false">IF('دليل العملاء'!A20="","",'دليل العملاء'!A20)</f>
        <v/>
      </c>
      <c r="C21" s="14" t="str">
        <f aca="false">IF(B21="","",COUNTIF('المبيعات اليومية'!$B$8:$B$107,B21))</f>
        <v/>
      </c>
      <c r="D21" s="14" t="str">
        <f aca="false">IF(B21="","",SUMIF('المبيعات اليومية'!$B$8:$B$107,B21,'المبيعات اليومية'!$E$8:$E$107))</f>
        <v/>
      </c>
      <c r="E21" s="11" t="str">
        <f aca="false">IF(B21="","",SUMIF('المبيعات اليومية'!$B$8:$B$107,B21,'المبيعات اليومية'!$H$8:$H$107))</f>
        <v/>
      </c>
      <c r="F21" s="11" t="str">
        <f aca="false">IF(B21="","",SUMIF('المبيعات اليومية'!$B$8:$B$107,B21,'المبيعات اليومية'!$I$8:$I$107))</f>
        <v/>
      </c>
      <c r="G21" s="11" t="str">
        <f aca="false">IF(B21="","",SUMIF('المبيعات اليومية'!$B$8:$B$107,B21,'المبيعات اليومية'!$J$8:$J$107))</f>
        <v/>
      </c>
    </row>
    <row r="22" customFormat="false" ht="15" hidden="false" customHeight="false" outlineLevel="0" collapsed="false">
      <c r="A22" s="14" t="str">
        <f aca="false">IF(B22="","",18)</f>
        <v/>
      </c>
      <c r="B22" s="15" t="str">
        <f aca="false">IF('دليل العملاء'!A21="","",'دليل العملاء'!A21)</f>
        <v/>
      </c>
      <c r="C22" s="14" t="str">
        <f aca="false">IF(B22="","",COUNTIF('المبيعات اليومية'!$B$8:$B$107,B22))</f>
        <v/>
      </c>
      <c r="D22" s="14" t="str">
        <f aca="false">IF(B22="","",SUMIF('المبيعات اليومية'!$B$8:$B$107,B22,'المبيعات اليومية'!$E$8:$E$107))</f>
        <v/>
      </c>
      <c r="E22" s="11" t="str">
        <f aca="false">IF(B22="","",SUMIF('المبيعات اليومية'!$B$8:$B$107,B22,'المبيعات اليومية'!$H$8:$H$107))</f>
        <v/>
      </c>
      <c r="F22" s="11" t="str">
        <f aca="false">IF(B22="","",SUMIF('المبيعات اليومية'!$B$8:$B$107,B22,'المبيعات اليومية'!$I$8:$I$107))</f>
        <v/>
      </c>
      <c r="G22" s="11" t="str">
        <f aca="false">IF(B22="","",SUMIF('المبيعات اليومية'!$B$8:$B$107,B22,'المبيعات اليومية'!$J$8:$J$107))</f>
        <v/>
      </c>
    </row>
    <row r="23" customFormat="false" ht="15" hidden="false" customHeight="false" outlineLevel="0" collapsed="false">
      <c r="A23" s="14" t="str">
        <f aca="false">IF(B23="","",19)</f>
        <v/>
      </c>
      <c r="B23" s="15" t="str">
        <f aca="false">IF('دليل العملاء'!A22="","",'دليل العملاء'!A22)</f>
        <v/>
      </c>
      <c r="C23" s="14" t="str">
        <f aca="false">IF(B23="","",COUNTIF('المبيعات اليومية'!$B$8:$B$107,B23))</f>
        <v/>
      </c>
      <c r="D23" s="14" t="str">
        <f aca="false">IF(B23="","",SUMIF('المبيعات اليومية'!$B$8:$B$107,B23,'المبيعات اليومية'!$E$8:$E$107))</f>
        <v/>
      </c>
      <c r="E23" s="11" t="str">
        <f aca="false">IF(B23="","",SUMIF('المبيعات اليومية'!$B$8:$B$107,B23,'المبيعات اليومية'!$H$8:$H$107))</f>
        <v/>
      </c>
      <c r="F23" s="11" t="str">
        <f aca="false">IF(B23="","",SUMIF('المبيعات اليومية'!$B$8:$B$107,B23,'المبيعات اليومية'!$I$8:$I$107))</f>
        <v/>
      </c>
      <c r="G23" s="11" t="str">
        <f aca="false">IF(B23="","",SUMIF('المبيعات اليومية'!$B$8:$B$107,B23,'المبيعات اليومية'!$J$8:$J$107))</f>
        <v/>
      </c>
    </row>
    <row r="24" customFormat="false" ht="15" hidden="false" customHeight="false" outlineLevel="0" collapsed="false">
      <c r="A24" s="14" t="str">
        <f aca="false">IF(B24="","",20)</f>
        <v/>
      </c>
      <c r="B24" s="15" t="str">
        <f aca="false">IF('دليل العملاء'!A23="","",'دليل العملاء'!A23)</f>
        <v/>
      </c>
      <c r="C24" s="14" t="str">
        <f aca="false">IF(B24="","",COUNTIF('المبيعات اليومية'!$B$8:$B$107,B24))</f>
        <v/>
      </c>
      <c r="D24" s="14" t="str">
        <f aca="false">IF(B24="","",SUMIF('المبيعات اليومية'!$B$8:$B$107,B24,'المبيعات اليومية'!$E$8:$E$107))</f>
        <v/>
      </c>
      <c r="E24" s="11" t="str">
        <f aca="false">IF(B24="","",SUMIF('المبيعات اليومية'!$B$8:$B$107,B24,'المبيعات اليومية'!$H$8:$H$107))</f>
        <v/>
      </c>
      <c r="F24" s="11" t="str">
        <f aca="false">IF(B24="","",SUMIF('المبيعات اليومية'!$B$8:$B$107,B24,'المبيعات اليومية'!$I$8:$I$107))</f>
        <v/>
      </c>
      <c r="G24" s="11" t="str">
        <f aca="false">IF(B24="","",SUMIF('المبيعات اليومية'!$B$8:$B$107,B24,'المبيعات اليومية'!$J$8:$J$107))</f>
        <v/>
      </c>
    </row>
    <row r="25" customFormat="false" ht="15" hidden="false" customHeight="false" outlineLevel="0" collapsed="false">
      <c r="A25" s="14" t="str">
        <f aca="false">IF(B25="","",21)</f>
        <v/>
      </c>
      <c r="B25" s="15" t="str">
        <f aca="false">IF('دليل العملاء'!A24="","",'دليل العملاء'!A24)</f>
        <v/>
      </c>
      <c r="C25" s="14" t="str">
        <f aca="false">IF(B25="","",COUNTIF('المبيعات اليومية'!$B$8:$B$107,B25))</f>
        <v/>
      </c>
      <c r="D25" s="14" t="str">
        <f aca="false">IF(B25="","",SUMIF('المبيعات اليومية'!$B$8:$B$107,B25,'المبيعات اليومية'!$E$8:$E$107))</f>
        <v/>
      </c>
      <c r="E25" s="11" t="str">
        <f aca="false">IF(B25="","",SUMIF('المبيعات اليومية'!$B$8:$B$107,B25,'المبيعات اليومية'!$H$8:$H$107))</f>
        <v/>
      </c>
      <c r="F25" s="11" t="str">
        <f aca="false">IF(B25="","",SUMIF('المبيعات اليومية'!$B$8:$B$107,B25,'المبيعات اليومية'!$I$8:$I$107))</f>
        <v/>
      </c>
      <c r="G25" s="11" t="str">
        <f aca="false">IF(B25="","",SUMIF('المبيعات اليومية'!$B$8:$B$107,B25,'المبيعات اليومية'!$J$8:$J$107))</f>
        <v/>
      </c>
    </row>
    <row r="26" customFormat="false" ht="15" hidden="false" customHeight="false" outlineLevel="0" collapsed="false">
      <c r="A26" s="14" t="str">
        <f aca="false">IF(B26="","",22)</f>
        <v/>
      </c>
      <c r="B26" s="15" t="str">
        <f aca="false">IF('دليل العملاء'!A25="","",'دليل العملاء'!A25)</f>
        <v/>
      </c>
      <c r="C26" s="14" t="str">
        <f aca="false">IF(B26="","",COUNTIF('المبيعات اليومية'!$B$8:$B$107,B26))</f>
        <v/>
      </c>
      <c r="D26" s="14" t="str">
        <f aca="false">IF(B26="","",SUMIF('المبيعات اليومية'!$B$8:$B$107,B26,'المبيعات اليومية'!$E$8:$E$107))</f>
        <v/>
      </c>
      <c r="E26" s="11" t="str">
        <f aca="false">IF(B26="","",SUMIF('المبيعات اليومية'!$B$8:$B$107,B26,'المبيعات اليومية'!$H$8:$H$107))</f>
        <v/>
      </c>
      <c r="F26" s="11" t="str">
        <f aca="false">IF(B26="","",SUMIF('المبيعات اليومية'!$B$8:$B$107,B26,'المبيعات اليومية'!$I$8:$I$107))</f>
        <v/>
      </c>
      <c r="G26" s="11" t="str">
        <f aca="false">IF(B26="","",SUMIF('المبيعات اليومية'!$B$8:$B$107,B26,'المبيعات اليومية'!$J$8:$J$107))</f>
        <v/>
      </c>
    </row>
    <row r="27" customFormat="false" ht="15" hidden="false" customHeight="false" outlineLevel="0" collapsed="false">
      <c r="A27" s="14" t="str">
        <f aca="false">IF(B27="","",23)</f>
        <v/>
      </c>
      <c r="B27" s="15" t="str">
        <f aca="false">IF('دليل العملاء'!A26="","",'دليل العملاء'!A26)</f>
        <v/>
      </c>
      <c r="C27" s="14" t="str">
        <f aca="false">IF(B27="","",COUNTIF('المبيعات اليومية'!$B$8:$B$107,B27))</f>
        <v/>
      </c>
      <c r="D27" s="14" t="str">
        <f aca="false">IF(B27="","",SUMIF('المبيعات اليومية'!$B$8:$B$107,B27,'المبيعات اليومية'!$E$8:$E$107))</f>
        <v/>
      </c>
      <c r="E27" s="11" t="str">
        <f aca="false">IF(B27="","",SUMIF('المبيعات اليومية'!$B$8:$B$107,B27,'المبيعات اليومية'!$H$8:$H$107))</f>
        <v/>
      </c>
      <c r="F27" s="11" t="str">
        <f aca="false">IF(B27="","",SUMIF('المبيعات اليومية'!$B$8:$B$107,B27,'المبيعات اليومية'!$I$8:$I$107))</f>
        <v/>
      </c>
      <c r="G27" s="11" t="str">
        <f aca="false">IF(B27="","",SUMIF('المبيعات اليومية'!$B$8:$B$107,B27,'المبيعات اليومية'!$J$8:$J$107))</f>
        <v/>
      </c>
    </row>
    <row r="28" customFormat="false" ht="15" hidden="false" customHeight="false" outlineLevel="0" collapsed="false">
      <c r="A28" s="14" t="str">
        <f aca="false">IF(B28="","",24)</f>
        <v/>
      </c>
      <c r="B28" s="15" t="str">
        <f aca="false">IF('دليل العملاء'!A27="","",'دليل العملاء'!A27)</f>
        <v/>
      </c>
      <c r="C28" s="14" t="str">
        <f aca="false">IF(B28="","",COUNTIF('المبيعات اليومية'!$B$8:$B$107,B28))</f>
        <v/>
      </c>
      <c r="D28" s="14" t="str">
        <f aca="false">IF(B28="","",SUMIF('المبيعات اليومية'!$B$8:$B$107,B28,'المبيعات اليومية'!$E$8:$E$107))</f>
        <v/>
      </c>
      <c r="E28" s="11" t="str">
        <f aca="false">IF(B28="","",SUMIF('المبيعات اليومية'!$B$8:$B$107,B28,'المبيعات اليومية'!$H$8:$H$107))</f>
        <v/>
      </c>
      <c r="F28" s="11" t="str">
        <f aca="false">IF(B28="","",SUMIF('المبيعات اليومية'!$B$8:$B$107,B28,'المبيعات اليومية'!$I$8:$I$107))</f>
        <v/>
      </c>
      <c r="G28" s="11" t="str">
        <f aca="false">IF(B28="","",SUMIF('المبيعات اليومية'!$B$8:$B$107,B28,'المبيعات اليومية'!$J$8:$J$107))</f>
        <v/>
      </c>
    </row>
    <row r="29" customFormat="false" ht="15" hidden="false" customHeight="false" outlineLevel="0" collapsed="false">
      <c r="A29" s="14" t="str">
        <f aca="false">IF(B29="","",25)</f>
        <v/>
      </c>
      <c r="B29" s="15" t="str">
        <f aca="false">IF('دليل العملاء'!A28="","",'دليل العملاء'!A28)</f>
        <v/>
      </c>
      <c r="C29" s="14" t="str">
        <f aca="false">IF(B29="","",COUNTIF('المبيعات اليومية'!$B$8:$B$107,B29))</f>
        <v/>
      </c>
      <c r="D29" s="14" t="str">
        <f aca="false">IF(B29="","",SUMIF('المبيعات اليومية'!$B$8:$B$107,B29,'المبيعات اليومية'!$E$8:$E$107))</f>
        <v/>
      </c>
      <c r="E29" s="11" t="str">
        <f aca="false">IF(B29="","",SUMIF('المبيعات اليومية'!$B$8:$B$107,B29,'المبيعات اليومية'!$H$8:$H$107))</f>
        <v/>
      </c>
      <c r="F29" s="11" t="str">
        <f aca="false">IF(B29="","",SUMIF('المبيعات اليومية'!$B$8:$B$107,B29,'المبيعات اليومية'!$I$8:$I$107))</f>
        <v/>
      </c>
      <c r="G29" s="11" t="str">
        <f aca="false">IF(B29="","",SUMIF('المبيعات اليومية'!$B$8:$B$107,B29,'المبيعات اليومية'!$J$8:$J$107))</f>
        <v/>
      </c>
    </row>
    <row r="30" customFormat="false" ht="15" hidden="false" customHeight="false" outlineLevel="0" collapsed="false">
      <c r="A30" s="14" t="str">
        <f aca="false">IF(B30="","",26)</f>
        <v/>
      </c>
      <c r="B30" s="15" t="str">
        <f aca="false">IF('دليل العملاء'!A29="","",'دليل العملاء'!A29)</f>
        <v/>
      </c>
      <c r="C30" s="14" t="str">
        <f aca="false">IF(B30="","",COUNTIF('المبيعات اليومية'!$B$8:$B$107,B30))</f>
        <v/>
      </c>
      <c r="D30" s="14" t="str">
        <f aca="false">IF(B30="","",SUMIF('المبيعات اليومية'!$B$8:$B$107,B30,'المبيعات اليومية'!$E$8:$E$107))</f>
        <v/>
      </c>
      <c r="E30" s="11" t="str">
        <f aca="false">IF(B30="","",SUMIF('المبيعات اليومية'!$B$8:$B$107,B30,'المبيعات اليومية'!$H$8:$H$107))</f>
        <v/>
      </c>
      <c r="F30" s="11" t="str">
        <f aca="false">IF(B30="","",SUMIF('المبيعات اليومية'!$B$8:$B$107,B30,'المبيعات اليومية'!$I$8:$I$107))</f>
        <v/>
      </c>
      <c r="G30" s="11" t="str">
        <f aca="false">IF(B30="","",SUMIF('المبيعات اليومية'!$B$8:$B$107,B30,'المبيعات اليومية'!$J$8:$J$107))</f>
        <v/>
      </c>
    </row>
    <row r="31" customFormat="false" ht="15" hidden="false" customHeight="false" outlineLevel="0" collapsed="false">
      <c r="A31" s="14" t="str">
        <f aca="false">IF(B31="","",27)</f>
        <v/>
      </c>
      <c r="B31" s="15" t="str">
        <f aca="false">IF('دليل العملاء'!A30="","",'دليل العملاء'!A30)</f>
        <v/>
      </c>
      <c r="C31" s="14" t="str">
        <f aca="false">IF(B31="","",COUNTIF('المبيعات اليومية'!$B$8:$B$107,B31))</f>
        <v/>
      </c>
      <c r="D31" s="14" t="str">
        <f aca="false">IF(B31="","",SUMIF('المبيعات اليومية'!$B$8:$B$107,B31,'المبيعات اليومية'!$E$8:$E$107))</f>
        <v/>
      </c>
      <c r="E31" s="11" t="str">
        <f aca="false">IF(B31="","",SUMIF('المبيعات اليومية'!$B$8:$B$107,B31,'المبيعات اليومية'!$H$8:$H$107))</f>
        <v/>
      </c>
      <c r="F31" s="11" t="str">
        <f aca="false">IF(B31="","",SUMIF('المبيعات اليومية'!$B$8:$B$107,B31,'المبيعات اليومية'!$I$8:$I$107))</f>
        <v/>
      </c>
      <c r="G31" s="11" t="str">
        <f aca="false">IF(B31="","",SUMIF('المبيعات اليومية'!$B$8:$B$107,B31,'المبيعات اليومية'!$J$8:$J$107))</f>
        <v/>
      </c>
    </row>
    <row r="32" customFormat="false" ht="15" hidden="false" customHeight="false" outlineLevel="0" collapsed="false">
      <c r="A32" s="14" t="str">
        <f aca="false">IF(B32="","",28)</f>
        <v/>
      </c>
      <c r="B32" s="15" t="str">
        <f aca="false">IF('دليل العملاء'!A31="","",'دليل العملاء'!A31)</f>
        <v/>
      </c>
      <c r="C32" s="14" t="str">
        <f aca="false">IF(B32="","",COUNTIF('المبيعات اليومية'!$B$8:$B$107,B32))</f>
        <v/>
      </c>
      <c r="D32" s="14" t="str">
        <f aca="false">IF(B32="","",SUMIF('المبيعات اليومية'!$B$8:$B$107,B32,'المبيعات اليومية'!$E$8:$E$107))</f>
        <v/>
      </c>
      <c r="E32" s="11" t="str">
        <f aca="false">IF(B32="","",SUMIF('المبيعات اليومية'!$B$8:$B$107,B32,'المبيعات اليومية'!$H$8:$H$107))</f>
        <v/>
      </c>
      <c r="F32" s="11" t="str">
        <f aca="false">IF(B32="","",SUMIF('المبيعات اليومية'!$B$8:$B$107,B32,'المبيعات اليومية'!$I$8:$I$107))</f>
        <v/>
      </c>
      <c r="G32" s="11" t="str">
        <f aca="false">IF(B32="","",SUMIF('المبيعات اليومية'!$B$8:$B$107,B32,'المبيعات اليومية'!$J$8:$J$107))</f>
        <v/>
      </c>
    </row>
    <row r="33" customFormat="false" ht="15" hidden="false" customHeight="false" outlineLevel="0" collapsed="false">
      <c r="A33" s="14" t="str">
        <f aca="false">IF(B33="","",29)</f>
        <v/>
      </c>
      <c r="B33" s="15" t="str">
        <f aca="false">IF('دليل العملاء'!A32="","",'دليل العملاء'!A32)</f>
        <v/>
      </c>
      <c r="C33" s="14" t="str">
        <f aca="false">IF(B33="","",COUNTIF('المبيعات اليومية'!$B$8:$B$107,B33))</f>
        <v/>
      </c>
      <c r="D33" s="14" t="str">
        <f aca="false">IF(B33="","",SUMIF('المبيعات اليومية'!$B$8:$B$107,B33,'المبيعات اليومية'!$E$8:$E$107))</f>
        <v/>
      </c>
      <c r="E33" s="11" t="str">
        <f aca="false">IF(B33="","",SUMIF('المبيعات اليومية'!$B$8:$B$107,B33,'المبيعات اليومية'!$H$8:$H$107))</f>
        <v/>
      </c>
      <c r="F33" s="11" t="str">
        <f aca="false">IF(B33="","",SUMIF('المبيعات اليومية'!$B$8:$B$107,B33,'المبيعات اليومية'!$I$8:$I$107))</f>
        <v/>
      </c>
      <c r="G33" s="11" t="str">
        <f aca="false">IF(B33="","",SUMIF('المبيعات اليومية'!$B$8:$B$107,B33,'المبيعات اليومية'!$J$8:$J$107))</f>
        <v/>
      </c>
    </row>
    <row r="34" customFormat="false" ht="15" hidden="false" customHeight="false" outlineLevel="0" collapsed="false">
      <c r="A34" s="14" t="str">
        <f aca="false">IF(B34="","",30)</f>
        <v/>
      </c>
      <c r="B34" s="15" t="str">
        <f aca="false">IF('دليل العملاء'!A33="","",'دليل العملاء'!A33)</f>
        <v/>
      </c>
      <c r="C34" s="14" t="str">
        <f aca="false">IF(B34="","",COUNTIF('المبيعات اليومية'!$B$8:$B$107,B34))</f>
        <v/>
      </c>
      <c r="D34" s="14" t="str">
        <f aca="false">IF(B34="","",SUMIF('المبيعات اليومية'!$B$8:$B$107,B34,'المبيعات اليومية'!$E$8:$E$107))</f>
        <v/>
      </c>
      <c r="E34" s="11" t="str">
        <f aca="false">IF(B34="","",SUMIF('المبيعات اليومية'!$B$8:$B$107,B34,'المبيعات اليومية'!$H$8:$H$107))</f>
        <v/>
      </c>
      <c r="F34" s="11" t="str">
        <f aca="false">IF(B34="","",SUMIF('المبيعات اليومية'!$B$8:$B$107,B34,'المبيعات اليومية'!$I$8:$I$107))</f>
        <v/>
      </c>
      <c r="G34" s="11" t="str">
        <f aca="false">IF(B34="","",SUMIF('المبيعات اليومية'!$B$8:$B$107,B34,'المبيعات اليومية'!$J$8:$J$107))</f>
        <v/>
      </c>
    </row>
    <row r="35" customFormat="false" ht="15" hidden="false" customHeight="false" outlineLevel="0" collapsed="false">
      <c r="A35" s="14" t="str">
        <f aca="false">IF(B35="","",31)</f>
        <v/>
      </c>
      <c r="B35" s="15" t="str">
        <f aca="false">IF('دليل العملاء'!A34="","",'دليل العملاء'!A34)</f>
        <v/>
      </c>
      <c r="C35" s="14" t="str">
        <f aca="false">IF(B35="","",COUNTIF('المبيعات اليومية'!$B$8:$B$107,B35))</f>
        <v/>
      </c>
      <c r="D35" s="14" t="str">
        <f aca="false">IF(B35="","",SUMIF('المبيعات اليومية'!$B$8:$B$107,B35,'المبيعات اليومية'!$E$8:$E$107))</f>
        <v/>
      </c>
      <c r="E35" s="11" t="str">
        <f aca="false">IF(B35="","",SUMIF('المبيعات اليومية'!$B$8:$B$107,B35,'المبيعات اليومية'!$H$8:$H$107))</f>
        <v/>
      </c>
      <c r="F35" s="11" t="str">
        <f aca="false">IF(B35="","",SUMIF('المبيعات اليومية'!$B$8:$B$107,B35,'المبيعات اليومية'!$I$8:$I$107))</f>
        <v/>
      </c>
      <c r="G35" s="11" t="str">
        <f aca="false">IF(B35="","",SUMIF('المبيعات اليومية'!$B$8:$B$107,B35,'المبيعات اليومية'!$J$8:$J$107))</f>
        <v/>
      </c>
    </row>
    <row r="36" customFormat="false" ht="15" hidden="false" customHeight="false" outlineLevel="0" collapsed="false">
      <c r="A36" s="14" t="str">
        <f aca="false">IF(B36="","",32)</f>
        <v/>
      </c>
      <c r="B36" s="15" t="str">
        <f aca="false">IF('دليل العملاء'!A35="","",'دليل العملاء'!A35)</f>
        <v/>
      </c>
      <c r="C36" s="14" t="str">
        <f aca="false">IF(B36="","",COUNTIF('المبيعات اليومية'!$B$8:$B$107,B36))</f>
        <v/>
      </c>
      <c r="D36" s="14" t="str">
        <f aca="false">IF(B36="","",SUMIF('المبيعات اليومية'!$B$8:$B$107,B36,'المبيعات اليومية'!$E$8:$E$107))</f>
        <v/>
      </c>
      <c r="E36" s="11" t="str">
        <f aca="false">IF(B36="","",SUMIF('المبيعات اليومية'!$B$8:$B$107,B36,'المبيعات اليومية'!$H$8:$H$107))</f>
        <v/>
      </c>
      <c r="F36" s="11" t="str">
        <f aca="false">IF(B36="","",SUMIF('المبيعات اليومية'!$B$8:$B$107,B36,'المبيعات اليومية'!$I$8:$I$107))</f>
        <v/>
      </c>
      <c r="G36" s="11" t="str">
        <f aca="false">IF(B36="","",SUMIF('المبيعات اليومية'!$B$8:$B$107,B36,'المبيعات اليومية'!$J$8:$J$107))</f>
        <v/>
      </c>
    </row>
    <row r="37" customFormat="false" ht="15" hidden="false" customHeight="false" outlineLevel="0" collapsed="false">
      <c r="A37" s="14" t="str">
        <f aca="false">IF(B37="","",33)</f>
        <v/>
      </c>
      <c r="B37" s="15" t="str">
        <f aca="false">IF('دليل العملاء'!A36="","",'دليل العملاء'!A36)</f>
        <v/>
      </c>
      <c r="C37" s="14" t="str">
        <f aca="false">IF(B37="","",COUNTIF('المبيعات اليومية'!$B$8:$B$107,B37))</f>
        <v/>
      </c>
      <c r="D37" s="14" t="str">
        <f aca="false">IF(B37="","",SUMIF('المبيعات اليومية'!$B$8:$B$107,B37,'المبيعات اليومية'!$E$8:$E$107))</f>
        <v/>
      </c>
      <c r="E37" s="11" t="str">
        <f aca="false">IF(B37="","",SUMIF('المبيعات اليومية'!$B$8:$B$107,B37,'المبيعات اليومية'!$H$8:$H$107))</f>
        <v/>
      </c>
      <c r="F37" s="11" t="str">
        <f aca="false">IF(B37="","",SUMIF('المبيعات اليومية'!$B$8:$B$107,B37,'المبيعات اليومية'!$I$8:$I$107))</f>
        <v/>
      </c>
      <c r="G37" s="11" t="str">
        <f aca="false">IF(B37="","",SUMIF('المبيعات اليومية'!$B$8:$B$107,B37,'المبيعات اليومية'!$J$8:$J$107))</f>
        <v/>
      </c>
    </row>
    <row r="38" customFormat="false" ht="15" hidden="false" customHeight="false" outlineLevel="0" collapsed="false">
      <c r="A38" s="14" t="str">
        <f aca="false">IF(B38="","",34)</f>
        <v/>
      </c>
      <c r="B38" s="15" t="str">
        <f aca="false">IF('دليل العملاء'!A37="","",'دليل العملاء'!A37)</f>
        <v/>
      </c>
      <c r="C38" s="14" t="str">
        <f aca="false">IF(B38="","",COUNTIF('المبيعات اليومية'!$B$8:$B$107,B38))</f>
        <v/>
      </c>
      <c r="D38" s="14" t="str">
        <f aca="false">IF(B38="","",SUMIF('المبيعات اليومية'!$B$8:$B$107,B38,'المبيعات اليومية'!$E$8:$E$107))</f>
        <v/>
      </c>
      <c r="E38" s="11" t="str">
        <f aca="false">IF(B38="","",SUMIF('المبيعات اليومية'!$B$8:$B$107,B38,'المبيعات اليومية'!$H$8:$H$107))</f>
        <v/>
      </c>
      <c r="F38" s="11" t="str">
        <f aca="false">IF(B38="","",SUMIF('المبيعات اليومية'!$B$8:$B$107,B38,'المبيعات اليومية'!$I$8:$I$107))</f>
        <v/>
      </c>
      <c r="G38" s="11" t="str">
        <f aca="false">IF(B38="","",SUMIF('المبيعات اليومية'!$B$8:$B$107,B38,'المبيعات اليومية'!$J$8:$J$107))</f>
        <v/>
      </c>
    </row>
    <row r="39" customFormat="false" ht="15" hidden="false" customHeight="false" outlineLevel="0" collapsed="false">
      <c r="A39" s="14" t="str">
        <f aca="false">IF(B39="","",35)</f>
        <v/>
      </c>
      <c r="B39" s="15" t="str">
        <f aca="false">IF('دليل العملاء'!A38="","",'دليل العملاء'!A38)</f>
        <v/>
      </c>
      <c r="C39" s="14" t="str">
        <f aca="false">IF(B39="","",COUNTIF('المبيعات اليومية'!$B$8:$B$107,B39))</f>
        <v/>
      </c>
      <c r="D39" s="14" t="str">
        <f aca="false">IF(B39="","",SUMIF('المبيعات اليومية'!$B$8:$B$107,B39,'المبيعات اليومية'!$E$8:$E$107))</f>
        <v/>
      </c>
      <c r="E39" s="11" t="str">
        <f aca="false">IF(B39="","",SUMIF('المبيعات اليومية'!$B$8:$B$107,B39,'المبيعات اليومية'!$H$8:$H$107))</f>
        <v/>
      </c>
      <c r="F39" s="11" t="str">
        <f aca="false">IF(B39="","",SUMIF('المبيعات اليومية'!$B$8:$B$107,B39,'المبيعات اليومية'!$I$8:$I$107))</f>
        <v/>
      </c>
      <c r="G39" s="11" t="str">
        <f aca="false">IF(B39="","",SUMIF('المبيعات اليومية'!$B$8:$B$107,B39,'المبيعات اليومية'!$J$8:$J$107))</f>
        <v/>
      </c>
    </row>
    <row r="40" customFormat="false" ht="15" hidden="false" customHeight="false" outlineLevel="0" collapsed="false">
      <c r="A40" s="14" t="str">
        <f aca="false">IF(B40="","",36)</f>
        <v/>
      </c>
      <c r="B40" s="15" t="str">
        <f aca="false">IF('دليل العملاء'!A39="","",'دليل العملاء'!A39)</f>
        <v/>
      </c>
      <c r="C40" s="14" t="str">
        <f aca="false">IF(B40="","",COUNTIF('المبيعات اليومية'!$B$8:$B$107,B40))</f>
        <v/>
      </c>
      <c r="D40" s="14" t="str">
        <f aca="false">IF(B40="","",SUMIF('المبيعات اليومية'!$B$8:$B$107,B40,'المبيعات اليومية'!$E$8:$E$107))</f>
        <v/>
      </c>
      <c r="E40" s="11" t="str">
        <f aca="false">IF(B40="","",SUMIF('المبيعات اليومية'!$B$8:$B$107,B40,'المبيعات اليومية'!$H$8:$H$107))</f>
        <v/>
      </c>
      <c r="F40" s="11" t="str">
        <f aca="false">IF(B40="","",SUMIF('المبيعات اليومية'!$B$8:$B$107,B40,'المبيعات اليومية'!$I$8:$I$107))</f>
        <v/>
      </c>
      <c r="G40" s="11" t="str">
        <f aca="false">IF(B40="","",SUMIF('المبيعات اليومية'!$B$8:$B$107,B40,'المبيعات اليومية'!$J$8:$J$107))</f>
        <v/>
      </c>
    </row>
    <row r="41" customFormat="false" ht="15" hidden="false" customHeight="false" outlineLevel="0" collapsed="false">
      <c r="A41" s="14" t="str">
        <f aca="false">IF(B41="","",37)</f>
        <v/>
      </c>
      <c r="B41" s="15" t="str">
        <f aca="false">IF('دليل العملاء'!A40="","",'دليل العملاء'!A40)</f>
        <v/>
      </c>
      <c r="C41" s="14" t="str">
        <f aca="false">IF(B41="","",COUNTIF('المبيعات اليومية'!$B$8:$B$107,B41))</f>
        <v/>
      </c>
      <c r="D41" s="14" t="str">
        <f aca="false">IF(B41="","",SUMIF('المبيعات اليومية'!$B$8:$B$107,B41,'المبيعات اليومية'!$E$8:$E$107))</f>
        <v/>
      </c>
      <c r="E41" s="11" t="str">
        <f aca="false">IF(B41="","",SUMIF('المبيعات اليومية'!$B$8:$B$107,B41,'المبيعات اليومية'!$H$8:$H$107))</f>
        <v/>
      </c>
      <c r="F41" s="11" t="str">
        <f aca="false">IF(B41="","",SUMIF('المبيعات اليومية'!$B$8:$B$107,B41,'المبيعات اليومية'!$I$8:$I$107))</f>
        <v/>
      </c>
      <c r="G41" s="11" t="str">
        <f aca="false">IF(B41="","",SUMIF('المبيعات اليومية'!$B$8:$B$107,B41,'المبيعات اليومية'!$J$8:$J$107))</f>
        <v/>
      </c>
    </row>
    <row r="42" customFormat="false" ht="15" hidden="false" customHeight="false" outlineLevel="0" collapsed="false">
      <c r="A42" s="14" t="str">
        <f aca="false">IF(B42="","",38)</f>
        <v/>
      </c>
      <c r="B42" s="15" t="str">
        <f aca="false">IF('دليل العملاء'!A41="","",'دليل العملاء'!A41)</f>
        <v/>
      </c>
      <c r="C42" s="14" t="str">
        <f aca="false">IF(B42="","",COUNTIF('المبيعات اليومية'!$B$8:$B$107,B42))</f>
        <v/>
      </c>
      <c r="D42" s="14" t="str">
        <f aca="false">IF(B42="","",SUMIF('المبيعات اليومية'!$B$8:$B$107,B42,'المبيعات اليومية'!$E$8:$E$107))</f>
        <v/>
      </c>
      <c r="E42" s="11" t="str">
        <f aca="false">IF(B42="","",SUMIF('المبيعات اليومية'!$B$8:$B$107,B42,'المبيعات اليومية'!$H$8:$H$107))</f>
        <v/>
      </c>
      <c r="F42" s="11" t="str">
        <f aca="false">IF(B42="","",SUMIF('المبيعات اليومية'!$B$8:$B$107,B42,'المبيعات اليومية'!$I$8:$I$107))</f>
        <v/>
      </c>
      <c r="G42" s="11" t="str">
        <f aca="false">IF(B42="","",SUMIF('المبيعات اليومية'!$B$8:$B$107,B42,'المبيعات اليومية'!$J$8:$J$107))</f>
        <v/>
      </c>
    </row>
    <row r="43" customFormat="false" ht="15" hidden="false" customHeight="false" outlineLevel="0" collapsed="false">
      <c r="A43" s="14" t="str">
        <f aca="false">IF(B43="","",39)</f>
        <v/>
      </c>
      <c r="B43" s="15" t="str">
        <f aca="false">IF('دليل العملاء'!A42="","",'دليل العملاء'!A42)</f>
        <v/>
      </c>
      <c r="C43" s="14" t="str">
        <f aca="false">IF(B43="","",COUNTIF('المبيعات اليومية'!$B$8:$B$107,B43))</f>
        <v/>
      </c>
      <c r="D43" s="14" t="str">
        <f aca="false">IF(B43="","",SUMIF('المبيعات اليومية'!$B$8:$B$107,B43,'المبيعات اليومية'!$E$8:$E$107))</f>
        <v/>
      </c>
      <c r="E43" s="11" t="str">
        <f aca="false">IF(B43="","",SUMIF('المبيعات اليومية'!$B$8:$B$107,B43,'المبيعات اليومية'!$H$8:$H$107))</f>
        <v/>
      </c>
      <c r="F43" s="11" t="str">
        <f aca="false">IF(B43="","",SUMIF('المبيعات اليومية'!$B$8:$B$107,B43,'المبيعات اليومية'!$I$8:$I$107))</f>
        <v/>
      </c>
      <c r="G43" s="11" t="str">
        <f aca="false">IF(B43="","",SUMIF('المبيعات اليومية'!$B$8:$B$107,B43,'المبيعات اليومية'!$J$8:$J$107))</f>
        <v/>
      </c>
    </row>
    <row r="44" customFormat="false" ht="15" hidden="false" customHeight="false" outlineLevel="0" collapsed="false">
      <c r="A44" s="14" t="str">
        <f aca="false">IF(B44="","",40)</f>
        <v/>
      </c>
      <c r="B44" s="15" t="str">
        <f aca="false">IF('دليل العملاء'!A43="","",'دليل العملاء'!A43)</f>
        <v/>
      </c>
      <c r="C44" s="14" t="str">
        <f aca="false">IF(B44="","",COUNTIF('المبيعات اليومية'!$B$8:$B$107,B44))</f>
        <v/>
      </c>
      <c r="D44" s="14" t="str">
        <f aca="false">IF(B44="","",SUMIF('المبيعات اليومية'!$B$8:$B$107,B44,'المبيعات اليومية'!$E$8:$E$107))</f>
        <v/>
      </c>
      <c r="E44" s="11" t="str">
        <f aca="false">IF(B44="","",SUMIF('المبيعات اليومية'!$B$8:$B$107,B44,'المبيعات اليومية'!$H$8:$H$107))</f>
        <v/>
      </c>
      <c r="F44" s="11" t="str">
        <f aca="false">IF(B44="","",SUMIF('المبيعات اليومية'!$B$8:$B$107,B44,'المبيعات اليومية'!$I$8:$I$107))</f>
        <v/>
      </c>
      <c r="G44" s="11" t="str">
        <f aca="false">IF(B44="","",SUMIF('المبيعات اليومية'!$B$8:$B$107,B44,'المبيعات اليومية'!$J$8:$J$107))</f>
        <v/>
      </c>
    </row>
    <row r="45" customFormat="false" ht="15" hidden="false" customHeight="false" outlineLevel="0" collapsed="false">
      <c r="A45" s="14" t="str">
        <f aca="false">IF(B45="","",41)</f>
        <v/>
      </c>
      <c r="B45" s="15" t="str">
        <f aca="false">IF('دليل العملاء'!A44="","",'دليل العملاء'!A44)</f>
        <v/>
      </c>
      <c r="C45" s="14" t="str">
        <f aca="false">IF(B45="","",COUNTIF('المبيعات اليومية'!$B$8:$B$107,B45))</f>
        <v/>
      </c>
      <c r="D45" s="14" t="str">
        <f aca="false">IF(B45="","",SUMIF('المبيعات اليومية'!$B$8:$B$107,B45,'المبيعات اليومية'!$E$8:$E$107))</f>
        <v/>
      </c>
      <c r="E45" s="11" t="str">
        <f aca="false">IF(B45="","",SUMIF('المبيعات اليومية'!$B$8:$B$107,B45,'المبيعات اليومية'!$H$8:$H$107))</f>
        <v/>
      </c>
      <c r="F45" s="11" t="str">
        <f aca="false">IF(B45="","",SUMIF('المبيعات اليومية'!$B$8:$B$107,B45,'المبيعات اليومية'!$I$8:$I$107))</f>
        <v/>
      </c>
      <c r="G45" s="11" t="str">
        <f aca="false">IF(B45="","",SUMIF('المبيعات اليومية'!$B$8:$B$107,B45,'المبيعات اليومية'!$J$8:$J$107))</f>
        <v/>
      </c>
    </row>
    <row r="46" customFormat="false" ht="15" hidden="false" customHeight="false" outlineLevel="0" collapsed="false">
      <c r="A46" s="14" t="str">
        <f aca="false">IF(B46="","",42)</f>
        <v/>
      </c>
      <c r="B46" s="15" t="str">
        <f aca="false">IF('دليل العملاء'!A45="","",'دليل العملاء'!A45)</f>
        <v/>
      </c>
      <c r="C46" s="14" t="str">
        <f aca="false">IF(B46="","",COUNTIF('المبيعات اليومية'!$B$8:$B$107,B46))</f>
        <v/>
      </c>
      <c r="D46" s="14" t="str">
        <f aca="false">IF(B46="","",SUMIF('المبيعات اليومية'!$B$8:$B$107,B46,'المبيعات اليومية'!$E$8:$E$107))</f>
        <v/>
      </c>
      <c r="E46" s="11" t="str">
        <f aca="false">IF(B46="","",SUMIF('المبيعات اليومية'!$B$8:$B$107,B46,'المبيعات اليومية'!$H$8:$H$107))</f>
        <v/>
      </c>
      <c r="F46" s="11" t="str">
        <f aca="false">IF(B46="","",SUMIF('المبيعات اليومية'!$B$8:$B$107,B46,'المبيعات اليومية'!$I$8:$I$107))</f>
        <v/>
      </c>
      <c r="G46" s="11" t="str">
        <f aca="false">IF(B46="","",SUMIF('المبيعات اليومية'!$B$8:$B$107,B46,'المبيعات اليومية'!$J$8:$J$107))</f>
        <v/>
      </c>
    </row>
    <row r="47" customFormat="false" ht="15" hidden="false" customHeight="false" outlineLevel="0" collapsed="false">
      <c r="A47" s="14" t="str">
        <f aca="false">IF(B47="","",43)</f>
        <v/>
      </c>
      <c r="B47" s="15" t="str">
        <f aca="false">IF('دليل العملاء'!A46="","",'دليل العملاء'!A46)</f>
        <v/>
      </c>
      <c r="C47" s="14" t="str">
        <f aca="false">IF(B47="","",COUNTIF('المبيعات اليومية'!$B$8:$B$107,B47))</f>
        <v/>
      </c>
      <c r="D47" s="14" t="str">
        <f aca="false">IF(B47="","",SUMIF('المبيعات اليومية'!$B$8:$B$107,B47,'المبيعات اليومية'!$E$8:$E$107))</f>
        <v/>
      </c>
      <c r="E47" s="11" t="str">
        <f aca="false">IF(B47="","",SUMIF('المبيعات اليومية'!$B$8:$B$107,B47,'المبيعات اليومية'!$H$8:$H$107))</f>
        <v/>
      </c>
      <c r="F47" s="11" t="str">
        <f aca="false">IF(B47="","",SUMIF('المبيعات اليومية'!$B$8:$B$107,B47,'المبيعات اليومية'!$I$8:$I$107))</f>
        <v/>
      </c>
      <c r="G47" s="11" t="str">
        <f aca="false">IF(B47="","",SUMIF('المبيعات اليومية'!$B$8:$B$107,B47,'المبيعات اليومية'!$J$8:$J$107))</f>
        <v/>
      </c>
    </row>
    <row r="48" customFormat="false" ht="15" hidden="false" customHeight="false" outlineLevel="0" collapsed="false">
      <c r="A48" s="14" t="str">
        <f aca="false">IF(B48="","",44)</f>
        <v/>
      </c>
      <c r="B48" s="15" t="str">
        <f aca="false">IF('دليل العملاء'!A47="","",'دليل العملاء'!A47)</f>
        <v/>
      </c>
      <c r="C48" s="14" t="str">
        <f aca="false">IF(B48="","",COUNTIF('المبيعات اليومية'!$B$8:$B$107,B48))</f>
        <v/>
      </c>
      <c r="D48" s="14" t="str">
        <f aca="false">IF(B48="","",SUMIF('المبيعات اليومية'!$B$8:$B$107,B48,'المبيعات اليومية'!$E$8:$E$107))</f>
        <v/>
      </c>
      <c r="E48" s="11" t="str">
        <f aca="false">IF(B48="","",SUMIF('المبيعات اليومية'!$B$8:$B$107,B48,'المبيعات اليومية'!$H$8:$H$107))</f>
        <v/>
      </c>
      <c r="F48" s="11" t="str">
        <f aca="false">IF(B48="","",SUMIF('المبيعات اليومية'!$B$8:$B$107,B48,'المبيعات اليومية'!$I$8:$I$107))</f>
        <v/>
      </c>
      <c r="G48" s="11" t="str">
        <f aca="false">IF(B48="","",SUMIF('المبيعات اليومية'!$B$8:$B$107,B48,'المبيعات اليومية'!$J$8:$J$107))</f>
        <v/>
      </c>
    </row>
    <row r="49" customFormat="false" ht="15" hidden="false" customHeight="false" outlineLevel="0" collapsed="false">
      <c r="A49" s="14" t="str">
        <f aca="false">IF(B49="","",45)</f>
        <v/>
      </c>
      <c r="B49" s="15" t="str">
        <f aca="false">IF('دليل العملاء'!A48="","",'دليل العملاء'!A48)</f>
        <v/>
      </c>
      <c r="C49" s="14" t="str">
        <f aca="false">IF(B49="","",COUNTIF('المبيعات اليومية'!$B$8:$B$107,B49))</f>
        <v/>
      </c>
      <c r="D49" s="14" t="str">
        <f aca="false">IF(B49="","",SUMIF('المبيعات اليومية'!$B$8:$B$107,B49,'المبيعات اليومية'!$E$8:$E$107))</f>
        <v/>
      </c>
      <c r="E49" s="11" t="str">
        <f aca="false">IF(B49="","",SUMIF('المبيعات اليومية'!$B$8:$B$107,B49,'المبيعات اليومية'!$H$8:$H$107))</f>
        <v/>
      </c>
      <c r="F49" s="11" t="str">
        <f aca="false">IF(B49="","",SUMIF('المبيعات اليومية'!$B$8:$B$107,B49,'المبيعات اليومية'!$I$8:$I$107))</f>
        <v/>
      </c>
      <c r="G49" s="11" t="str">
        <f aca="false">IF(B49="","",SUMIF('المبيعات اليومية'!$B$8:$B$107,B49,'المبيعات اليومية'!$J$8:$J$107))</f>
        <v/>
      </c>
    </row>
    <row r="50" customFormat="false" ht="15" hidden="false" customHeight="false" outlineLevel="0" collapsed="false">
      <c r="A50" s="14" t="str">
        <f aca="false">IF(B50="","",46)</f>
        <v/>
      </c>
      <c r="B50" s="15" t="str">
        <f aca="false">IF('دليل العملاء'!A49="","",'دليل العملاء'!A49)</f>
        <v/>
      </c>
      <c r="C50" s="14" t="str">
        <f aca="false">IF(B50="","",COUNTIF('المبيعات اليومية'!$B$8:$B$107,B50))</f>
        <v/>
      </c>
      <c r="D50" s="14" t="str">
        <f aca="false">IF(B50="","",SUMIF('المبيعات اليومية'!$B$8:$B$107,B50,'المبيعات اليومية'!$E$8:$E$107))</f>
        <v/>
      </c>
      <c r="E50" s="11" t="str">
        <f aca="false">IF(B50="","",SUMIF('المبيعات اليومية'!$B$8:$B$107,B50,'المبيعات اليومية'!$H$8:$H$107))</f>
        <v/>
      </c>
      <c r="F50" s="11" t="str">
        <f aca="false">IF(B50="","",SUMIF('المبيعات اليومية'!$B$8:$B$107,B50,'المبيعات اليومية'!$I$8:$I$107))</f>
        <v/>
      </c>
      <c r="G50" s="11" t="str">
        <f aca="false">IF(B50="","",SUMIF('المبيعات اليومية'!$B$8:$B$107,B50,'المبيعات اليومية'!$J$8:$J$107))</f>
        <v/>
      </c>
    </row>
    <row r="51" customFormat="false" ht="15" hidden="false" customHeight="false" outlineLevel="0" collapsed="false">
      <c r="A51" s="14" t="str">
        <f aca="false">IF(B51="","",47)</f>
        <v/>
      </c>
      <c r="B51" s="15" t="str">
        <f aca="false">IF('دليل العملاء'!A50="","",'دليل العملاء'!A50)</f>
        <v/>
      </c>
      <c r="C51" s="14" t="str">
        <f aca="false">IF(B51="","",COUNTIF('المبيعات اليومية'!$B$8:$B$107,B51))</f>
        <v/>
      </c>
      <c r="D51" s="14" t="str">
        <f aca="false">IF(B51="","",SUMIF('المبيعات اليومية'!$B$8:$B$107,B51,'المبيعات اليومية'!$E$8:$E$107))</f>
        <v/>
      </c>
      <c r="E51" s="11" t="str">
        <f aca="false">IF(B51="","",SUMIF('المبيعات اليومية'!$B$8:$B$107,B51,'المبيعات اليومية'!$H$8:$H$107))</f>
        <v/>
      </c>
      <c r="F51" s="11" t="str">
        <f aca="false">IF(B51="","",SUMIF('المبيعات اليومية'!$B$8:$B$107,B51,'المبيعات اليومية'!$I$8:$I$107))</f>
        <v/>
      </c>
      <c r="G51" s="11" t="str">
        <f aca="false">IF(B51="","",SUMIF('المبيعات اليومية'!$B$8:$B$107,B51,'المبيعات اليومية'!$J$8:$J$107))</f>
        <v/>
      </c>
    </row>
    <row r="52" customFormat="false" ht="15" hidden="false" customHeight="false" outlineLevel="0" collapsed="false">
      <c r="A52" s="14" t="str">
        <f aca="false">IF(B52="","",48)</f>
        <v/>
      </c>
      <c r="B52" s="15" t="str">
        <f aca="false">IF('دليل العملاء'!A51="","",'دليل العملاء'!A51)</f>
        <v/>
      </c>
      <c r="C52" s="14" t="str">
        <f aca="false">IF(B52="","",COUNTIF('المبيعات اليومية'!$B$8:$B$107,B52))</f>
        <v/>
      </c>
      <c r="D52" s="14" t="str">
        <f aca="false">IF(B52="","",SUMIF('المبيعات اليومية'!$B$8:$B$107,B52,'المبيعات اليومية'!$E$8:$E$107))</f>
        <v/>
      </c>
      <c r="E52" s="11" t="str">
        <f aca="false">IF(B52="","",SUMIF('المبيعات اليومية'!$B$8:$B$107,B52,'المبيعات اليومية'!$H$8:$H$107))</f>
        <v/>
      </c>
      <c r="F52" s="11" t="str">
        <f aca="false">IF(B52="","",SUMIF('المبيعات اليومية'!$B$8:$B$107,B52,'المبيعات اليومية'!$I$8:$I$107))</f>
        <v/>
      </c>
      <c r="G52" s="11" t="str">
        <f aca="false">IF(B52="","",SUMIF('المبيعات اليومية'!$B$8:$B$107,B52,'المبيعات اليومية'!$J$8:$J$107))</f>
        <v/>
      </c>
    </row>
    <row r="53" customFormat="false" ht="15" hidden="false" customHeight="false" outlineLevel="0" collapsed="false">
      <c r="A53" s="14" t="str">
        <f aca="false">IF(B53="","",49)</f>
        <v/>
      </c>
      <c r="B53" s="15" t="str">
        <f aca="false">IF('دليل العملاء'!A52="","",'دليل العملاء'!A52)</f>
        <v/>
      </c>
      <c r="C53" s="14" t="str">
        <f aca="false">IF(B53="","",COUNTIF('المبيعات اليومية'!$B$8:$B$107,B53))</f>
        <v/>
      </c>
      <c r="D53" s="14" t="str">
        <f aca="false">IF(B53="","",SUMIF('المبيعات اليومية'!$B$8:$B$107,B53,'المبيعات اليومية'!$E$8:$E$107))</f>
        <v/>
      </c>
      <c r="E53" s="11" t="str">
        <f aca="false">IF(B53="","",SUMIF('المبيعات اليومية'!$B$8:$B$107,B53,'المبيعات اليومية'!$H$8:$H$107))</f>
        <v/>
      </c>
      <c r="F53" s="11" t="str">
        <f aca="false">IF(B53="","",SUMIF('المبيعات اليومية'!$B$8:$B$107,B53,'المبيعات اليومية'!$I$8:$I$107))</f>
        <v/>
      </c>
      <c r="G53" s="11" t="str">
        <f aca="false">IF(B53="","",SUMIF('المبيعات اليومية'!$B$8:$B$107,B53,'المبيعات اليومية'!$J$8:$J$107))</f>
        <v/>
      </c>
    </row>
    <row r="54" customFormat="false" ht="15" hidden="false" customHeight="false" outlineLevel="0" collapsed="false">
      <c r="A54" s="14" t="str">
        <f aca="false">IF(B54="","",50)</f>
        <v/>
      </c>
      <c r="B54" s="15" t="str">
        <f aca="false">IF('دليل العملاء'!A53="","",'دليل العملاء'!A53)</f>
        <v/>
      </c>
      <c r="C54" s="14" t="str">
        <f aca="false">IF(B54="","",COUNTIF('المبيعات اليومية'!$B$8:$B$107,B54))</f>
        <v/>
      </c>
      <c r="D54" s="14" t="str">
        <f aca="false">IF(B54="","",SUMIF('المبيعات اليومية'!$B$8:$B$107,B54,'المبيعات اليومية'!$E$8:$E$107))</f>
        <v/>
      </c>
      <c r="E54" s="11" t="str">
        <f aca="false">IF(B54="","",SUMIF('المبيعات اليومية'!$B$8:$B$107,B54,'المبيعات اليومية'!$H$8:$H$107))</f>
        <v/>
      </c>
      <c r="F54" s="11" t="str">
        <f aca="false">IF(B54="","",SUMIF('المبيعات اليومية'!$B$8:$B$107,B54,'المبيعات اليومية'!$I$8:$I$107))</f>
        <v/>
      </c>
      <c r="G54" s="11" t="str">
        <f aca="false">IF(B54="","",SUMIF('المبيعات اليومية'!$B$8:$B$107,B54,'المبيعات اليومية'!$J$8:$J$107))</f>
        <v/>
      </c>
    </row>
    <row r="55" customFormat="false" ht="15" hidden="false" customHeight="false" outlineLevel="0" collapsed="false">
      <c r="A55" s="14" t="str">
        <f aca="false">IF(B55="","",51)</f>
        <v/>
      </c>
      <c r="B55" s="15" t="str">
        <f aca="false">IF('دليل العملاء'!A54="","",'دليل العملاء'!A54)</f>
        <v/>
      </c>
      <c r="C55" s="14" t="str">
        <f aca="false">IF(B55="","",COUNTIF('المبيعات اليومية'!$B$8:$B$107,B55))</f>
        <v/>
      </c>
      <c r="D55" s="14" t="str">
        <f aca="false">IF(B55="","",SUMIF('المبيعات اليومية'!$B$8:$B$107,B55,'المبيعات اليومية'!$E$8:$E$107))</f>
        <v/>
      </c>
      <c r="E55" s="11" t="str">
        <f aca="false">IF(B55="","",SUMIF('المبيعات اليومية'!$B$8:$B$107,B55,'المبيعات اليومية'!$H$8:$H$107))</f>
        <v/>
      </c>
      <c r="F55" s="11" t="str">
        <f aca="false">IF(B55="","",SUMIF('المبيعات اليومية'!$B$8:$B$107,B55,'المبيعات اليومية'!$I$8:$I$107))</f>
        <v/>
      </c>
      <c r="G55" s="11" t="str">
        <f aca="false">IF(B55="","",SUMIF('المبيعات اليومية'!$B$8:$B$107,B55,'المبيعات اليومية'!$J$8:$J$107))</f>
        <v/>
      </c>
    </row>
    <row r="56" customFormat="false" ht="15" hidden="false" customHeight="false" outlineLevel="0" collapsed="false">
      <c r="A56" s="14" t="str">
        <f aca="false">IF(B56="","",52)</f>
        <v/>
      </c>
      <c r="B56" s="15" t="str">
        <f aca="false">IF('دليل العملاء'!A55="","",'دليل العملاء'!A55)</f>
        <v/>
      </c>
      <c r="C56" s="14" t="str">
        <f aca="false">IF(B56="","",COUNTIF('المبيعات اليومية'!$B$8:$B$107,B56))</f>
        <v/>
      </c>
      <c r="D56" s="14" t="str">
        <f aca="false">IF(B56="","",SUMIF('المبيعات اليومية'!$B$8:$B$107,B56,'المبيعات اليومية'!$E$8:$E$107))</f>
        <v/>
      </c>
      <c r="E56" s="11" t="str">
        <f aca="false">IF(B56="","",SUMIF('المبيعات اليومية'!$B$8:$B$107,B56,'المبيعات اليومية'!$H$8:$H$107))</f>
        <v/>
      </c>
      <c r="F56" s="11" t="str">
        <f aca="false">IF(B56="","",SUMIF('المبيعات اليومية'!$B$8:$B$107,B56,'المبيعات اليومية'!$I$8:$I$107))</f>
        <v/>
      </c>
      <c r="G56" s="11" t="str">
        <f aca="false">IF(B56="","",SUMIF('المبيعات اليومية'!$B$8:$B$107,B56,'المبيعات اليومية'!$J$8:$J$107))</f>
        <v/>
      </c>
    </row>
    <row r="57" customFormat="false" ht="15" hidden="false" customHeight="false" outlineLevel="0" collapsed="false">
      <c r="A57" s="14" t="str">
        <f aca="false">IF(B57="","",53)</f>
        <v/>
      </c>
      <c r="B57" s="15" t="str">
        <f aca="false">IF('دليل العملاء'!A56="","",'دليل العملاء'!A56)</f>
        <v/>
      </c>
      <c r="C57" s="14" t="str">
        <f aca="false">IF(B57="","",COUNTIF('المبيعات اليومية'!$B$8:$B$107,B57))</f>
        <v/>
      </c>
      <c r="D57" s="14" t="str">
        <f aca="false">IF(B57="","",SUMIF('المبيعات اليومية'!$B$8:$B$107,B57,'المبيعات اليومية'!$E$8:$E$107))</f>
        <v/>
      </c>
      <c r="E57" s="11" t="str">
        <f aca="false">IF(B57="","",SUMIF('المبيعات اليومية'!$B$8:$B$107,B57,'المبيعات اليومية'!$H$8:$H$107))</f>
        <v/>
      </c>
      <c r="F57" s="11" t="str">
        <f aca="false">IF(B57="","",SUMIF('المبيعات اليومية'!$B$8:$B$107,B57,'المبيعات اليومية'!$I$8:$I$107))</f>
        <v/>
      </c>
      <c r="G57" s="11" t="str">
        <f aca="false">IF(B57="","",SUMIF('المبيعات اليومية'!$B$8:$B$107,B57,'المبيعات اليومية'!$J$8:$J$107))</f>
        <v/>
      </c>
    </row>
    <row r="58" customFormat="false" ht="15" hidden="false" customHeight="false" outlineLevel="0" collapsed="false">
      <c r="A58" s="14" t="str">
        <f aca="false">IF(B58="","",54)</f>
        <v/>
      </c>
      <c r="B58" s="15" t="str">
        <f aca="false">IF('دليل العملاء'!A57="","",'دليل العملاء'!A57)</f>
        <v/>
      </c>
      <c r="C58" s="14" t="str">
        <f aca="false">IF(B58="","",COUNTIF('المبيعات اليومية'!$B$8:$B$107,B58))</f>
        <v/>
      </c>
      <c r="D58" s="14" t="str">
        <f aca="false">IF(B58="","",SUMIF('المبيعات اليومية'!$B$8:$B$107,B58,'المبيعات اليومية'!$E$8:$E$107))</f>
        <v/>
      </c>
      <c r="E58" s="11" t="str">
        <f aca="false">IF(B58="","",SUMIF('المبيعات اليومية'!$B$8:$B$107,B58,'المبيعات اليومية'!$H$8:$H$107))</f>
        <v/>
      </c>
      <c r="F58" s="11" t="str">
        <f aca="false">IF(B58="","",SUMIF('المبيعات اليومية'!$B$8:$B$107,B58,'المبيعات اليومية'!$I$8:$I$107))</f>
        <v/>
      </c>
      <c r="G58" s="11" t="str">
        <f aca="false">IF(B58="","",SUMIF('المبيعات اليومية'!$B$8:$B$107,B58,'المبيعات اليومية'!$J$8:$J$107))</f>
        <v/>
      </c>
    </row>
    <row r="59" customFormat="false" ht="15" hidden="false" customHeight="false" outlineLevel="0" collapsed="false">
      <c r="A59" s="14" t="str">
        <f aca="false">IF(B59="","",55)</f>
        <v/>
      </c>
      <c r="B59" s="15" t="str">
        <f aca="false">IF('دليل العملاء'!A58="","",'دليل العملاء'!A58)</f>
        <v/>
      </c>
      <c r="C59" s="14" t="str">
        <f aca="false">IF(B59="","",COUNTIF('المبيعات اليومية'!$B$8:$B$107,B59))</f>
        <v/>
      </c>
      <c r="D59" s="14" t="str">
        <f aca="false">IF(B59="","",SUMIF('المبيعات اليومية'!$B$8:$B$107,B59,'المبيعات اليومية'!$E$8:$E$107))</f>
        <v/>
      </c>
      <c r="E59" s="11" t="str">
        <f aca="false">IF(B59="","",SUMIF('المبيعات اليومية'!$B$8:$B$107,B59,'المبيعات اليومية'!$H$8:$H$107))</f>
        <v/>
      </c>
      <c r="F59" s="11" t="str">
        <f aca="false">IF(B59="","",SUMIF('المبيعات اليومية'!$B$8:$B$107,B59,'المبيعات اليومية'!$I$8:$I$107))</f>
        <v/>
      </c>
      <c r="G59" s="11" t="str">
        <f aca="false">IF(B59="","",SUMIF('المبيعات اليومية'!$B$8:$B$107,B59,'المبيعات اليومية'!$J$8:$J$107))</f>
        <v/>
      </c>
    </row>
    <row r="60" customFormat="false" ht="15" hidden="false" customHeight="false" outlineLevel="0" collapsed="false">
      <c r="A60" s="14" t="str">
        <f aca="false">IF(B60="","",56)</f>
        <v/>
      </c>
      <c r="B60" s="15" t="str">
        <f aca="false">IF('دليل العملاء'!A59="","",'دليل العملاء'!A59)</f>
        <v/>
      </c>
      <c r="C60" s="14" t="str">
        <f aca="false">IF(B60="","",COUNTIF('المبيعات اليومية'!$B$8:$B$107,B60))</f>
        <v/>
      </c>
      <c r="D60" s="14" t="str">
        <f aca="false">IF(B60="","",SUMIF('المبيعات اليومية'!$B$8:$B$107,B60,'المبيعات اليومية'!$E$8:$E$107))</f>
        <v/>
      </c>
      <c r="E60" s="11" t="str">
        <f aca="false">IF(B60="","",SUMIF('المبيعات اليومية'!$B$8:$B$107,B60,'المبيعات اليومية'!$H$8:$H$107))</f>
        <v/>
      </c>
      <c r="F60" s="11" t="str">
        <f aca="false">IF(B60="","",SUMIF('المبيعات اليومية'!$B$8:$B$107,B60,'المبيعات اليومية'!$I$8:$I$107))</f>
        <v/>
      </c>
      <c r="G60" s="11" t="str">
        <f aca="false">IF(B60="","",SUMIF('المبيعات اليومية'!$B$8:$B$107,B60,'المبيعات اليومية'!$J$8:$J$107))</f>
        <v/>
      </c>
    </row>
    <row r="61" customFormat="false" ht="15" hidden="false" customHeight="false" outlineLevel="0" collapsed="false">
      <c r="A61" s="14" t="str">
        <f aca="false">IF(B61="","",57)</f>
        <v/>
      </c>
      <c r="B61" s="15" t="str">
        <f aca="false">IF('دليل العملاء'!A60="","",'دليل العملاء'!A60)</f>
        <v/>
      </c>
      <c r="C61" s="14" t="str">
        <f aca="false">IF(B61="","",COUNTIF('المبيعات اليومية'!$B$8:$B$107,B61))</f>
        <v/>
      </c>
      <c r="D61" s="14" t="str">
        <f aca="false">IF(B61="","",SUMIF('المبيعات اليومية'!$B$8:$B$107,B61,'المبيعات اليومية'!$E$8:$E$107))</f>
        <v/>
      </c>
      <c r="E61" s="11" t="str">
        <f aca="false">IF(B61="","",SUMIF('المبيعات اليومية'!$B$8:$B$107,B61,'المبيعات اليومية'!$H$8:$H$107))</f>
        <v/>
      </c>
      <c r="F61" s="11" t="str">
        <f aca="false">IF(B61="","",SUMIF('المبيعات اليومية'!$B$8:$B$107,B61,'المبيعات اليومية'!$I$8:$I$107))</f>
        <v/>
      </c>
      <c r="G61" s="11" t="str">
        <f aca="false">IF(B61="","",SUMIF('المبيعات اليومية'!$B$8:$B$107,B61,'المبيعات اليومية'!$J$8:$J$107))</f>
        <v/>
      </c>
    </row>
    <row r="62" customFormat="false" ht="15" hidden="false" customHeight="false" outlineLevel="0" collapsed="false">
      <c r="A62" s="14" t="str">
        <f aca="false">IF(B62="","",58)</f>
        <v/>
      </c>
      <c r="B62" s="15" t="str">
        <f aca="false">IF('دليل العملاء'!A61="","",'دليل العملاء'!A61)</f>
        <v/>
      </c>
      <c r="C62" s="14" t="str">
        <f aca="false">IF(B62="","",COUNTIF('المبيعات اليومية'!$B$8:$B$107,B62))</f>
        <v/>
      </c>
      <c r="D62" s="14" t="str">
        <f aca="false">IF(B62="","",SUMIF('المبيعات اليومية'!$B$8:$B$107,B62,'المبيعات اليومية'!$E$8:$E$107))</f>
        <v/>
      </c>
      <c r="E62" s="11" t="str">
        <f aca="false">IF(B62="","",SUMIF('المبيعات اليومية'!$B$8:$B$107,B62,'المبيعات اليومية'!$H$8:$H$107))</f>
        <v/>
      </c>
      <c r="F62" s="11" t="str">
        <f aca="false">IF(B62="","",SUMIF('المبيعات اليومية'!$B$8:$B$107,B62,'المبيعات اليومية'!$I$8:$I$107))</f>
        <v/>
      </c>
      <c r="G62" s="11" t="str">
        <f aca="false">IF(B62="","",SUMIF('المبيعات اليومية'!$B$8:$B$107,B62,'المبيعات اليومية'!$J$8:$J$107))</f>
        <v/>
      </c>
    </row>
    <row r="63" customFormat="false" ht="15" hidden="false" customHeight="false" outlineLevel="0" collapsed="false">
      <c r="A63" s="14" t="str">
        <f aca="false">IF(B63="","",59)</f>
        <v/>
      </c>
      <c r="B63" s="15" t="str">
        <f aca="false">IF('دليل العملاء'!A62="","",'دليل العملاء'!A62)</f>
        <v/>
      </c>
      <c r="C63" s="14" t="str">
        <f aca="false">IF(B63="","",COUNTIF('المبيعات اليومية'!$B$8:$B$107,B63))</f>
        <v/>
      </c>
      <c r="D63" s="14" t="str">
        <f aca="false">IF(B63="","",SUMIF('المبيعات اليومية'!$B$8:$B$107,B63,'المبيعات اليومية'!$E$8:$E$107))</f>
        <v/>
      </c>
      <c r="E63" s="11" t="str">
        <f aca="false">IF(B63="","",SUMIF('المبيعات اليومية'!$B$8:$B$107,B63,'المبيعات اليومية'!$H$8:$H$107))</f>
        <v/>
      </c>
      <c r="F63" s="11" t="str">
        <f aca="false">IF(B63="","",SUMIF('المبيعات اليومية'!$B$8:$B$107,B63,'المبيعات اليومية'!$I$8:$I$107))</f>
        <v/>
      </c>
      <c r="G63" s="11" t="str">
        <f aca="false">IF(B63="","",SUMIF('المبيعات اليومية'!$B$8:$B$107,B63,'المبيعات اليومية'!$J$8:$J$107))</f>
        <v/>
      </c>
    </row>
    <row r="64" customFormat="false" ht="15" hidden="false" customHeight="false" outlineLevel="0" collapsed="false">
      <c r="A64" s="14" t="str">
        <f aca="false">IF(B64="","",60)</f>
        <v/>
      </c>
      <c r="B64" s="15" t="str">
        <f aca="false">IF('دليل العملاء'!A63="","",'دليل العملاء'!A63)</f>
        <v/>
      </c>
      <c r="C64" s="14" t="str">
        <f aca="false">IF(B64="","",COUNTIF('المبيعات اليومية'!$B$8:$B$107,B64))</f>
        <v/>
      </c>
      <c r="D64" s="14" t="str">
        <f aca="false">IF(B64="","",SUMIF('المبيعات اليومية'!$B$8:$B$107,B64,'المبيعات اليومية'!$E$8:$E$107))</f>
        <v/>
      </c>
      <c r="E64" s="11" t="str">
        <f aca="false">IF(B64="","",SUMIF('المبيعات اليومية'!$B$8:$B$107,B64,'المبيعات اليومية'!$H$8:$H$107))</f>
        <v/>
      </c>
      <c r="F64" s="11" t="str">
        <f aca="false">IF(B64="","",SUMIF('المبيعات اليومية'!$B$8:$B$107,B64,'المبيعات اليومية'!$I$8:$I$107))</f>
        <v/>
      </c>
      <c r="G64" s="11" t="str">
        <f aca="false">IF(B64="","",SUMIF('المبيعات اليومية'!$B$8:$B$107,B64,'المبيعات اليومية'!$J$8:$J$107))</f>
        <v/>
      </c>
    </row>
    <row r="65" customFormat="false" ht="15" hidden="false" customHeight="false" outlineLevel="0" collapsed="false">
      <c r="A65" s="14" t="str">
        <f aca="false">IF(B65="","",61)</f>
        <v/>
      </c>
      <c r="B65" s="15" t="str">
        <f aca="false">IF('دليل العملاء'!A64="","",'دليل العملاء'!A64)</f>
        <v/>
      </c>
      <c r="C65" s="14" t="str">
        <f aca="false">IF(B65="","",COUNTIF('المبيعات اليومية'!$B$8:$B$107,B65))</f>
        <v/>
      </c>
      <c r="D65" s="14" t="str">
        <f aca="false">IF(B65="","",SUMIF('المبيعات اليومية'!$B$8:$B$107,B65,'المبيعات اليومية'!$E$8:$E$107))</f>
        <v/>
      </c>
      <c r="E65" s="11" t="str">
        <f aca="false">IF(B65="","",SUMIF('المبيعات اليومية'!$B$8:$B$107,B65,'المبيعات اليومية'!$H$8:$H$107))</f>
        <v/>
      </c>
      <c r="F65" s="11" t="str">
        <f aca="false">IF(B65="","",SUMIF('المبيعات اليومية'!$B$8:$B$107,B65,'المبيعات اليومية'!$I$8:$I$107))</f>
        <v/>
      </c>
      <c r="G65" s="11" t="str">
        <f aca="false">IF(B65="","",SUMIF('المبيعات اليومية'!$B$8:$B$107,B65,'المبيعات اليومية'!$J$8:$J$107))</f>
        <v/>
      </c>
    </row>
    <row r="66" customFormat="false" ht="15" hidden="false" customHeight="false" outlineLevel="0" collapsed="false">
      <c r="A66" s="14" t="str">
        <f aca="false">IF(B66="","",62)</f>
        <v/>
      </c>
      <c r="B66" s="15" t="str">
        <f aca="false">IF('دليل العملاء'!A65="","",'دليل العملاء'!A65)</f>
        <v/>
      </c>
      <c r="C66" s="14" t="str">
        <f aca="false">IF(B66="","",COUNTIF('المبيعات اليومية'!$B$8:$B$107,B66))</f>
        <v/>
      </c>
      <c r="D66" s="14" t="str">
        <f aca="false">IF(B66="","",SUMIF('المبيعات اليومية'!$B$8:$B$107,B66,'المبيعات اليومية'!$E$8:$E$107))</f>
        <v/>
      </c>
      <c r="E66" s="11" t="str">
        <f aca="false">IF(B66="","",SUMIF('المبيعات اليومية'!$B$8:$B$107,B66,'المبيعات اليومية'!$H$8:$H$107))</f>
        <v/>
      </c>
      <c r="F66" s="11" t="str">
        <f aca="false">IF(B66="","",SUMIF('المبيعات اليومية'!$B$8:$B$107,B66,'المبيعات اليومية'!$I$8:$I$107))</f>
        <v/>
      </c>
      <c r="G66" s="11" t="str">
        <f aca="false">IF(B66="","",SUMIF('المبيعات اليومية'!$B$8:$B$107,B66,'المبيعات اليومية'!$J$8:$J$107))</f>
        <v/>
      </c>
    </row>
    <row r="67" customFormat="false" ht="15" hidden="false" customHeight="false" outlineLevel="0" collapsed="false">
      <c r="A67" s="14" t="str">
        <f aca="false">IF(B67="","",63)</f>
        <v/>
      </c>
      <c r="B67" s="15" t="str">
        <f aca="false">IF('دليل العملاء'!A66="","",'دليل العملاء'!A66)</f>
        <v/>
      </c>
      <c r="C67" s="14" t="str">
        <f aca="false">IF(B67="","",COUNTIF('المبيعات اليومية'!$B$8:$B$107,B67))</f>
        <v/>
      </c>
      <c r="D67" s="14" t="str">
        <f aca="false">IF(B67="","",SUMIF('المبيعات اليومية'!$B$8:$B$107,B67,'المبيعات اليومية'!$E$8:$E$107))</f>
        <v/>
      </c>
      <c r="E67" s="11" t="str">
        <f aca="false">IF(B67="","",SUMIF('المبيعات اليومية'!$B$8:$B$107,B67,'المبيعات اليومية'!$H$8:$H$107))</f>
        <v/>
      </c>
      <c r="F67" s="11" t="str">
        <f aca="false">IF(B67="","",SUMIF('المبيعات اليومية'!$B$8:$B$107,B67,'المبيعات اليومية'!$I$8:$I$107))</f>
        <v/>
      </c>
      <c r="G67" s="11" t="str">
        <f aca="false">IF(B67="","",SUMIF('المبيعات اليومية'!$B$8:$B$107,B67,'المبيعات اليومية'!$J$8:$J$107))</f>
        <v/>
      </c>
    </row>
    <row r="68" customFormat="false" ht="15" hidden="false" customHeight="false" outlineLevel="0" collapsed="false">
      <c r="A68" s="14" t="str">
        <f aca="false">IF(B68="","",64)</f>
        <v/>
      </c>
      <c r="B68" s="15" t="str">
        <f aca="false">IF('دليل العملاء'!A67="","",'دليل العملاء'!A67)</f>
        <v/>
      </c>
      <c r="C68" s="14" t="str">
        <f aca="false">IF(B68="","",COUNTIF('المبيعات اليومية'!$B$8:$B$107,B68))</f>
        <v/>
      </c>
      <c r="D68" s="14" t="str">
        <f aca="false">IF(B68="","",SUMIF('المبيعات اليومية'!$B$8:$B$107,B68,'المبيعات اليومية'!$E$8:$E$107))</f>
        <v/>
      </c>
      <c r="E68" s="11" t="str">
        <f aca="false">IF(B68="","",SUMIF('المبيعات اليومية'!$B$8:$B$107,B68,'المبيعات اليومية'!$H$8:$H$107))</f>
        <v/>
      </c>
      <c r="F68" s="11" t="str">
        <f aca="false">IF(B68="","",SUMIF('المبيعات اليومية'!$B$8:$B$107,B68,'المبيعات اليومية'!$I$8:$I$107))</f>
        <v/>
      </c>
      <c r="G68" s="11" t="str">
        <f aca="false">IF(B68="","",SUMIF('المبيعات اليومية'!$B$8:$B$107,B68,'المبيعات اليومية'!$J$8:$J$107))</f>
        <v/>
      </c>
    </row>
    <row r="69" customFormat="false" ht="15" hidden="false" customHeight="false" outlineLevel="0" collapsed="false">
      <c r="A69" s="14" t="str">
        <f aca="false">IF(B69="","",65)</f>
        <v/>
      </c>
      <c r="B69" s="15" t="str">
        <f aca="false">IF('دليل العملاء'!A68="","",'دليل العملاء'!A68)</f>
        <v/>
      </c>
      <c r="C69" s="14" t="str">
        <f aca="false">IF(B69="","",COUNTIF('المبيعات اليومية'!$B$8:$B$107,B69))</f>
        <v/>
      </c>
      <c r="D69" s="14" t="str">
        <f aca="false">IF(B69="","",SUMIF('المبيعات اليومية'!$B$8:$B$107,B69,'المبيعات اليومية'!$E$8:$E$107))</f>
        <v/>
      </c>
      <c r="E69" s="11" t="str">
        <f aca="false">IF(B69="","",SUMIF('المبيعات اليومية'!$B$8:$B$107,B69,'المبيعات اليومية'!$H$8:$H$107))</f>
        <v/>
      </c>
      <c r="F69" s="11" t="str">
        <f aca="false">IF(B69="","",SUMIF('المبيعات اليومية'!$B$8:$B$107,B69,'المبيعات اليومية'!$I$8:$I$107))</f>
        <v/>
      </c>
      <c r="G69" s="11" t="str">
        <f aca="false">IF(B69="","",SUMIF('المبيعات اليومية'!$B$8:$B$107,B69,'المبيعات اليومية'!$J$8:$J$107))</f>
        <v/>
      </c>
    </row>
    <row r="70" customFormat="false" ht="15" hidden="false" customHeight="false" outlineLevel="0" collapsed="false">
      <c r="A70" s="14" t="str">
        <f aca="false">IF(B70="","",66)</f>
        <v/>
      </c>
      <c r="B70" s="15" t="str">
        <f aca="false">IF('دليل العملاء'!A69="","",'دليل العملاء'!A69)</f>
        <v/>
      </c>
      <c r="C70" s="14" t="str">
        <f aca="false">IF(B70="","",COUNTIF('المبيعات اليومية'!$B$8:$B$107,B70))</f>
        <v/>
      </c>
      <c r="D70" s="14" t="str">
        <f aca="false">IF(B70="","",SUMIF('المبيعات اليومية'!$B$8:$B$107,B70,'المبيعات اليومية'!$E$8:$E$107))</f>
        <v/>
      </c>
      <c r="E70" s="11" t="str">
        <f aca="false">IF(B70="","",SUMIF('المبيعات اليومية'!$B$8:$B$107,B70,'المبيعات اليومية'!$H$8:$H$107))</f>
        <v/>
      </c>
      <c r="F70" s="11" t="str">
        <f aca="false">IF(B70="","",SUMIF('المبيعات اليومية'!$B$8:$B$107,B70,'المبيعات اليومية'!$I$8:$I$107))</f>
        <v/>
      </c>
      <c r="G70" s="11" t="str">
        <f aca="false">IF(B70="","",SUMIF('المبيعات اليومية'!$B$8:$B$107,B70,'المبيعات اليومية'!$J$8:$J$107))</f>
        <v/>
      </c>
    </row>
    <row r="71" customFormat="false" ht="15" hidden="false" customHeight="false" outlineLevel="0" collapsed="false">
      <c r="A71" s="14" t="str">
        <f aca="false">IF(B71="","",67)</f>
        <v/>
      </c>
      <c r="B71" s="15" t="str">
        <f aca="false">IF('دليل العملاء'!A70="","",'دليل العملاء'!A70)</f>
        <v/>
      </c>
      <c r="C71" s="14" t="str">
        <f aca="false">IF(B71="","",COUNTIF('المبيعات اليومية'!$B$8:$B$107,B71))</f>
        <v/>
      </c>
      <c r="D71" s="14" t="str">
        <f aca="false">IF(B71="","",SUMIF('المبيعات اليومية'!$B$8:$B$107,B71,'المبيعات اليومية'!$E$8:$E$107))</f>
        <v/>
      </c>
      <c r="E71" s="11" t="str">
        <f aca="false">IF(B71="","",SUMIF('المبيعات اليومية'!$B$8:$B$107,B71,'المبيعات اليومية'!$H$8:$H$107))</f>
        <v/>
      </c>
      <c r="F71" s="11" t="str">
        <f aca="false">IF(B71="","",SUMIF('المبيعات اليومية'!$B$8:$B$107,B71,'المبيعات اليومية'!$I$8:$I$107))</f>
        <v/>
      </c>
      <c r="G71" s="11" t="str">
        <f aca="false">IF(B71="","",SUMIF('المبيعات اليومية'!$B$8:$B$107,B71,'المبيعات اليومية'!$J$8:$J$107))</f>
        <v/>
      </c>
    </row>
    <row r="72" customFormat="false" ht="15" hidden="false" customHeight="false" outlineLevel="0" collapsed="false">
      <c r="A72" s="14" t="str">
        <f aca="false">IF(B72="","",68)</f>
        <v/>
      </c>
      <c r="B72" s="15" t="str">
        <f aca="false">IF('دليل العملاء'!A71="","",'دليل العملاء'!A71)</f>
        <v/>
      </c>
      <c r="C72" s="14" t="str">
        <f aca="false">IF(B72="","",COUNTIF('المبيعات اليومية'!$B$8:$B$107,B72))</f>
        <v/>
      </c>
      <c r="D72" s="14" t="str">
        <f aca="false">IF(B72="","",SUMIF('المبيعات اليومية'!$B$8:$B$107,B72,'المبيعات اليومية'!$E$8:$E$107))</f>
        <v/>
      </c>
      <c r="E72" s="11" t="str">
        <f aca="false">IF(B72="","",SUMIF('المبيعات اليومية'!$B$8:$B$107,B72,'المبيعات اليومية'!$H$8:$H$107))</f>
        <v/>
      </c>
      <c r="F72" s="11" t="str">
        <f aca="false">IF(B72="","",SUMIF('المبيعات اليومية'!$B$8:$B$107,B72,'المبيعات اليومية'!$I$8:$I$107))</f>
        <v/>
      </c>
      <c r="G72" s="11" t="str">
        <f aca="false">IF(B72="","",SUMIF('المبيعات اليومية'!$B$8:$B$107,B72,'المبيعات اليومية'!$J$8:$J$107))</f>
        <v/>
      </c>
    </row>
    <row r="73" customFormat="false" ht="15" hidden="false" customHeight="false" outlineLevel="0" collapsed="false">
      <c r="A73" s="14" t="str">
        <f aca="false">IF(B73="","",69)</f>
        <v/>
      </c>
      <c r="B73" s="15" t="str">
        <f aca="false">IF('دليل العملاء'!A72="","",'دليل العملاء'!A72)</f>
        <v/>
      </c>
      <c r="C73" s="14" t="str">
        <f aca="false">IF(B73="","",COUNTIF('المبيعات اليومية'!$B$8:$B$107,B73))</f>
        <v/>
      </c>
      <c r="D73" s="14" t="str">
        <f aca="false">IF(B73="","",SUMIF('المبيعات اليومية'!$B$8:$B$107,B73,'المبيعات اليومية'!$E$8:$E$107))</f>
        <v/>
      </c>
      <c r="E73" s="11" t="str">
        <f aca="false">IF(B73="","",SUMIF('المبيعات اليومية'!$B$8:$B$107,B73,'المبيعات اليومية'!$H$8:$H$107))</f>
        <v/>
      </c>
      <c r="F73" s="11" t="str">
        <f aca="false">IF(B73="","",SUMIF('المبيعات اليومية'!$B$8:$B$107,B73,'المبيعات اليومية'!$I$8:$I$107))</f>
        <v/>
      </c>
      <c r="G73" s="11" t="str">
        <f aca="false">IF(B73="","",SUMIF('المبيعات اليومية'!$B$8:$B$107,B73,'المبيعات اليومية'!$J$8:$J$107))</f>
        <v/>
      </c>
    </row>
    <row r="74" customFormat="false" ht="15" hidden="false" customHeight="false" outlineLevel="0" collapsed="false">
      <c r="A74" s="14" t="str">
        <f aca="false">IF(B74="","",70)</f>
        <v/>
      </c>
      <c r="B74" s="15" t="str">
        <f aca="false">IF('دليل العملاء'!A73="","",'دليل العملاء'!A73)</f>
        <v/>
      </c>
      <c r="C74" s="14" t="str">
        <f aca="false">IF(B74="","",COUNTIF('المبيعات اليومية'!$B$8:$B$107,B74))</f>
        <v/>
      </c>
      <c r="D74" s="14" t="str">
        <f aca="false">IF(B74="","",SUMIF('المبيعات اليومية'!$B$8:$B$107,B74,'المبيعات اليومية'!$E$8:$E$107))</f>
        <v/>
      </c>
      <c r="E74" s="11" t="str">
        <f aca="false">IF(B74="","",SUMIF('المبيعات اليومية'!$B$8:$B$107,B74,'المبيعات اليومية'!$H$8:$H$107))</f>
        <v/>
      </c>
      <c r="F74" s="11" t="str">
        <f aca="false">IF(B74="","",SUMIF('المبيعات اليومية'!$B$8:$B$107,B74,'المبيعات اليومية'!$I$8:$I$107))</f>
        <v/>
      </c>
      <c r="G74" s="11" t="str">
        <f aca="false">IF(B74="","",SUMIF('المبيعات اليومية'!$B$8:$B$107,B74,'المبيعات اليومية'!$J$8:$J$107))</f>
        <v/>
      </c>
    </row>
    <row r="75" customFormat="false" ht="15" hidden="false" customHeight="false" outlineLevel="0" collapsed="false">
      <c r="A75" s="14" t="str">
        <f aca="false">IF(B75="","",71)</f>
        <v/>
      </c>
      <c r="B75" s="15" t="str">
        <f aca="false">IF('دليل العملاء'!A74="","",'دليل العملاء'!A74)</f>
        <v/>
      </c>
      <c r="C75" s="14" t="str">
        <f aca="false">IF(B75="","",COUNTIF('المبيعات اليومية'!$B$8:$B$107,B75))</f>
        <v/>
      </c>
      <c r="D75" s="14" t="str">
        <f aca="false">IF(B75="","",SUMIF('المبيعات اليومية'!$B$8:$B$107,B75,'المبيعات اليومية'!$E$8:$E$107))</f>
        <v/>
      </c>
      <c r="E75" s="11" t="str">
        <f aca="false">IF(B75="","",SUMIF('المبيعات اليومية'!$B$8:$B$107,B75,'المبيعات اليومية'!$H$8:$H$107))</f>
        <v/>
      </c>
      <c r="F75" s="11" t="str">
        <f aca="false">IF(B75="","",SUMIF('المبيعات اليومية'!$B$8:$B$107,B75,'المبيعات اليومية'!$I$8:$I$107))</f>
        <v/>
      </c>
      <c r="G75" s="11" t="str">
        <f aca="false">IF(B75="","",SUMIF('المبيعات اليومية'!$B$8:$B$107,B75,'المبيعات اليومية'!$J$8:$J$107))</f>
        <v/>
      </c>
    </row>
    <row r="76" customFormat="false" ht="15" hidden="false" customHeight="false" outlineLevel="0" collapsed="false">
      <c r="A76" s="14" t="str">
        <f aca="false">IF(B76="","",72)</f>
        <v/>
      </c>
      <c r="B76" s="15" t="str">
        <f aca="false">IF('دليل العملاء'!A75="","",'دليل العملاء'!A75)</f>
        <v/>
      </c>
      <c r="C76" s="14" t="str">
        <f aca="false">IF(B76="","",COUNTIF('المبيعات اليومية'!$B$8:$B$107,B76))</f>
        <v/>
      </c>
      <c r="D76" s="14" t="str">
        <f aca="false">IF(B76="","",SUMIF('المبيعات اليومية'!$B$8:$B$107,B76,'المبيعات اليومية'!$E$8:$E$107))</f>
        <v/>
      </c>
      <c r="E76" s="11" t="str">
        <f aca="false">IF(B76="","",SUMIF('المبيعات اليومية'!$B$8:$B$107,B76,'المبيعات اليومية'!$H$8:$H$107))</f>
        <v/>
      </c>
      <c r="F76" s="11" t="str">
        <f aca="false">IF(B76="","",SUMIF('المبيعات اليومية'!$B$8:$B$107,B76,'المبيعات اليومية'!$I$8:$I$107))</f>
        <v/>
      </c>
      <c r="G76" s="11" t="str">
        <f aca="false">IF(B76="","",SUMIF('المبيعات اليومية'!$B$8:$B$107,B76,'المبيعات اليومية'!$J$8:$J$107))</f>
        <v/>
      </c>
    </row>
    <row r="77" customFormat="false" ht="15" hidden="false" customHeight="false" outlineLevel="0" collapsed="false">
      <c r="A77" s="14" t="str">
        <f aca="false">IF(B77="","",73)</f>
        <v/>
      </c>
      <c r="B77" s="15" t="str">
        <f aca="false">IF('دليل العملاء'!A76="","",'دليل العملاء'!A76)</f>
        <v/>
      </c>
      <c r="C77" s="14" t="str">
        <f aca="false">IF(B77="","",COUNTIF('المبيعات اليومية'!$B$8:$B$107,B77))</f>
        <v/>
      </c>
      <c r="D77" s="14" t="str">
        <f aca="false">IF(B77="","",SUMIF('المبيعات اليومية'!$B$8:$B$107,B77,'المبيعات اليومية'!$E$8:$E$107))</f>
        <v/>
      </c>
      <c r="E77" s="11" t="str">
        <f aca="false">IF(B77="","",SUMIF('المبيعات اليومية'!$B$8:$B$107,B77,'المبيعات اليومية'!$H$8:$H$107))</f>
        <v/>
      </c>
      <c r="F77" s="11" t="str">
        <f aca="false">IF(B77="","",SUMIF('المبيعات اليومية'!$B$8:$B$107,B77,'المبيعات اليومية'!$I$8:$I$107))</f>
        <v/>
      </c>
      <c r="G77" s="11" t="str">
        <f aca="false">IF(B77="","",SUMIF('المبيعات اليومية'!$B$8:$B$107,B77,'المبيعات اليومية'!$J$8:$J$107))</f>
        <v/>
      </c>
    </row>
    <row r="78" customFormat="false" ht="15" hidden="false" customHeight="false" outlineLevel="0" collapsed="false">
      <c r="A78" s="14" t="str">
        <f aca="false">IF(B78="","",74)</f>
        <v/>
      </c>
      <c r="B78" s="15" t="str">
        <f aca="false">IF('دليل العملاء'!A77="","",'دليل العملاء'!A77)</f>
        <v/>
      </c>
      <c r="C78" s="14" t="str">
        <f aca="false">IF(B78="","",COUNTIF('المبيعات اليومية'!$B$8:$B$107,B78))</f>
        <v/>
      </c>
      <c r="D78" s="14" t="str">
        <f aca="false">IF(B78="","",SUMIF('المبيعات اليومية'!$B$8:$B$107,B78,'المبيعات اليومية'!$E$8:$E$107))</f>
        <v/>
      </c>
      <c r="E78" s="11" t="str">
        <f aca="false">IF(B78="","",SUMIF('المبيعات اليومية'!$B$8:$B$107,B78,'المبيعات اليومية'!$H$8:$H$107))</f>
        <v/>
      </c>
      <c r="F78" s="11" t="str">
        <f aca="false">IF(B78="","",SUMIF('المبيعات اليومية'!$B$8:$B$107,B78,'المبيعات اليومية'!$I$8:$I$107))</f>
        <v/>
      </c>
      <c r="G78" s="11" t="str">
        <f aca="false">IF(B78="","",SUMIF('المبيعات اليومية'!$B$8:$B$107,B78,'المبيعات اليومية'!$J$8:$J$107))</f>
        <v/>
      </c>
    </row>
    <row r="79" customFormat="false" ht="15" hidden="false" customHeight="false" outlineLevel="0" collapsed="false">
      <c r="A79" s="14" t="str">
        <f aca="false">IF(B79="","",75)</f>
        <v/>
      </c>
      <c r="B79" s="15" t="str">
        <f aca="false">IF('دليل العملاء'!A78="","",'دليل العملاء'!A78)</f>
        <v/>
      </c>
      <c r="C79" s="14" t="str">
        <f aca="false">IF(B79="","",COUNTIF('المبيعات اليومية'!$B$8:$B$107,B79))</f>
        <v/>
      </c>
      <c r="D79" s="14" t="str">
        <f aca="false">IF(B79="","",SUMIF('المبيعات اليومية'!$B$8:$B$107,B79,'المبيعات اليومية'!$E$8:$E$107))</f>
        <v/>
      </c>
      <c r="E79" s="11" t="str">
        <f aca="false">IF(B79="","",SUMIF('المبيعات اليومية'!$B$8:$B$107,B79,'المبيعات اليومية'!$H$8:$H$107))</f>
        <v/>
      </c>
      <c r="F79" s="11" t="str">
        <f aca="false">IF(B79="","",SUMIF('المبيعات اليومية'!$B$8:$B$107,B79,'المبيعات اليومية'!$I$8:$I$107))</f>
        <v/>
      </c>
      <c r="G79" s="11" t="str">
        <f aca="false">IF(B79="","",SUMIF('المبيعات اليومية'!$B$8:$B$107,B79,'المبيعات اليومية'!$J$8:$J$107))</f>
        <v/>
      </c>
    </row>
    <row r="80" customFormat="false" ht="15" hidden="false" customHeight="false" outlineLevel="0" collapsed="false">
      <c r="A80" s="14" t="str">
        <f aca="false">IF(B80="","",76)</f>
        <v/>
      </c>
      <c r="B80" s="15" t="str">
        <f aca="false">IF('دليل العملاء'!A79="","",'دليل العملاء'!A79)</f>
        <v/>
      </c>
      <c r="C80" s="14" t="str">
        <f aca="false">IF(B80="","",COUNTIF('المبيعات اليومية'!$B$8:$B$107,B80))</f>
        <v/>
      </c>
      <c r="D80" s="14" t="str">
        <f aca="false">IF(B80="","",SUMIF('المبيعات اليومية'!$B$8:$B$107,B80,'المبيعات اليومية'!$E$8:$E$107))</f>
        <v/>
      </c>
      <c r="E80" s="11" t="str">
        <f aca="false">IF(B80="","",SUMIF('المبيعات اليومية'!$B$8:$B$107,B80,'المبيعات اليومية'!$H$8:$H$107))</f>
        <v/>
      </c>
      <c r="F80" s="11" t="str">
        <f aca="false">IF(B80="","",SUMIF('المبيعات اليومية'!$B$8:$B$107,B80,'المبيعات اليومية'!$I$8:$I$107))</f>
        <v/>
      </c>
      <c r="G80" s="11" t="str">
        <f aca="false">IF(B80="","",SUMIF('المبيعات اليومية'!$B$8:$B$107,B80,'المبيعات اليومية'!$J$8:$J$107))</f>
        <v/>
      </c>
    </row>
    <row r="81" customFormat="false" ht="15" hidden="false" customHeight="false" outlineLevel="0" collapsed="false">
      <c r="A81" s="14" t="str">
        <f aca="false">IF(B81="","",77)</f>
        <v/>
      </c>
      <c r="B81" s="15" t="str">
        <f aca="false">IF('دليل العملاء'!A80="","",'دليل العملاء'!A80)</f>
        <v/>
      </c>
      <c r="C81" s="14" t="str">
        <f aca="false">IF(B81="","",COUNTIF('المبيعات اليومية'!$B$8:$B$107,B81))</f>
        <v/>
      </c>
      <c r="D81" s="14" t="str">
        <f aca="false">IF(B81="","",SUMIF('المبيعات اليومية'!$B$8:$B$107,B81,'المبيعات اليومية'!$E$8:$E$107))</f>
        <v/>
      </c>
      <c r="E81" s="11" t="str">
        <f aca="false">IF(B81="","",SUMIF('المبيعات اليومية'!$B$8:$B$107,B81,'المبيعات اليومية'!$H$8:$H$107))</f>
        <v/>
      </c>
      <c r="F81" s="11" t="str">
        <f aca="false">IF(B81="","",SUMIF('المبيعات اليومية'!$B$8:$B$107,B81,'المبيعات اليومية'!$I$8:$I$107))</f>
        <v/>
      </c>
      <c r="G81" s="11" t="str">
        <f aca="false">IF(B81="","",SUMIF('المبيعات اليومية'!$B$8:$B$107,B81,'المبيعات اليومية'!$J$8:$J$107))</f>
        <v/>
      </c>
    </row>
    <row r="82" customFormat="false" ht="15" hidden="false" customHeight="false" outlineLevel="0" collapsed="false">
      <c r="A82" s="14" t="str">
        <f aca="false">IF(B82="","",78)</f>
        <v/>
      </c>
      <c r="B82" s="15" t="str">
        <f aca="false">IF('دليل العملاء'!A81="","",'دليل العملاء'!A81)</f>
        <v/>
      </c>
      <c r="C82" s="14" t="str">
        <f aca="false">IF(B82="","",COUNTIF('المبيعات اليومية'!$B$8:$B$107,B82))</f>
        <v/>
      </c>
      <c r="D82" s="14" t="str">
        <f aca="false">IF(B82="","",SUMIF('المبيعات اليومية'!$B$8:$B$107,B82,'المبيعات اليومية'!$E$8:$E$107))</f>
        <v/>
      </c>
      <c r="E82" s="11" t="str">
        <f aca="false">IF(B82="","",SUMIF('المبيعات اليومية'!$B$8:$B$107,B82,'المبيعات اليومية'!$H$8:$H$107))</f>
        <v/>
      </c>
      <c r="F82" s="11" t="str">
        <f aca="false">IF(B82="","",SUMIF('المبيعات اليومية'!$B$8:$B$107,B82,'المبيعات اليومية'!$I$8:$I$107))</f>
        <v/>
      </c>
      <c r="G82" s="11" t="str">
        <f aca="false">IF(B82="","",SUMIF('المبيعات اليومية'!$B$8:$B$107,B82,'المبيعات اليومية'!$J$8:$J$107))</f>
        <v/>
      </c>
    </row>
    <row r="83" customFormat="false" ht="15" hidden="false" customHeight="false" outlineLevel="0" collapsed="false">
      <c r="A83" s="14" t="str">
        <f aca="false">IF(B83="","",79)</f>
        <v/>
      </c>
      <c r="B83" s="15" t="str">
        <f aca="false">IF('دليل العملاء'!A82="","",'دليل العملاء'!A82)</f>
        <v/>
      </c>
      <c r="C83" s="14" t="str">
        <f aca="false">IF(B83="","",COUNTIF('المبيعات اليومية'!$B$8:$B$107,B83))</f>
        <v/>
      </c>
      <c r="D83" s="14" t="str">
        <f aca="false">IF(B83="","",SUMIF('المبيعات اليومية'!$B$8:$B$107,B83,'المبيعات اليومية'!$E$8:$E$107))</f>
        <v/>
      </c>
      <c r="E83" s="11" t="str">
        <f aca="false">IF(B83="","",SUMIF('المبيعات اليومية'!$B$8:$B$107,B83,'المبيعات اليومية'!$H$8:$H$107))</f>
        <v/>
      </c>
      <c r="F83" s="11" t="str">
        <f aca="false">IF(B83="","",SUMIF('المبيعات اليومية'!$B$8:$B$107,B83,'المبيعات اليومية'!$I$8:$I$107))</f>
        <v/>
      </c>
      <c r="G83" s="11" t="str">
        <f aca="false">IF(B83="","",SUMIF('المبيعات اليومية'!$B$8:$B$107,B83,'المبيعات اليومية'!$J$8:$J$107))</f>
        <v/>
      </c>
    </row>
    <row r="84" customFormat="false" ht="15" hidden="false" customHeight="false" outlineLevel="0" collapsed="false">
      <c r="A84" s="14" t="str">
        <f aca="false">IF(B84="","",80)</f>
        <v/>
      </c>
      <c r="B84" s="15" t="str">
        <f aca="false">IF('دليل العملاء'!A83="","",'دليل العملاء'!A83)</f>
        <v/>
      </c>
      <c r="C84" s="14" t="str">
        <f aca="false">IF(B84="","",COUNTIF('المبيعات اليومية'!$B$8:$B$107,B84))</f>
        <v/>
      </c>
      <c r="D84" s="14" t="str">
        <f aca="false">IF(B84="","",SUMIF('المبيعات اليومية'!$B$8:$B$107,B84,'المبيعات اليومية'!$E$8:$E$107))</f>
        <v/>
      </c>
      <c r="E84" s="11" t="str">
        <f aca="false">IF(B84="","",SUMIF('المبيعات اليومية'!$B$8:$B$107,B84,'المبيعات اليومية'!$H$8:$H$107))</f>
        <v/>
      </c>
      <c r="F84" s="11" t="str">
        <f aca="false">IF(B84="","",SUMIF('المبيعات اليومية'!$B$8:$B$107,B84,'المبيعات اليومية'!$I$8:$I$107))</f>
        <v/>
      </c>
      <c r="G84" s="11" t="str">
        <f aca="false">IF(B84="","",SUMIF('المبيعات اليومية'!$B$8:$B$107,B84,'المبيعات اليومية'!$J$8:$J$107))</f>
        <v/>
      </c>
    </row>
    <row r="85" customFormat="false" ht="15" hidden="false" customHeight="false" outlineLevel="0" collapsed="false">
      <c r="A85" s="14" t="str">
        <f aca="false">IF(B85="","",81)</f>
        <v/>
      </c>
      <c r="B85" s="15" t="str">
        <f aca="false">IF('دليل العملاء'!A84="","",'دليل العملاء'!A84)</f>
        <v/>
      </c>
      <c r="C85" s="14" t="str">
        <f aca="false">IF(B85="","",COUNTIF('المبيعات اليومية'!$B$8:$B$107,B85))</f>
        <v/>
      </c>
      <c r="D85" s="14" t="str">
        <f aca="false">IF(B85="","",SUMIF('المبيعات اليومية'!$B$8:$B$107,B85,'المبيعات اليومية'!$E$8:$E$107))</f>
        <v/>
      </c>
      <c r="E85" s="11" t="str">
        <f aca="false">IF(B85="","",SUMIF('المبيعات اليومية'!$B$8:$B$107,B85,'المبيعات اليومية'!$H$8:$H$107))</f>
        <v/>
      </c>
      <c r="F85" s="11" t="str">
        <f aca="false">IF(B85="","",SUMIF('المبيعات اليومية'!$B$8:$B$107,B85,'المبيعات اليومية'!$I$8:$I$107))</f>
        <v/>
      </c>
      <c r="G85" s="11" t="str">
        <f aca="false">IF(B85="","",SUMIF('المبيعات اليومية'!$B$8:$B$107,B85,'المبيعات اليومية'!$J$8:$J$107))</f>
        <v/>
      </c>
    </row>
    <row r="86" customFormat="false" ht="15" hidden="false" customHeight="false" outlineLevel="0" collapsed="false">
      <c r="A86" s="14" t="str">
        <f aca="false">IF(B86="","",82)</f>
        <v/>
      </c>
      <c r="B86" s="15" t="str">
        <f aca="false">IF('دليل العملاء'!A85="","",'دليل العملاء'!A85)</f>
        <v/>
      </c>
      <c r="C86" s="14" t="str">
        <f aca="false">IF(B86="","",COUNTIF('المبيعات اليومية'!$B$8:$B$107,B86))</f>
        <v/>
      </c>
      <c r="D86" s="14" t="str">
        <f aca="false">IF(B86="","",SUMIF('المبيعات اليومية'!$B$8:$B$107,B86,'المبيعات اليومية'!$E$8:$E$107))</f>
        <v/>
      </c>
      <c r="E86" s="11" t="str">
        <f aca="false">IF(B86="","",SUMIF('المبيعات اليومية'!$B$8:$B$107,B86,'المبيعات اليومية'!$H$8:$H$107))</f>
        <v/>
      </c>
      <c r="F86" s="11" t="str">
        <f aca="false">IF(B86="","",SUMIF('المبيعات اليومية'!$B$8:$B$107,B86,'المبيعات اليومية'!$I$8:$I$107))</f>
        <v/>
      </c>
      <c r="G86" s="11" t="str">
        <f aca="false">IF(B86="","",SUMIF('المبيعات اليومية'!$B$8:$B$107,B86,'المبيعات اليومية'!$J$8:$J$107))</f>
        <v/>
      </c>
    </row>
    <row r="87" customFormat="false" ht="15" hidden="false" customHeight="false" outlineLevel="0" collapsed="false">
      <c r="A87" s="14" t="str">
        <f aca="false">IF(B87="","",83)</f>
        <v/>
      </c>
      <c r="B87" s="15" t="str">
        <f aca="false">IF('دليل العملاء'!A86="","",'دليل العملاء'!A86)</f>
        <v/>
      </c>
      <c r="C87" s="14" t="str">
        <f aca="false">IF(B87="","",COUNTIF('المبيعات اليومية'!$B$8:$B$107,B87))</f>
        <v/>
      </c>
      <c r="D87" s="14" t="str">
        <f aca="false">IF(B87="","",SUMIF('المبيعات اليومية'!$B$8:$B$107,B87,'المبيعات اليومية'!$E$8:$E$107))</f>
        <v/>
      </c>
      <c r="E87" s="11" t="str">
        <f aca="false">IF(B87="","",SUMIF('المبيعات اليومية'!$B$8:$B$107,B87,'المبيعات اليومية'!$H$8:$H$107))</f>
        <v/>
      </c>
      <c r="F87" s="11" t="str">
        <f aca="false">IF(B87="","",SUMIF('المبيعات اليومية'!$B$8:$B$107,B87,'المبيعات اليومية'!$I$8:$I$107))</f>
        <v/>
      </c>
      <c r="G87" s="11" t="str">
        <f aca="false">IF(B87="","",SUMIF('المبيعات اليومية'!$B$8:$B$107,B87,'المبيعات اليومية'!$J$8:$J$107))</f>
        <v/>
      </c>
    </row>
    <row r="88" customFormat="false" ht="15" hidden="false" customHeight="false" outlineLevel="0" collapsed="false">
      <c r="A88" s="14" t="str">
        <f aca="false">IF(B88="","",84)</f>
        <v/>
      </c>
      <c r="B88" s="15" t="str">
        <f aca="false">IF('دليل العملاء'!A87="","",'دليل العملاء'!A87)</f>
        <v/>
      </c>
      <c r="C88" s="14" t="str">
        <f aca="false">IF(B88="","",COUNTIF('المبيعات اليومية'!$B$8:$B$107,B88))</f>
        <v/>
      </c>
      <c r="D88" s="14" t="str">
        <f aca="false">IF(B88="","",SUMIF('المبيعات اليومية'!$B$8:$B$107,B88,'المبيعات اليومية'!$E$8:$E$107))</f>
        <v/>
      </c>
      <c r="E88" s="11" t="str">
        <f aca="false">IF(B88="","",SUMIF('المبيعات اليومية'!$B$8:$B$107,B88,'المبيعات اليومية'!$H$8:$H$107))</f>
        <v/>
      </c>
      <c r="F88" s="11" t="str">
        <f aca="false">IF(B88="","",SUMIF('المبيعات اليومية'!$B$8:$B$107,B88,'المبيعات اليومية'!$I$8:$I$107))</f>
        <v/>
      </c>
      <c r="G88" s="11" t="str">
        <f aca="false">IF(B88="","",SUMIF('المبيعات اليومية'!$B$8:$B$107,B88,'المبيعات اليومية'!$J$8:$J$107))</f>
        <v/>
      </c>
    </row>
    <row r="89" customFormat="false" ht="15" hidden="false" customHeight="false" outlineLevel="0" collapsed="false">
      <c r="A89" s="14" t="str">
        <f aca="false">IF(B89="","",85)</f>
        <v/>
      </c>
      <c r="B89" s="15" t="str">
        <f aca="false">IF('دليل العملاء'!A88="","",'دليل العملاء'!A88)</f>
        <v/>
      </c>
      <c r="C89" s="14" t="str">
        <f aca="false">IF(B89="","",COUNTIF('المبيعات اليومية'!$B$8:$B$107,B89))</f>
        <v/>
      </c>
      <c r="D89" s="14" t="str">
        <f aca="false">IF(B89="","",SUMIF('المبيعات اليومية'!$B$8:$B$107,B89,'المبيعات اليومية'!$E$8:$E$107))</f>
        <v/>
      </c>
      <c r="E89" s="11" t="str">
        <f aca="false">IF(B89="","",SUMIF('المبيعات اليومية'!$B$8:$B$107,B89,'المبيعات اليومية'!$H$8:$H$107))</f>
        <v/>
      </c>
      <c r="F89" s="11" t="str">
        <f aca="false">IF(B89="","",SUMIF('المبيعات اليومية'!$B$8:$B$107,B89,'المبيعات اليومية'!$I$8:$I$107))</f>
        <v/>
      </c>
      <c r="G89" s="11" t="str">
        <f aca="false">IF(B89="","",SUMIF('المبيعات اليومية'!$B$8:$B$107,B89,'المبيعات اليومية'!$J$8:$J$107))</f>
        <v/>
      </c>
    </row>
    <row r="90" customFormat="false" ht="15" hidden="false" customHeight="false" outlineLevel="0" collapsed="false">
      <c r="A90" s="14" t="str">
        <f aca="false">IF(B90="","",86)</f>
        <v/>
      </c>
      <c r="B90" s="15" t="str">
        <f aca="false">IF('دليل العملاء'!A89="","",'دليل العملاء'!A89)</f>
        <v/>
      </c>
      <c r="C90" s="14" t="str">
        <f aca="false">IF(B90="","",COUNTIF('المبيعات اليومية'!$B$8:$B$107,B90))</f>
        <v/>
      </c>
      <c r="D90" s="14" t="str">
        <f aca="false">IF(B90="","",SUMIF('المبيعات اليومية'!$B$8:$B$107,B90,'المبيعات اليومية'!$E$8:$E$107))</f>
        <v/>
      </c>
      <c r="E90" s="11" t="str">
        <f aca="false">IF(B90="","",SUMIF('المبيعات اليومية'!$B$8:$B$107,B90,'المبيعات اليومية'!$H$8:$H$107))</f>
        <v/>
      </c>
      <c r="F90" s="11" t="str">
        <f aca="false">IF(B90="","",SUMIF('المبيعات اليومية'!$B$8:$B$107,B90,'المبيعات اليومية'!$I$8:$I$107))</f>
        <v/>
      </c>
      <c r="G90" s="11" t="str">
        <f aca="false">IF(B90="","",SUMIF('المبيعات اليومية'!$B$8:$B$107,B90,'المبيعات اليومية'!$J$8:$J$107))</f>
        <v/>
      </c>
    </row>
    <row r="91" customFormat="false" ht="15" hidden="false" customHeight="false" outlineLevel="0" collapsed="false">
      <c r="A91" s="14" t="str">
        <f aca="false">IF(B91="","",87)</f>
        <v/>
      </c>
      <c r="B91" s="15" t="str">
        <f aca="false">IF('دليل العملاء'!A90="","",'دليل العملاء'!A90)</f>
        <v/>
      </c>
      <c r="C91" s="14" t="str">
        <f aca="false">IF(B91="","",COUNTIF('المبيعات اليومية'!$B$8:$B$107,B91))</f>
        <v/>
      </c>
      <c r="D91" s="14" t="str">
        <f aca="false">IF(B91="","",SUMIF('المبيعات اليومية'!$B$8:$B$107,B91,'المبيعات اليومية'!$E$8:$E$107))</f>
        <v/>
      </c>
      <c r="E91" s="11" t="str">
        <f aca="false">IF(B91="","",SUMIF('المبيعات اليومية'!$B$8:$B$107,B91,'المبيعات اليومية'!$H$8:$H$107))</f>
        <v/>
      </c>
      <c r="F91" s="11" t="str">
        <f aca="false">IF(B91="","",SUMIF('المبيعات اليومية'!$B$8:$B$107,B91,'المبيعات اليومية'!$I$8:$I$107))</f>
        <v/>
      </c>
      <c r="G91" s="11" t="str">
        <f aca="false">IF(B91="","",SUMIF('المبيعات اليومية'!$B$8:$B$107,B91,'المبيعات اليومية'!$J$8:$J$107))</f>
        <v/>
      </c>
    </row>
    <row r="92" customFormat="false" ht="15" hidden="false" customHeight="false" outlineLevel="0" collapsed="false">
      <c r="A92" s="14" t="str">
        <f aca="false">IF(B92="","",88)</f>
        <v/>
      </c>
      <c r="B92" s="15" t="str">
        <f aca="false">IF('دليل العملاء'!A91="","",'دليل العملاء'!A91)</f>
        <v/>
      </c>
      <c r="C92" s="14" t="str">
        <f aca="false">IF(B92="","",COUNTIF('المبيعات اليومية'!$B$8:$B$107,B92))</f>
        <v/>
      </c>
      <c r="D92" s="14" t="str">
        <f aca="false">IF(B92="","",SUMIF('المبيعات اليومية'!$B$8:$B$107,B92,'المبيعات اليومية'!$E$8:$E$107))</f>
        <v/>
      </c>
      <c r="E92" s="11" t="str">
        <f aca="false">IF(B92="","",SUMIF('المبيعات اليومية'!$B$8:$B$107,B92,'المبيعات اليومية'!$H$8:$H$107))</f>
        <v/>
      </c>
      <c r="F92" s="11" t="str">
        <f aca="false">IF(B92="","",SUMIF('المبيعات اليومية'!$B$8:$B$107,B92,'المبيعات اليومية'!$I$8:$I$107))</f>
        <v/>
      </c>
      <c r="G92" s="11" t="str">
        <f aca="false">IF(B92="","",SUMIF('المبيعات اليومية'!$B$8:$B$107,B92,'المبيعات اليومية'!$J$8:$J$107))</f>
        <v/>
      </c>
    </row>
    <row r="93" customFormat="false" ht="15" hidden="false" customHeight="false" outlineLevel="0" collapsed="false">
      <c r="A93" s="14" t="str">
        <f aca="false">IF(B93="","",89)</f>
        <v/>
      </c>
      <c r="B93" s="15" t="str">
        <f aca="false">IF('دليل العملاء'!A92="","",'دليل العملاء'!A92)</f>
        <v/>
      </c>
      <c r="C93" s="14" t="str">
        <f aca="false">IF(B93="","",COUNTIF('المبيعات اليومية'!$B$8:$B$107,B93))</f>
        <v/>
      </c>
      <c r="D93" s="14" t="str">
        <f aca="false">IF(B93="","",SUMIF('المبيعات اليومية'!$B$8:$B$107,B93,'المبيعات اليومية'!$E$8:$E$107))</f>
        <v/>
      </c>
      <c r="E93" s="11" t="str">
        <f aca="false">IF(B93="","",SUMIF('المبيعات اليومية'!$B$8:$B$107,B93,'المبيعات اليومية'!$H$8:$H$107))</f>
        <v/>
      </c>
      <c r="F93" s="11" t="str">
        <f aca="false">IF(B93="","",SUMIF('المبيعات اليومية'!$B$8:$B$107,B93,'المبيعات اليومية'!$I$8:$I$107))</f>
        <v/>
      </c>
      <c r="G93" s="11" t="str">
        <f aca="false">IF(B93="","",SUMIF('المبيعات اليومية'!$B$8:$B$107,B93,'المبيعات اليومية'!$J$8:$J$107))</f>
        <v/>
      </c>
    </row>
    <row r="94" customFormat="false" ht="15" hidden="false" customHeight="false" outlineLevel="0" collapsed="false">
      <c r="A94" s="14" t="str">
        <f aca="false">IF(B94="","",90)</f>
        <v/>
      </c>
      <c r="B94" s="15" t="str">
        <f aca="false">IF('دليل العملاء'!A93="","",'دليل العملاء'!A93)</f>
        <v/>
      </c>
      <c r="C94" s="14" t="str">
        <f aca="false">IF(B94="","",COUNTIF('المبيعات اليومية'!$B$8:$B$107,B94))</f>
        <v/>
      </c>
      <c r="D94" s="14" t="str">
        <f aca="false">IF(B94="","",SUMIF('المبيعات اليومية'!$B$8:$B$107,B94,'المبيعات اليومية'!$E$8:$E$107))</f>
        <v/>
      </c>
      <c r="E94" s="11" t="str">
        <f aca="false">IF(B94="","",SUMIF('المبيعات اليومية'!$B$8:$B$107,B94,'المبيعات اليومية'!$H$8:$H$107))</f>
        <v/>
      </c>
      <c r="F94" s="11" t="str">
        <f aca="false">IF(B94="","",SUMIF('المبيعات اليومية'!$B$8:$B$107,B94,'المبيعات اليومية'!$I$8:$I$107))</f>
        <v/>
      </c>
      <c r="G94" s="11" t="str">
        <f aca="false">IF(B94="","",SUMIF('المبيعات اليومية'!$B$8:$B$107,B94,'المبيعات اليومية'!$J$8:$J$107))</f>
        <v/>
      </c>
    </row>
    <row r="95" customFormat="false" ht="15" hidden="false" customHeight="false" outlineLevel="0" collapsed="false">
      <c r="A95" s="14" t="str">
        <f aca="false">IF(B95="","",91)</f>
        <v/>
      </c>
      <c r="B95" s="15" t="str">
        <f aca="false">IF('دليل العملاء'!A94="","",'دليل العملاء'!A94)</f>
        <v/>
      </c>
      <c r="C95" s="14" t="str">
        <f aca="false">IF(B95="","",COUNTIF('المبيعات اليومية'!$B$8:$B$107,B95))</f>
        <v/>
      </c>
      <c r="D95" s="14" t="str">
        <f aca="false">IF(B95="","",SUMIF('المبيعات اليومية'!$B$8:$B$107,B95,'المبيعات اليومية'!$E$8:$E$107))</f>
        <v/>
      </c>
      <c r="E95" s="11" t="str">
        <f aca="false">IF(B95="","",SUMIF('المبيعات اليومية'!$B$8:$B$107,B95,'المبيعات اليومية'!$H$8:$H$107))</f>
        <v/>
      </c>
      <c r="F95" s="11" t="str">
        <f aca="false">IF(B95="","",SUMIF('المبيعات اليومية'!$B$8:$B$107,B95,'المبيعات اليومية'!$I$8:$I$107))</f>
        <v/>
      </c>
      <c r="G95" s="11" t="str">
        <f aca="false">IF(B95="","",SUMIF('المبيعات اليومية'!$B$8:$B$107,B95,'المبيعات اليومية'!$J$8:$J$107))</f>
        <v/>
      </c>
    </row>
    <row r="96" customFormat="false" ht="15" hidden="false" customHeight="false" outlineLevel="0" collapsed="false">
      <c r="A96" s="14" t="str">
        <f aca="false">IF(B96="","",92)</f>
        <v/>
      </c>
      <c r="B96" s="15" t="str">
        <f aca="false">IF('دليل العملاء'!A95="","",'دليل العملاء'!A95)</f>
        <v/>
      </c>
      <c r="C96" s="14" t="str">
        <f aca="false">IF(B96="","",COUNTIF('المبيعات اليومية'!$B$8:$B$107,B96))</f>
        <v/>
      </c>
      <c r="D96" s="14" t="str">
        <f aca="false">IF(B96="","",SUMIF('المبيعات اليومية'!$B$8:$B$107,B96,'المبيعات اليومية'!$E$8:$E$107))</f>
        <v/>
      </c>
      <c r="E96" s="11" t="str">
        <f aca="false">IF(B96="","",SUMIF('المبيعات اليومية'!$B$8:$B$107,B96,'المبيعات اليومية'!$H$8:$H$107))</f>
        <v/>
      </c>
      <c r="F96" s="11" t="str">
        <f aca="false">IF(B96="","",SUMIF('المبيعات اليومية'!$B$8:$B$107,B96,'المبيعات اليومية'!$I$8:$I$107))</f>
        <v/>
      </c>
      <c r="G96" s="11" t="str">
        <f aca="false">IF(B96="","",SUMIF('المبيعات اليومية'!$B$8:$B$107,B96,'المبيعات اليومية'!$J$8:$J$107))</f>
        <v/>
      </c>
    </row>
    <row r="97" customFormat="false" ht="15" hidden="false" customHeight="false" outlineLevel="0" collapsed="false">
      <c r="A97" s="14" t="str">
        <f aca="false">IF(B97="","",93)</f>
        <v/>
      </c>
      <c r="B97" s="15" t="str">
        <f aca="false">IF('دليل العملاء'!A96="","",'دليل العملاء'!A96)</f>
        <v/>
      </c>
      <c r="C97" s="14" t="str">
        <f aca="false">IF(B97="","",COUNTIF('المبيعات اليومية'!$B$8:$B$107,B97))</f>
        <v/>
      </c>
      <c r="D97" s="14" t="str">
        <f aca="false">IF(B97="","",SUMIF('المبيعات اليومية'!$B$8:$B$107,B97,'المبيعات اليومية'!$E$8:$E$107))</f>
        <v/>
      </c>
      <c r="E97" s="11" t="str">
        <f aca="false">IF(B97="","",SUMIF('المبيعات اليومية'!$B$8:$B$107,B97,'المبيعات اليومية'!$H$8:$H$107))</f>
        <v/>
      </c>
      <c r="F97" s="11" t="str">
        <f aca="false">IF(B97="","",SUMIF('المبيعات اليومية'!$B$8:$B$107,B97,'المبيعات اليومية'!$I$8:$I$107))</f>
        <v/>
      </c>
      <c r="G97" s="11" t="str">
        <f aca="false">IF(B97="","",SUMIF('المبيعات اليومية'!$B$8:$B$107,B97,'المبيعات اليومية'!$J$8:$J$107))</f>
        <v/>
      </c>
    </row>
    <row r="98" customFormat="false" ht="15" hidden="false" customHeight="false" outlineLevel="0" collapsed="false">
      <c r="A98" s="14" t="str">
        <f aca="false">IF(B98="","",94)</f>
        <v/>
      </c>
      <c r="B98" s="15" t="str">
        <f aca="false">IF('دليل العملاء'!A97="","",'دليل العملاء'!A97)</f>
        <v/>
      </c>
      <c r="C98" s="14" t="str">
        <f aca="false">IF(B98="","",COUNTIF('المبيعات اليومية'!$B$8:$B$107,B98))</f>
        <v/>
      </c>
      <c r="D98" s="14" t="str">
        <f aca="false">IF(B98="","",SUMIF('المبيعات اليومية'!$B$8:$B$107,B98,'المبيعات اليومية'!$E$8:$E$107))</f>
        <v/>
      </c>
      <c r="E98" s="11" t="str">
        <f aca="false">IF(B98="","",SUMIF('المبيعات اليومية'!$B$8:$B$107,B98,'المبيعات اليومية'!$H$8:$H$107))</f>
        <v/>
      </c>
      <c r="F98" s="11" t="str">
        <f aca="false">IF(B98="","",SUMIF('المبيعات اليومية'!$B$8:$B$107,B98,'المبيعات اليومية'!$I$8:$I$107))</f>
        <v/>
      </c>
      <c r="G98" s="11" t="str">
        <f aca="false">IF(B98="","",SUMIF('المبيعات اليومية'!$B$8:$B$107,B98,'المبيعات اليومية'!$J$8:$J$107))</f>
        <v/>
      </c>
    </row>
    <row r="99" customFormat="false" ht="15" hidden="false" customHeight="false" outlineLevel="0" collapsed="false">
      <c r="A99" s="14" t="str">
        <f aca="false">IF(B99="","",95)</f>
        <v/>
      </c>
      <c r="B99" s="15" t="str">
        <f aca="false">IF('دليل العملاء'!A98="","",'دليل العملاء'!A98)</f>
        <v/>
      </c>
      <c r="C99" s="14" t="str">
        <f aca="false">IF(B99="","",COUNTIF('المبيعات اليومية'!$B$8:$B$107,B99))</f>
        <v/>
      </c>
      <c r="D99" s="14" t="str">
        <f aca="false">IF(B99="","",SUMIF('المبيعات اليومية'!$B$8:$B$107,B99,'المبيعات اليومية'!$E$8:$E$107))</f>
        <v/>
      </c>
      <c r="E99" s="11" t="str">
        <f aca="false">IF(B99="","",SUMIF('المبيعات اليومية'!$B$8:$B$107,B99,'المبيعات اليومية'!$H$8:$H$107))</f>
        <v/>
      </c>
      <c r="F99" s="11" t="str">
        <f aca="false">IF(B99="","",SUMIF('المبيعات اليومية'!$B$8:$B$107,B99,'المبيعات اليومية'!$I$8:$I$107))</f>
        <v/>
      </c>
      <c r="G99" s="11" t="str">
        <f aca="false">IF(B99="","",SUMIF('المبيعات اليومية'!$B$8:$B$107,B99,'المبيعات اليومية'!$J$8:$J$107))</f>
        <v/>
      </c>
    </row>
    <row r="100" customFormat="false" ht="15" hidden="false" customHeight="false" outlineLevel="0" collapsed="false">
      <c r="A100" s="14" t="str">
        <f aca="false">IF(B100="","",96)</f>
        <v/>
      </c>
      <c r="B100" s="15" t="str">
        <f aca="false">IF('دليل العملاء'!A99="","",'دليل العملاء'!A99)</f>
        <v/>
      </c>
      <c r="C100" s="14" t="str">
        <f aca="false">IF(B100="","",COUNTIF('المبيعات اليومية'!$B$8:$B$107,B100))</f>
        <v/>
      </c>
      <c r="D100" s="14" t="str">
        <f aca="false">IF(B100="","",SUMIF('المبيعات اليومية'!$B$8:$B$107,B100,'المبيعات اليومية'!$E$8:$E$107))</f>
        <v/>
      </c>
      <c r="E100" s="11" t="str">
        <f aca="false">IF(B100="","",SUMIF('المبيعات اليومية'!$B$8:$B$107,B100,'المبيعات اليومية'!$H$8:$H$107))</f>
        <v/>
      </c>
      <c r="F100" s="11" t="str">
        <f aca="false">IF(B100="","",SUMIF('المبيعات اليومية'!$B$8:$B$107,B100,'المبيعات اليومية'!$I$8:$I$107))</f>
        <v/>
      </c>
      <c r="G100" s="11" t="str">
        <f aca="false">IF(B100="","",SUMIF('المبيعات اليومية'!$B$8:$B$107,B100,'المبيعات اليومية'!$J$8:$J$107))</f>
        <v/>
      </c>
    </row>
    <row r="101" customFormat="false" ht="15" hidden="false" customHeight="false" outlineLevel="0" collapsed="false">
      <c r="A101" s="14" t="str">
        <f aca="false">IF(B101="","",97)</f>
        <v/>
      </c>
      <c r="B101" s="15" t="str">
        <f aca="false">IF('دليل العملاء'!A100="","",'دليل العملاء'!A100)</f>
        <v/>
      </c>
      <c r="C101" s="14" t="str">
        <f aca="false">IF(B101="","",COUNTIF('المبيعات اليومية'!$B$8:$B$107,B101))</f>
        <v/>
      </c>
      <c r="D101" s="14" t="str">
        <f aca="false">IF(B101="","",SUMIF('المبيعات اليومية'!$B$8:$B$107,B101,'المبيعات اليومية'!$E$8:$E$107))</f>
        <v/>
      </c>
      <c r="E101" s="11" t="str">
        <f aca="false">IF(B101="","",SUMIF('المبيعات اليومية'!$B$8:$B$107,B101,'المبيعات اليومية'!$H$8:$H$107))</f>
        <v/>
      </c>
      <c r="F101" s="11" t="str">
        <f aca="false">IF(B101="","",SUMIF('المبيعات اليومية'!$B$8:$B$107,B101,'المبيعات اليومية'!$I$8:$I$107))</f>
        <v/>
      </c>
      <c r="G101" s="11" t="str">
        <f aca="false">IF(B101="","",SUMIF('المبيعات اليومية'!$B$8:$B$107,B101,'المبيعات اليومية'!$J$8:$J$107))</f>
        <v/>
      </c>
    </row>
    <row r="102" customFormat="false" ht="15" hidden="false" customHeight="false" outlineLevel="0" collapsed="false">
      <c r="A102" s="14" t="str">
        <f aca="false">IF(B102="","",98)</f>
        <v/>
      </c>
      <c r="B102" s="15" t="str">
        <f aca="false">IF('دليل العملاء'!A101="","",'دليل العملاء'!A101)</f>
        <v/>
      </c>
      <c r="C102" s="14" t="str">
        <f aca="false">IF(B102="","",COUNTIF('المبيعات اليومية'!$B$8:$B$107,B102))</f>
        <v/>
      </c>
      <c r="D102" s="14" t="str">
        <f aca="false">IF(B102="","",SUMIF('المبيعات اليومية'!$B$8:$B$107,B102,'المبيعات اليومية'!$E$8:$E$107))</f>
        <v/>
      </c>
      <c r="E102" s="11" t="str">
        <f aca="false">IF(B102="","",SUMIF('المبيعات اليومية'!$B$8:$B$107,B102,'المبيعات اليومية'!$H$8:$H$107))</f>
        <v/>
      </c>
      <c r="F102" s="11" t="str">
        <f aca="false">IF(B102="","",SUMIF('المبيعات اليومية'!$B$8:$B$107,B102,'المبيعات اليومية'!$I$8:$I$107))</f>
        <v/>
      </c>
      <c r="G102" s="11" t="str">
        <f aca="false">IF(B102="","",SUMIF('المبيعات اليومية'!$B$8:$B$107,B102,'المبيعات اليومية'!$J$8:$J$107))</f>
        <v/>
      </c>
    </row>
    <row r="103" customFormat="false" ht="15" hidden="false" customHeight="false" outlineLevel="0" collapsed="false">
      <c r="A103" s="14" t="str">
        <f aca="false">IF(B103="","",99)</f>
        <v/>
      </c>
      <c r="B103" s="15" t="str">
        <f aca="false">IF('دليل العملاء'!A102="","",'دليل العملاء'!A102)</f>
        <v/>
      </c>
      <c r="C103" s="14" t="str">
        <f aca="false">IF(B103="","",COUNTIF('المبيعات اليومية'!$B$8:$B$107,B103))</f>
        <v/>
      </c>
      <c r="D103" s="14" t="str">
        <f aca="false">IF(B103="","",SUMIF('المبيعات اليومية'!$B$8:$B$107,B103,'المبيعات اليومية'!$E$8:$E$107))</f>
        <v/>
      </c>
      <c r="E103" s="11" t="str">
        <f aca="false">IF(B103="","",SUMIF('المبيعات اليومية'!$B$8:$B$107,B103,'المبيعات اليومية'!$H$8:$H$107))</f>
        <v/>
      </c>
      <c r="F103" s="11" t="str">
        <f aca="false">IF(B103="","",SUMIF('المبيعات اليومية'!$B$8:$B$107,B103,'المبيعات اليومية'!$I$8:$I$107))</f>
        <v/>
      </c>
      <c r="G103" s="11" t="str">
        <f aca="false">IF(B103="","",SUMIF('المبيعات اليومية'!$B$8:$B$107,B103,'المبيعات اليومية'!$J$8:$J$107))</f>
        <v/>
      </c>
    </row>
    <row r="104" customFormat="false" ht="15" hidden="false" customHeight="false" outlineLevel="0" collapsed="false">
      <c r="A104" s="14" t="str">
        <f aca="false">IF(B104="","",100)</f>
        <v/>
      </c>
      <c r="B104" s="15" t="str">
        <f aca="false">IF('دليل العملاء'!A103="","",'دليل العملاء'!A103)</f>
        <v/>
      </c>
      <c r="C104" s="14" t="str">
        <f aca="false">IF(B104="","",COUNTIF('المبيعات اليومية'!$B$8:$B$107,B104))</f>
        <v/>
      </c>
      <c r="D104" s="14" t="str">
        <f aca="false">IF(B104="","",SUMIF('المبيعات اليومية'!$B$8:$B$107,B104,'المبيعات اليومية'!$E$8:$E$107))</f>
        <v/>
      </c>
      <c r="E104" s="11" t="str">
        <f aca="false">IF(B104="","",SUMIF('المبيعات اليومية'!$B$8:$B$107,B104,'المبيعات اليومية'!$H$8:$H$107))</f>
        <v/>
      </c>
      <c r="F104" s="11" t="str">
        <f aca="false">IF(B104="","",SUMIF('المبيعات اليومية'!$B$8:$B$107,B104,'المبيعات اليومية'!$I$8:$I$107))</f>
        <v/>
      </c>
      <c r="G104" s="11" t="str">
        <f aca="false">IF(B104="","",SUMIF('المبيعات اليومية'!$B$8:$B$107,B104,'المبيعات اليومية'!$J$8:$J$107))</f>
        <v/>
      </c>
    </row>
    <row r="105" customFormat="false" ht="15" hidden="false" customHeight="false" outlineLevel="0" collapsed="false">
      <c r="A105" s="14" t="str">
        <f aca="false">IF(B105="","",101)</f>
        <v/>
      </c>
      <c r="B105" s="15" t="str">
        <f aca="false">IF('دليل العملاء'!A104="","",'دليل العملاء'!A104)</f>
        <v/>
      </c>
      <c r="C105" s="14" t="str">
        <f aca="false">IF(B105="","",COUNTIF('المبيعات اليومية'!$B$8:$B$107,B105))</f>
        <v/>
      </c>
      <c r="D105" s="14" t="str">
        <f aca="false">IF(B105="","",SUMIF('المبيعات اليومية'!$B$8:$B$107,B105,'المبيعات اليومية'!$E$8:$E$107))</f>
        <v/>
      </c>
      <c r="E105" s="11" t="str">
        <f aca="false">IF(B105="","",SUMIF('المبيعات اليومية'!$B$8:$B$107,B105,'المبيعات اليومية'!$H$8:$H$107))</f>
        <v/>
      </c>
      <c r="F105" s="11" t="str">
        <f aca="false">IF(B105="","",SUMIF('المبيعات اليومية'!$B$8:$B$107,B105,'المبيعات اليومية'!$I$8:$I$107))</f>
        <v/>
      </c>
      <c r="G105" s="11" t="str">
        <f aca="false">IF(B105="","",SUMIF('المبيعات اليومية'!$B$8:$B$107,B105,'المبيعات اليومية'!$J$8:$J$107))</f>
        <v/>
      </c>
    </row>
    <row r="106" customFormat="false" ht="15" hidden="false" customHeight="false" outlineLevel="0" collapsed="false">
      <c r="A106" s="14" t="str">
        <f aca="false">IF(B106="","",102)</f>
        <v/>
      </c>
      <c r="B106" s="15" t="str">
        <f aca="false">IF('دليل العملاء'!A105="","",'دليل العملاء'!A105)</f>
        <v/>
      </c>
      <c r="C106" s="14" t="str">
        <f aca="false">IF(B106="","",COUNTIF('المبيعات اليومية'!$B$8:$B$107,B106))</f>
        <v/>
      </c>
      <c r="D106" s="14" t="str">
        <f aca="false">IF(B106="","",SUMIF('المبيعات اليومية'!$B$8:$B$107,B106,'المبيعات اليومية'!$E$8:$E$107))</f>
        <v/>
      </c>
      <c r="E106" s="11" t="str">
        <f aca="false">IF(B106="","",SUMIF('المبيعات اليومية'!$B$8:$B$107,B106,'المبيعات اليومية'!$H$8:$H$107))</f>
        <v/>
      </c>
      <c r="F106" s="11" t="str">
        <f aca="false">IF(B106="","",SUMIF('المبيعات اليومية'!$B$8:$B$107,B106,'المبيعات اليومية'!$I$8:$I$107))</f>
        <v/>
      </c>
      <c r="G106" s="11" t="str">
        <f aca="false">IF(B106="","",SUMIF('المبيعات اليومية'!$B$8:$B$107,B106,'المبيعات اليومية'!$J$8:$J$107))</f>
        <v/>
      </c>
    </row>
    <row r="107" customFormat="false" ht="15" hidden="false" customHeight="false" outlineLevel="0" collapsed="false">
      <c r="A107" s="14" t="str">
        <f aca="false">IF(B107="","",103)</f>
        <v/>
      </c>
      <c r="B107" s="15" t="str">
        <f aca="false">IF('دليل العملاء'!A106="","",'دليل العملاء'!A106)</f>
        <v/>
      </c>
      <c r="C107" s="14" t="str">
        <f aca="false">IF(B107="","",COUNTIF('المبيعات اليومية'!$B$8:$B$107,B107))</f>
        <v/>
      </c>
      <c r="D107" s="14" t="str">
        <f aca="false">IF(B107="","",SUMIF('المبيعات اليومية'!$B$8:$B$107,B107,'المبيعات اليومية'!$E$8:$E$107))</f>
        <v/>
      </c>
      <c r="E107" s="11" t="str">
        <f aca="false">IF(B107="","",SUMIF('المبيعات اليومية'!$B$8:$B$107,B107,'المبيعات اليومية'!$H$8:$H$107))</f>
        <v/>
      </c>
      <c r="F107" s="11" t="str">
        <f aca="false">IF(B107="","",SUMIF('المبيعات اليومية'!$B$8:$B$107,B107,'المبيعات اليومية'!$I$8:$I$107))</f>
        <v/>
      </c>
      <c r="G107" s="11" t="str">
        <f aca="false">IF(B107="","",SUMIF('المبيعات اليومية'!$B$8:$B$107,B107,'المبيعات اليومية'!$J$8:$J$107))</f>
        <v/>
      </c>
    </row>
    <row r="108" customFormat="false" ht="15" hidden="false" customHeight="false" outlineLevel="0" collapsed="false">
      <c r="A108" s="14" t="str">
        <f aca="false">IF(B108="","",104)</f>
        <v/>
      </c>
      <c r="B108" s="15" t="str">
        <f aca="false">IF('دليل العملاء'!A107="","",'دليل العملاء'!A107)</f>
        <v/>
      </c>
      <c r="C108" s="14" t="str">
        <f aca="false">IF(B108="","",COUNTIF('المبيعات اليومية'!$B$8:$B$107,B108))</f>
        <v/>
      </c>
      <c r="D108" s="14" t="str">
        <f aca="false">IF(B108="","",SUMIF('المبيعات اليومية'!$B$8:$B$107,B108,'المبيعات اليومية'!$E$8:$E$107))</f>
        <v/>
      </c>
      <c r="E108" s="11" t="str">
        <f aca="false">IF(B108="","",SUMIF('المبيعات اليومية'!$B$8:$B$107,B108,'المبيعات اليومية'!$H$8:$H$107))</f>
        <v/>
      </c>
      <c r="F108" s="11" t="str">
        <f aca="false">IF(B108="","",SUMIF('المبيعات اليومية'!$B$8:$B$107,B108,'المبيعات اليومية'!$I$8:$I$107))</f>
        <v/>
      </c>
      <c r="G108" s="11" t="str">
        <f aca="false">IF(B108="","",SUMIF('المبيعات اليومية'!$B$8:$B$107,B108,'المبيعات اليومية'!$J$8:$J$107))</f>
        <v/>
      </c>
    </row>
    <row r="109" customFormat="false" ht="15" hidden="false" customHeight="false" outlineLevel="0" collapsed="false">
      <c r="A109" s="14" t="str">
        <f aca="false">IF(B109="","",105)</f>
        <v/>
      </c>
      <c r="B109" s="15" t="str">
        <f aca="false">IF('دليل العملاء'!A108="","",'دليل العملاء'!A108)</f>
        <v/>
      </c>
      <c r="C109" s="14" t="str">
        <f aca="false">IF(B109="","",COUNTIF('المبيعات اليومية'!$B$8:$B$107,B109))</f>
        <v/>
      </c>
      <c r="D109" s="14" t="str">
        <f aca="false">IF(B109="","",SUMIF('المبيعات اليومية'!$B$8:$B$107,B109,'المبيعات اليومية'!$E$8:$E$107))</f>
        <v/>
      </c>
      <c r="E109" s="11" t="str">
        <f aca="false">IF(B109="","",SUMIF('المبيعات اليومية'!$B$8:$B$107,B109,'المبيعات اليومية'!$H$8:$H$107))</f>
        <v/>
      </c>
      <c r="F109" s="11" t="str">
        <f aca="false">IF(B109="","",SUMIF('المبيعات اليومية'!$B$8:$B$107,B109,'المبيعات اليومية'!$I$8:$I$107))</f>
        <v/>
      </c>
      <c r="G109" s="11" t="str">
        <f aca="false">IF(B109="","",SUMIF('المبيعات اليومية'!$B$8:$B$107,B109,'المبيعات اليومية'!$J$8:$J$107))</f>
        <v/>
      </c>
    </row>
    <row r="110" customFormat="false" ht="15" hidden="false" customHeight="false" outlineLevel="0" collapsed="false">
      <c r="A110" s="14" t="str">
        <f aca="false">IF(B110="","",106)</f>
        <v/>
      </c>
      <c r="B110" s="15" t="str">
        <f aca="false">IF('دليل العملاء'!A109="","",'دليل العملاء'!A109)</f>
        <v/>
      </c>
      <c r="C110" s="14" t="str">
        <f aca="false">IF(B110="","",COUNTIF('المبيعات اليومية'!$B$8:$B$107,B110))</f>
        <v/>
      </c>
      <c r="D110" s="14" t="str">
        <f aca="false">IF(B110="","",SUMIF('المبيعات اليومية'!$B$8:$B$107,B110,'المبيعات اليومية'!$E$8:$E$107))</f>
        <v/>
      </c>
      <c r="E110" s="11" t="str">
        <f aca="false">IF(B110="","",SUMIF('المبيعات اليومية'!$B$8:$B$107,B110,'المبيعات اليومية'!$H$8:$H$107))</f>
        <v/>
      </c>
      <c r="F110" s="11" t="str">
        <f aca="false">IF(B110="","",SUMIF('المبيعات اليومية'!$B$8:$B$107,B110,'المبيعات اليومية'!$I$8:$I$107))</f>
        <v/>
      </c>
      <c r="G110" s="11" t="str">
        <f aca="false">IF(B110="","",SUMIF('المبيعات اليومية'!$B$8:$B$107,B110,'المبيعات اليومية'!$J$8:$J$107))</f>
        <v/>
      </c>
    </row>
    <row r="111" customFormat="false" ht="15" hidden="false" customHeight="false" outlineLevel="0" collapsed="false">
      <c r="A111" s="14" t="str">
        <f aca="false">IF(B111="","",107)</f>
        <v/>
      </c>
      <c r="B111" s="15" t="str">
        <f aca="false">IF('دليل العملاء'!A110="","",'دليل العملاء'!A110)</f>
        <v/>
      </c>
      <c r="C111" s="14" t="str">
        <f aca="false">IF(B111="","",COUNTIF('المبيعات اليومية'!$B$8:$B$107,B111))</f>
        <v/>
      </c>
      <c r="D111" s="14" t="str">
        <f aca="false">IF(B111="","",SUMIF('المبيعات اليومية'!$B$8:$B$107,B111,'المبيعات اليومية'!$E$8:$E$107))</f>
        <v/>
      </c>
      <c r="E111" s="11" t="str">
        <f aca="false">IF(B111="","",SUMIF('المبيعات اليومية'!$B$8:$B$107,B111,'المبيعات اليومية'!$H$8:$H$107))</f>
        <v/>
      </c>
      <c r="F111" s="11" t="str">
        <f aca="false">IF(B111="","",SUMIF('المبيعات اليومية'!$B$8:$B$107,B111,'المبيعات اليومية'!$I$8:$I$107))</f>
        <v/>
      </c>
      <c r="G111" s="11" t="str">
        <f aca="false">IF(B111="","",SUMIF('المبيعات اليومية'!$B$8:$B$107,B111,'المبيعات اليومية'!$J$8:$J$107))</f>
        <v/>
      </c>
    </row>
    <row r="112" customFormat="false" ht="15" hidden="false" customHeight="false" outlineLevel="0" collapsed="false">
      <c r="A112" s="14" t="str">
        <f aca="false">IF(B112="","",108)</f>
        <v/>
      </c>
      <c r="B112" s="15" t="str">
        <f aca="false">IF('دليل العملاء'!A111="","",'دليل العملاء'!A111)</f>
        <v/>
      </c>
      <c r="C112" s="14" t="str">
        <f aca="false">IF(B112="","",COUNTIF('المبيعات اليومية'!$B$8:$B$107,B112))</f>
        <v/>
      </c>
      <c r="D112" s="14" t="str">
        <f aca="false">IF(B112="","",SUMIF('المبيعات اليومية'!$B$8:$B$107,B112,'المبيعات اليومية'!$E$8:$E$107))</f>
        <v/>
      </c>
      <c r="E112" s="11" t="str">
        <f aca="false">IF(B112="","",SUMIF('المبيعات اليومية'!$B$8:$B$107,B112,'المبيعات اليومية'!$H$8:$H$107))</f>
        <v/>
      </c>
      <c r="F112" s="11" t="str">
        <f aca="false">IF(B112="","",SUMIF('المبيعات اليومية'!$B$8:$B$107,B112,'المبيعات اليومية'!$I$8:$I$107))</f>
        <v/>
      </c>
      <c r="G112" s="11" t="str">
        <f aca="false">IF(B112="","",SUMIF('المبيعات اليومية'!$B$8:$B$107,B112,'المبيعات اليومية'!$J$8:$J$107))</f>
        <v/>
      </c>
    </row>
    <row r="113" customFormat="false" ht="15" hidden="false" customHeight="false" outlineLevel="0" collapsed="false">
      <c r="A113" s="14" t="str">
        <f aca="false">IF(B113="","",109)</f>
        <v/>
      </c>
      <c r="B113" s="15" t="str">
        <f aca="false">IF('دليل العملاء'!A112="","",'دليل العملاء'!A112)</f>
        <v/>
      </c>
      <c r="C113" s="14" t="str">
        <f aca="false">IF(B113="","",COUNTIF('المبيعات اليومية'!$B$8:$B$107,B113))</f>
        <v/>
      </c>
      <c r="D113" s="14" t="str">
        <f aca="false">IF(B113="","",SUMIF('المبيعات اليومية'!$B$8:$B$107,B113,'المبيعات اليومية'!$E$8:$E$107))</f>
        <v/>
      </c>
      <c r="E113" s="11" t="str">
        <f aca="false">IF(B113="","",SUMIF('المبيعات اليومية'!$B$8:$B$107,B113,'المبيعات اليومية'!$H$8:$H$107))</f>
        <v/>
      </c>
      <c r="F113" s="11" t="str">
        <f aca="false">IF(B113="","",SUMIF('المبيعات اليومية'!$B$8:$B$107,B113,'المبيعات اليومية'!$I$8:$I$107))</f>
        <v/>
      </c>
      <c r="G113" s="11" t="str">
        <f aca="false">IF(B113="","",SUMIF('المبيعات اليومية'!$B$8:$B$107,B113,'المبيعات اليومية'!$J$8:$J$107))</f>
        <v/>
      </c>
    </row>
    <row r="114" customFormat="false" ht="15" hidden="false" customHeight="false" outlineLevel="0" collapsed="false">
      <c r="A114" s="14" t="str">
        <f aca="false">IF(B114="","",110)</f>
        <v/>
      </c>
      <c r="B114" s="15" t="str">
        <f aca="false">IF('دليل العملاء'!A113="","",'دليل العملاء'!A113)</f>
        <v/>
      </c>
      <c r="C114" s="14" t="str">
        <f aca="false">IF(B114="","",COUNTIF('المبيعات اليومية'!$B$8:$B$107,B114))</f>
        <v/>
      </c>
      <c r="D114" s="14" t="str">
        <f aca="false">IF(B114="","",SUMIF('المبيعات اليومية'!$B$8:$B$107,B114,'المبيعات اليومية'!$E$8:$E$107))</f>
        <v/>
      </c>
      <c r="E114" s="11" t="str">
        <f aca="false">IF(B114="","",SUMIF('المبيعات اليومية'!$B$8:$B$107,B114,'المبيعات اليومية'!$H$8:$H$107))</f>
        <v/>
      </c>
      <c r="F114" s="11" t="str">
        <f aca="false">IF(B114="","",SUMIF('المبيعات اليومية'!$B$8:$B$107,B114,'المبيعات اليومية'!$I$8:$I$107))</f>
        <v/>
      </c>
      <c r="G114" s="11" t="str">
        <f aca="false">IF(B114="","",SUMIF('المبيعات اليومية'!$B$8:$B$107,B114,'المبيعات اليومية'!$J$8:$J$107))</f>
        <v/>
      </c>
    </row>
    <row r="115" customFormat="false" ht="15" hidden="false" customHeight="false" outlineLevel="0" collapsed="false">
      <c r="A115" s="14" t="str">
        <f aca="false">IF(B115="","",111)</f>
        <v/>
      </c>
      <c r="B115" s="15" t="str">
        <f aca="false">IF('دليل العملاء'!A114="","",'دليل العملاء'!A114)</f>
        <v/>
      </c>
      <c r="C115" s="14" t="str">
        <f aca="false">IF(B115="","",COUNTIF('المبيعات اليومية'!$B$8:$B$107,B115))</f>
        <v/>
      </c>
      <c r="D115" s="14" t="str">
        <f aca="false">IF(B115="","",SUMIF('المبيعات اليومية'!$B$8:$B$107,B115,'المبيعات اليومية'!$E$8:$E$107))</f>
        <v/>
      </c>
      <c r="E115" s="11" t="str">
        <f aca="false">IF(B115="","",SUMIF('المبيعات اليومية'!$B$8:$B$107,B115,'المبيعات اليومية'!$H$8:$H$107))</f>
        <v/>
      </c>
      <c r="F115" s="11" t="str">
        <f aca="false">IF(B115="","",SUMIF('المبيعات اليومية'!$B$8:$B$107,B115,'المبيعات اليومية'!$I$8:$I$107))</f>
        <v/>
      </c>
      <c r="G115" s="11" t="str">
        <f aca="false">IF(B115="","",SUMIF('المبيعات اليومية'!$B$8:$B$107,B115,'المبيعات اليومية'!$J$8:$J$107))</f>
        <v/>
      </c>
    </row>
    <row r="116" customFormat="false" ht="15" hidden="false" customHeight="false" outlineLevel="0" collapsed="false">
      <c r="A116" s="14" t="str">
        <f aca="false">IF(B116="","",112)</f>
        <v/>
      </c>
      <c r="B116" s="15" t="str">
        <f aca="false">IF('دليل العملاء'!A115="","",'دليل العملاء'!A115)</f>
        <v/>
      </c>
      <c r="C116" s="14" t="str">
        <f aca="false">IF(B116="","",COUNTIF('المبيعات اليومية'!$B$8:$B$107,B116))</f>
        <v/>
      </c>
      <c r="D116" s="14" t="str">
        <f aca="false">IF(B116="","",SUMIF('المبيعات اليومية'!$B$8:$B$107,B116,'المبيعات اليومية'!$E$8:$E$107))</f>
        <v/>
      </c>
      <c r="E116" s="11" t="str">
        <f aca="false">IF(B116="","",SUMIF('المبيعات اليومية'!$B$8:$B$107,B116,'المبيعات اليومية'!$H$8:$H$107))</f>
        <v/>
      </c>
      <c r="F116" s="11" t="str">
        <f aca="false">IF(B116="","",SUMIF('المبيعات اليومية'!$B$8:$B$107,B116,'المبيعات اليومية'!$I$8:$I$107))</f>
        <v/>
      </c>
      <c r="G116" s="11" t="str">
        <f aca="false">IF(B116="","",SUMIF('المبيعات اليومية'!$B$8:$B$107,B116,'المبيعات اليومية'!$J$8:$J$107))</f>
        <v/>
      </c>
    </row>
    <row r="117" customFormat="false" ht="15" hidden="false" customHeight="false" outlineLevel="0" collapsed="false">
      <c r="A117" s="14" t="str">
        <f aca="false">IF(B117="","",113)</f>
        <v/>
      </c>
      <c r="B117" s="15" t="str">
        <f aca="false">IF('دليل العملاء'!A116="","",'دليل العملاء'!A116)</f>
        <v/>
      </c>
      <c r="C117" s="14" t="str">
        <f aca="false">IF(B117="","",COUNTIF('المبيعات اليومية'!$B$8:$B$107,B117))</f>
        <v/>
      </c>
      <c r="D117" s="14" t="str">
        <f aca="false">IF(B117="","",SUMIF('المبيعات اليومية'!$B$8:$B$107,B117,'المبيعات اليومية'!$E$8:$E$107))</f>
        <v/>
      </c>
      <c r="E117" s="11" t="str">
        <f aca="false">IF(B117="","",SUMIF('المبيعات اليومية'!$B$8:$B$107,B117,'المبيعات اليومية'!$H$8:$H$107))</f>
        <v/>
      </c>
      <c r="F117" s="11" t="str">
        <f aca="false">IF(B117="","",SUMIF('المبيعات اليومية'!$B$8:$B$107,B117,'المبيعات اليومية'!$I$8:$I$107))</f>
        <v/>
      </c>
      <c r="G117" s="11" t="str">
        <f aca="false">IF(B117="","",SUMIF('المبيعات اليومية'!$B$8:$B$107,B117,'المبيعات اليومية'!$J$8:$J$107))</f>
        <v/>
      </c>
    </row>
    <row r="118" customFormat="false" ht="15" hidden="false" customHeight="false" outlineLevel="0" collapsed="false">
      <c r="A118" s="14" t="str">
        <f aca="false">IF(B118="","",114)</f>
        <v/>
      </c>
      <c r="B118" s="15" t="str">
        <f aca="false">IF('دليل العملاء'!A117="","",'دليل العملاء'!A117)</f>
        <v/>
      </c>
      <c r="C118" s="14" t="str">
        <f aca="false">IF(B118="","",COUNTIF('المبيعات اليومية'!$B$8:$B$107,B118))</f>
        <v/>
      </c>
      <c r="D118" s="14" t="str">
        <f aca="false">IF(B118="","",SUMIF('المبيعات اليومية'!$B$8:$B$107,B118,'المبيعات اليومية'!$E$8:$E$107))</f>
        <v/>
      </c>
      <c r="E118" s="11" t="str">
        <f aca="false">IF(B118="","",SUMIF('المبيعات اليومية'!$B$8:$B$107,B118,'المبيعات اليومية'!$H$8:$H$107))</f>
        <v/>
      </c>
      <c r="F118" s="11" t="str">
        <f aca="false">IF(B118="","",SUMIF('المبيعات اليومية'!$B$8:$B$107,B118,'المبيعات اليومية'!$I$8:$I$107))</f>
        <v/>
      </c>
      <c r="G118" s="11" t="str">
        <f aca="false">IF(B118="","",SUMIF('المبيعات اليومية'!$B$8:$B$107,B118,'المبيعات اليومية'!$J$8:$J$107))</f>
        <v/>
      </c>
    </row>
    <row r="119" customFormat="false" ht="15" hidden="false" customHeight="false" outlineLevel="0" collapsed="false">
      <c r="A119" s="14" t="str">
        <f aca="false">IF(B119="","",115)</f>
        <v/>
      </c>
      <c r="B119" s="15" t="str">
        <f aca="false">IF('دليل العملاء'!A118="","",'دليل العملاء'!A118)</f>
        <v/>
      </c>
      <c r="C119" s="14" t="str">
        <f aca="false">IF(B119="","",COUNTIF('المبيعات اليومية'!$B$8:$B$107,B119))</f>
        <v/>
      </c>
      <c r="D119" s="14" t="str">
        <f aca="false">IF(B119="","",SUMIF('المبيعات اليومية'!$B$8:$B$107,B119,'المبيعات اليومية'!$E$8:$E$107))</f>
        <v/>
      </c>
      <c r="E119" s="11" t="str">
        <f aca="false">IF(B119="","",SUMIF('المبيعات اليومية'!$B$8:$B$107,B119,'المبيعات اليومية'!$H$8:$H$107))</f>
        <v/>
      </c>
      <c r="F119" s="11" t="str">
        <f aca="false">IF(B119="","",SUMIF('المبيعات اليومية'!$B$8:$B$107,B119,'المبيعات اليومية'!$I$8:$I$107))</f>
        <v/>
      </c>
      <c r="G119" s="11" t="str">
        <f aca="false">IF(B119="","",SUMIF('المبيعات اليومية'!$B$8:$B$107,B119,'المبيعات اليومية'!$J$8:$J$107))</f>
        <v/>
      </c>
    </row>
    <row r="120" customFormat="false" ht="15" hidden="false" customHeight="false" outlineLevel="0" collapsed="false">
      <c r="A120" s="14" t="str">
        <f aca="false">IF(B120="","",116)</f>
        <v/>
      </c>
      <c r="B120" s="15" t="str">
        <f aca="false">IF('دليل العملاء'!A119="","",'دليل العملاء'!A119)</f>
        <v/>
      </c>
      <c r="C120" s="14" t="str">
        <f aca="false">IF(B120="","",COUNTIF('المبيعات اليومية'!$B$8:$B$107,B120))</f>
        <v/>
      </c>
      <c r="D120" s="14" t="str">
        <f aca="false">IF(B120="","",SUMIF('المبيعات اليومية'!$B$8:$B$107,B120,'المبيعات اليومية'!$E$8:$E$107))</f>
        <v/>
      </c>
      <c r="E120" s="11" t="str">
        <f aca="false">IF(B120="","",SUMIF('المبيعات اليومية'!$B$8:$B$107,B120,'المبيعات اليومية'!$H$8:$H$107))</f>
        <v/>
      </c>
      <c r="F120" s="11" t="str">
        <f aca="false">IF(B120="","",SUMIF('المبيعات اليومية'!$B$8:$B$107,B120,'المبيعات اليومية'!$I$8:$I$107))</f>
        <v/>
      </c>
      <c r="G120" s="11" t="str">
        <f aca="false">IF(B120="","",SUMIF('المبيعات اليومية'!$B$8:$B$107,B120,'المبيعات اليومية'!$J$8:$J$107))</f>
        <v/>
      </c>
    </row>
    <row r="121" customFormat="false" ht="15" hidden="false" customHeight="false" outlineLevel="0" collapsed="false">
      <c r="A121" s="14" t="str">
        <f aca="false">IF(B121="","",117)</f>
        <v/>
      </c>
      <c r="B121" s="15" t="str">
        <f aca="false">IF('دليل العملاء'!A120="","",'دليل العملاء'!A120)</f>
        <v/>
      </c>
      <c r="C121" s="14" t="str">
        <f aca="false">IF(B121="","",COUNTIF('المبيعات اليومية'!$B$8:$B$107,B121))</f>
        <v/>
      </c>
      <c r="D121" s="14" t="str">
        <f aca="false">IF(B121="","",SUMIF('المبيعات اليومية'!$B$8:$B$107,B121,'المبيعات اليومية'!$E$8:$E$107))</f>
        <v/>
      </c>
      <c r="E121" s="11" t="str">
        <f aca="false">IF(B121="","",SUMIF('المبيعات اليومية'!$B$8:$B$107,B121,'المبيعات اليومية'!$H$8:$H$107))</f>
        <v/>
      </c>
      <c r="F121" s="11" t="str">
        <f aca="false">IF(B121="","",SUMIF('المبيعات اليومية'!$B$8:$B$107,B121,'المبيعات اليومية'!$I$8:$I$107))</f>
        <v/>
      </c>
      <c r="G121" s="11" t="str">
        <f aca="false">IF(B121="","",SUMIF('المبيعات اليومية'!$B$8:$B$107,B121,'المبيعات اليومية'!$J$8:$J$107))</f>
        <v/>
      </c>
    </row>
    <row r="122" customFormat="false" ht="15" hidden="false" customHeight="false" outlineLevel="0" collapsed="false">
      <c r="A122" s="14" t="str">
        <f aca="false">IF(B122="","",118)</f>
        <v/>
      </c>
      <c r="B122" s="15" t="str">
        <f aca="false">IF('دليل العملاء'!A121="","",'دليل العملاء'!A121)</f>
        <v/>
      </c>
      <c r="C122" s="14" t="str">
        <f aca="false">IF(B122="","",COUNTIF('المبيعات اليومية'!$B$8:$B$107,B122))</f>
        <v/>
      </c>
      <c r="D122" s="14" t="str">
        <f aca="false">IF(B122="","",SUMIF('المبيعات اليومية'!$B$8:$B$107,B122,'المبيعات اليومية'!$E$8:$E$107))</f>
        <v/>
      </c>
      <c r="E122" s="11" t="str">
        <f aca="false">IF(B122="","",SUMIF('المبيعات اليومية'!$B$8:$B$107,B122,'المبيعات اليومية'!$H$8:$H$107))</f>
        <v/>
      </c>
      <c r="F122" s="11" t="str">
        <f aca="false">IF(B122="","",SUMIF('المبيعات اليومية'!$B$8:$B$107,B122,'المبيعات اليومية'!$I$8:$I$107))</f>
        <v/>
      </c>
      <c r="G122" s="11" t="str">
        <f aca="false">IF(B122="","",SUMIF('المبيعات اليومية'!$B$8:$B$107,B122,'المبيعات اليومية'!$J$8:$J$107))</f>
        <v/>
      </c>
    </row>
    <row r="123" customFormat="false" ht="15" hidden="false" customHeight="false" outlineLevel="0" collapsed="false">
      <c r="A123" s="14" t="str">
        <f aca="false">IF(B123="","",119)</f>
        <v/>
      </c>
      <c r="B123" s="15" t="str">
        <f aca="false">IF('دليل العملاء'!A122="","",'دليل العملاء'!A122)</f>
        <v/>
      </c>
      <c r="C123" s="14" t="str">
        <f aca="false">IF(B123="","",COUNTIF('المبيعات اليومية'!$B$8:$B$107,B123))</f>
        <v/>
      </c>
      <c r="D123" s="14" t="str">
        <f aca="false">IF(B123="","",SUMIF('المبيعات اليومية'!$B$8:$B$107,B123,'المبيعات اليومية'!$E$8:$E$107))</f>
        <v/>
      </c>
      <c r="E123" s="11" t="str">
        <f aca="false">IF(B123="","",SUMIF('المبيعات اليومية'!$B$8:$B$107,B123,'المبيعات اليومية'!$H$8:$H$107))</f>
        <v/>
      </c>
      <c r="F123" s="11" t="str">
        <f aca="false">IF(B123="","",SUMIF('المبيعات اليومية'!$B$8:$B$107,B123,'المبيعات اليومية'!$I$8:$I$107))</f>
        <v/>
      </c>
      <c r="G123" s="11" t="str">
        <f aca="false">IF(B123="","",SUMIF('المبيعات اليومية'!$B$8:$B$107,B123,'المبيعات اليومية'!$J$8:$J$107))</f>
        <v/>
      </c>
    </row>
    <row r="124" customFormat="false" ht="15" hidden="false" customHeight="false" outlineLevel="0" collapsed="false">
      <c r="A124" s="14" t="str">
        <f aca="false">IF(B124="","",120)</f>
        <v/>
      </c>
      <c r="B124" s="15" t="str">
        <f aca="false">IF('دليل العملاء'!A123="","",'دليل العملاء'!A123)</f>
        <v/>
      </c>
      <c r="C124" s="14" t="str">
        <f aca="false">IF(B124="","",COUNTIF('المبيعات اليومية'!$B$8:$B$107,B124))</f>
        <v/>
      </c>
      <c r="D124" s="14" t="str">
        <f aca="false">IF(B124="","",SUMIF('المبيعات اليومية'!$B$8:$B$107,B124,'المبيعات اليومية'!$E$8:$E$107))</f>
        <v/>
      </c>
      <c r="E124" s="11" t="str">
        <f aca="false">IF(B124="","",SUMIF('المبيعات اليومية'!$B$8:$B$107,B124,'المبيعات اليومية'!$H$8:$H$107))</f>
        <v/>
      </c>
      <c r="F124" s="11" t="str">
        <f aca="false">IF(B124="","",SUMIF('المبيعات اليومية'!$B$8:$B$107,B124,'المبيعات اليومية'!$I$8:$I$107))</f>
        <v/>
      </c>
      <c r="G124" s="11" t="str">
        <f aca="false">IF(B124="","",SUMIF('المبيعات اليومية'!$B$8:$B$107,B124,'المبيعات اليومية'!$J$8:$J$107))</f>
        <v/>
      </c>
    </row>
    <row r="125" customFormat="false" ht="15" hidden="false" customHeight="false" outlineLevel="0" collapsed="false">
      <c r="A125" s="14" t="str">
        <f aca="false">IF(B125="","",121)</f>
        <v/>
      </c>
      <c r="B125" s="15" t="str">
        <f aca="false">IF('دليل العملاء'!A124="","",'دليل العملاء'!A124)</f>
        <v/>
      </c>
      <c r="C125" s="14" t="str">
        <f aca="false">IF(B125="","",COUNTIF('المبيعات اليومية'!$B$8:$B$107,B125))</f>
        <v/>
      </c>
      <c r="D125" s="14" t="str">
        <f aca="false">IF(B125="","",SUMIF('المبيعات اليومية'!$B$8:$B$107,B125,'المبيعات اليومية'!$E$8:$E$107))</f>
        <v/>
      </c>
      <c r="E125" s="11" t="str">
        <f aca="false">IF(B125="","",SUMIF('المبيعات اليومية'!$B$8:$B$107,B125,'المبيعات اليومية'!$H$8:$H$107))</f>
        <v/>
      </c>
      <c r="F125" s="11" t="str">
        <f aca="false">IF(B125="","",SUMIF('المبيعات اليومية'!$B$8:$B$107,B125,'المبيعات اليومية'!$I$8:$I$107))</f>
        <v/>
      </c>
      <c r="G125" s="11" t="str">
        <f aca="false">IF(B125="","",SUMIF('المبيعات اليومية'!$B$8:$B$107,B125,'المبيعات اليومية'!$J$8:$J$107))</f>
        <v/>
      </c>
    </row>
    <row r="126" customFormat="false" ht="15" hidden="false" customHeight="false" outlineLevel="0" collapsed="false">
      <c r="A126" s="14" t="str">
        <f aca="false">IF(B126="","",122)</f>
        <v/>
      </c>
      <c r="B126" s="15" t="str">
        <f aca="false">IF('دليل العملاء'!A125="","",'دليل العملاء'!A125)</f>
        <v/>
      </c>
      <c r="C126" s="14" t="str">
        <f aca="false">IF(B126="","",COUNTIF('المبيعات اليومية'!$B$8:$B$107,B126))</f>
        <v/>
      </c>
      <c r="D126" s="14" t="str">
        <f aca="false">IF(B126="","",SUMIF('المبيعات اليومية'!$B$8:$B$107,B126,'المبيعات اليومية'!$E$8:$E$107))</f>
        <v/>
      </c>
      <c r="E126" s="11" t="str">
        <f aca="false">IF(B126="","",SUMIF('المبيعات اليومية'!$B$8:$B$107,B126,'المبيعات اليومية'!$H$8:$H$107))</f>
        <v/>
      </c>
      <c r="F126" s="11" t="str">
        <f aca="false">IF(B126="","",SUMIF('المبيعات اليومية'!$B$8:$B$107,B126,'المبيعات اليومية'!$I$8:$I$107))</f>
        <v/>
      </c>
      <c r="G126" s="11" t="str">
        <f aca="false">IF(B126="","",SUMIF('المبيعات اليومية'!$B$8:$B$107,B126,'المبيعات اليومية'!$J$8:$J$107))</f>
        <v/>
      </c>
    </row>
    <row r="127" customFormat="false" ht="15" hidden="false" customHeight="false" outlineLevel="0" collapsed="false">
      <c r="A127" s="14" t="str">
        <f aca="false">IF(B127="","",123)</f>
        <v/>
      </c>
      <c r="B127" s="15" t="str">
        <f aca="false">IF('دليل العملاء'!A126="","",'دليل العملاء'!A126)</f>
        <v/>
      </c>
      <c r="C127" s="14" t="str">
        <f aca="false">IF(B127="","",COUNTIF('المبيعات اليومية'!$B$8:$B$107,B127))</f>
        <v/>
      </c>
      <c r="D127" s="14" t="str">
        <f aca="false">IF(B127="","",SUMIF('المبيعات اليومية'!$B$8:$B$107,B127,'المبيعات اليومية'!$E$8:$E$107))</f>
        <v/>
      </c>
      <c r="E127" s="11" t="str">
        <f aca="false">IF(B127="","",SUMIF('المبيعات اليومية'!$B$8:$B$107,B127,'المبيعات اليومية'!$H$8:$H$107))</f>
        <v/>
      </c>
      <c r="F127" s="11" t="str">
        <f aca="false">IF(B127="","",SUMIF('المبيعات اليومية'!$B$8:$B$107,B127,'المبيعات اليومية'!$I$8:$I$107))</f>
        <v/>
      </c>
      <c r="G127" s="11" t="str">
        <f aca="false">IF(B127="","",SUMIF('المبيعات اليومية'!$B$8:$B$107,B127,'المبيعات اليومية'!$J$8:$J$107))</f>
        <v/>
      </c>
    </row>
    <row r="128" customFormat="false" ht="15" hidden="false" customHeight="false" outlineLevel="0" collapsed="false">
      <c r="A128" s="14" t="str">
        <f aca="false">IF(B128="","",124)</f>
        <v/>
      </c>
      <c r="B128" s="15" t="str">
        <f aca="false">IF('دليل العملاء'!A127="","",'دليل العملاء'!A127)</f>
        <v/>
      </c>
      <c r="C128" s="14" t="str">
        <f aca="false">IF(B128="","",COUNTIF('المبيعات اليومية'!$B$8:$B$107,B128))</f>
        <v/>
      </c>
      <c r="D128" s="14" t="str">
        <f aca="false">IF(B128="","",SUMIF('المبيعات اليومية'!$B$8:$B$107,B128,'المبيعات اليومية'!$E$8:$E$107))</f>
        <v/>
      </c>
      <c r="E128" s="11" t="str">
        <f aca="false">IF(B128="","",SUMIF('المبيعات اليومية'!$B$8:$B$107,B128,'المبيعات اليومية'!$H$8:$H$107))</f>
        <v/>
      </c>
      <c r="F128" s="11" t="str">
        <f aca="false">IF(B128="","",SUMIF('المبيعات اليومية'!$B$8:$B$107,B128,'المبيعات اليومية'!$I$8:$I$107))</f>
        <v/>
      </c>
      <c r="G128" s="11" t="str">
        <f aca="false">IF(B128="","",SUMIF('المبيعات اليومية'!$B$8:$B$107,B128,'المبيعات اليومية'!$J$8:$J$107))</f>
        <v/>
      </c>
    </row>
    <row r="129" customFormat="false" ht="15" hidden="false" customHeight="false" outlineLevel="0" collapsed="false">
      <c r="A129" s="14" t="str">
        <f aca="false">IF(B129="","",125)</f>
        <v/>
      </c>
      <c r="B129" s="15" t="str">
        <f aca="false">IF('دليل العملاء'!A128="","",'دليل العملاء'!A128)</f>
        <v/>
      </c>
      <c r="C129" s="14" t="str">
        <f aca="false">IF(B129="","",COUNTIF('المبيعات اليومية'!$B$8:$B$107,B129))</f>
        <v/>
      </c>
      <c r="D129" s="14" t="str">
        <f aca="false">IF(B129="","",SUMIF('المبيعات اليومية'!$B$8:$B$107,B129,'المبيعات اليومية'!$E$8:$E$107))</f>
        <v/>
      </c>
      <c r="E129" s="11" t="str">
        <f aca="false">IF(B129="","",SUMIF('المبيعات اليومية'!$B$8:$B$107,B129,'المبيعات اليومية'!$H$8:$H$107))</f>
        <v/>
      </c>
      <c r="F129" s="11" t="str">
        <f aca="false">IF(B129="","",SUMIF('المبيعات اليومية'!$B$8:$B$107,B129,'المبيعات اليومية'!$I$8:$I$107))</f>
        <v/>
      </c>
      <c r="G129" s="11" t="str">
        <f aca="false">IF(B129="","",SUMIF('المبيعات اليومية'!$B$8:$B$107,B129,'المبيعات اليومية'!$J$8:$J$107))</f>
        <v/>
      </c>
    </row>
    <row r="130" customFormat="false" ht="15" hidden="false" customHeight="false" outlineLevel="0" collapsed="false">
      <c r="A130" s="14" t="str">
        <f aca="false">IF(B130="","",126)</f>
        <v/>
      </c>
      <c r="B130" s="15" t="str">
        <f aca="false">IF('دليل العملاء'!A129="","",'دليل العملاء'!A129)</f>
        <v/>
      </c>
      <c r="C130" s="14" t="str">
        <f aca="false">IF(B130="","",COUNTIF('المبيعات اليومية'!$B$8:$B$107,B130))</f>
        <v/>
      </c>
      <c r="D130" s="14" t="str">
        <f aca="false">IF(B130="","",SUMIF('المبيعات اليومية'!$B$8:$B$107,B130,'المبيعات اليومية'!$E$8:$E$107))</f>
        <v/>
      </c>
      <c r="E130" s="11" t="str">
        <f aca="false">IF(B130="","",SUMIF('المبيعات اليومية'!$B$8:$B$107,B130,'المبيعات اليومية'!$H$8:$H$107))</f>
        <v/>
      </c>
      <c r="F130" s="11" t="str">
        <f aca="false">IF(B130="","",SUMIF('المبيعات اليومية'!$B$8:$B$107,B130,'المبيعات اليومية'!$I$8:$I$107))</f>
        <v/>
      </c>
      <c r="G130" s="11" t="str">
        <f aca="false">IF(B130="","",SUMIF('المبيعات اليومية'!$B$8:$B$107,B130,'المبيعات اليومية'!$J$8:$J$107))</f>
        <v/>
      </c>
    </row>
    <row r="131" customFormat="false" ht="15" hidden="false" customHeight="false" outlineLevel="0" collapsed="false">
      <c r="A131" s="14" t="str">
        <f aca="false">IF(B131="","",127)</f>
        <v/>
      </c>
      <c r="B131" s="15" t="str">
        <f aca="false">IF('دليل العملاء'!A130="","",'دليل العملاء'!A130)</f>
        <v/>
      </c>
      <c r="C131" s="14" t="str">
        <f aca="false">IF(B131="","",COUNTIF('المبيعات اليومية'!$B$8:$B$107,B131))</f>
        <v/>
      </c>
      <c r="D131" s="14" t="str">
        <f aca="false">IF(B131="","",SUMIF('المبيعات اليومية'!$B$8:$B$107,B131,'المبيعات اليومية'!$E$8:$E$107))</f>
        <v/>
      </c>
      <c r="E131" s="11" t="str">
        <f aca="false">IF(B131="","",SUMIF('المبيعات اليومية'!$B$8:$B$107,B131,'المبيعات اليومية'!$H$8:$H$107))</f>
        <v/>
      </c>
      <c r="F131" s="11" t="str">
        <f aca="false">IF(B131="","",SUMIF('المبيعات اليومية'!$B$8:$B$107,B131,'المبيعات اليومية'!$I$8:$I$107))</f>
        <v/>
      </c>
      <c r="G131" s="11" t="str">
        <f aca="false">IF(B131="","",SUMIF('المبيعات اليومية'!$B$8:$B$107,B131,'المبيعات اليومية'!$J$8:$J$107))</f>
        <v/>
      </c>
    </row>
    <row r="132" customFormat="false" ht="15" hidden="false" customHeight="false" outlineLevel="0" collapsed="false">
      <c r="A132" s="14" t="str">
        <f aca="false">IF(B132="","",128)</f>
        <v/>
      </c>
      <c r="B132" s="15" t="str">
        <f aca="false">IF('دليل العملاء'!A131="","",'دليل العملاء'!A131)</f>
        <v/>
      </c>
      <c r="C132" s="14" t="str">
        <f aca="false">IF(B132="","",COUNTIF('المبيعات اليومية'!$B$8:$B$107,B132))</f>
        <v/>
      </c>
      <c r="D132" s="14" t="str">
        <f aca="false">IF(B132="","",SUMIF('المبيعات اليومية'!$B$8:$B$107,B132,'المبيعات اليومية'!$E$8:$E$107))</f>
        <v/>
      </c>
      <c r="E132" s="11" t="str">
        <f aca="false">IF(B132="","",SUMIF('المبيعات اليومية'!$B$8:$B$107,B132,'المبيعات اليومية'!$H$8:$H$107))</f>
        <v/>
      </c>
      <c r="F132" s="11" t="str">
        <f aca="false">IF(B132="","",SUMIF('المبيعات اليومية'!$B$8:$B$107,B132,'المبيعات اليومية'!$I$8:$I$107))</f>
        <v/>
      </c>
      <c r="G132" s="11" t="str">
        <f aca="false">IF(B132="","",SUMIF('المبيعات اليومية'!$B$8:$B$107,B132,'المبيعات اليومية'!$J$8:$J$107))</f>
        <v/>
      </c>
    </row>
    <row r="133" customFormat="false" ht="15" hidden="false" customHeight="false" outlineLevel="0" collapsed="false">
      <c r="A133" s="14" t="str">
        <f aca="false">IF(B133="","",129)</f>
        <v/>
      </c>
      <c r="B133" s="15" t="str">
        <f aca="false">IF('دليل العملاء'!A132="","",'دليل العملاء'!A132)</f>
        <v/>
      </c>
      <c r="C133" s="14" t="str">
        <f aca="false">IF(B133="","",COUNTIF('المبيعات اليومية'!$B$8:$B$107,B133))</f>
        <v/>
      </c>
      <c r="D133" s="14" t="str">
        <f aca="false">IF(B133="","",SUMIF('المبيعات اليومية'!$B$8:$B$107,B133,'المبيعات اليومية'!$E$8:$E$107))</f>
        <v/>
      </c>
      <c r="E133" s="11" t="str">
        <f aca="false">IF(B133="","",SUMIF('المبيعات اليومية'!$B$8:$B$107,B133,'المبيعات اليومية'!$H$8:$H$107))</f>
        <v/>
      </c>
      <c r="F133" s="11" t="str">
        <f aca="false">IF(B133="","",SUMIF('المبيعات اليومية'!$B$8:$B$107,B133,'المبيعات اليومية'!$I$8:$I$107))</f>
        <v/>
      </c>
      <c r="G133" s="11" t="str">
        <f aca="false">IF(B133="","",SUMIF('المبيعات اليومية'!$B$8:$B$107,B133,'المبيعات اليومية'!$J$8:$J$107))</f>
        <v/>
      </c>
    </row>
    <row r="134" customFormat="false" ht="15" hidden="false" customHeight="false" outlineLevel="0" collapsed="false">
      <c r="A134" s="14" t="str">
        <f aca="false">IF(B134="","",130)</f>
        <v/>
      </c>
      <c r="B134" s="15" t="str">
        <f aca="false">IF('دليل العملاء'!A133="","",'دليل العملاء'!A133)</f>
        <v/>
      </c>
      <c r="C134" s="14" t="str">
        <f aca="false">IF(B134="","",COUNTIF('المبيعات اليومية'!$B$8:$B$107,B134))</f>
        <v/>
      </c>
      <c r="D134" s="14" t="str">
        <f aca="false">IF(B134="","",SUMIF('المبيعات اليومية'!$B$8:$B$107,B134,'المبيعات اليومية'!$E$8:$E$107))</f>
        <v/>
      </c>
      <c r="E134" s="11" t="str">
        <f aca="false">IF(B134="","",SUMIF('المبيعات اليومية'!$B$8:$B$107,B134,'المبيعات اليومية'!$H$8:$H$107))</f>
        <v/>
      </c>
      <c r="F134" s="11" t="str">
        <f aca="false">IF(B134="","",SUMIF('المبيعات اليومية'!$B$8:$B$107,B134,'المبيعات اليومية'!$I$8:$I$107))</f>
        <v/>
      </c>
      <c r="G134" s="11" t="str">
        <f aca="false">IF(B134="","",SUMIF('المبيعات اليومية'!$B$8:$B$107,B134,'المبيعات اليومية'!$J$8:$J$107))</f>
        <v/>
      </c>
    </row>
    <row r="135" customFormat="false" ht="15" hidden="false" customHeight="false" outlineLevel="0" collapsed="false">
      <c r="A135" s="14" t="str">
        <f aca="false">IF(B135="","",131)</f>
        <v/>
      </c>
      <c r="B135" s="15" t="str">
        <f aca="false">IF('دليل العملاء'!A134="","",'دليل العملاء'!A134)</f>
        <v/>
      </c>
      <c r="C135" s="14" t="str">
        <f aca="false">IF(B135="","",COUNTIF('المبيعات اليومية'!$B$8:$B$107,B135))</f>
        <v/>
      </c>
      <c r="D135" s="14" t="str">
        <f aca="false">IF(B135="","",SUMIF('المبيعات اليومية'!$B$8:$B$107,B135,'المبيعات اليومية'!$E$8:$E$107))</f>
        <v/>
      </c>
      <c r="E135" s="11" t="str">
        <f aca="false">IF(B135="","",SUMIF('المبيعات اليومية'!$B$8:$B$107,B135,'المبيعات اليومية'!$H$8:$H$107))</f>
        <v/>
      </c>
      <c r="F135" s="11" t="str">
        <f aca="false">IF(B135="","",SUMIF('المبيعات اليومية'!$B$8:$B$107,B135,'المبيعات اليومية'!$I$8:$I$107))</f>
        <v/>
      </c>
      <c r="G135" s="11" t="str">
        <f aca="false">IF(B135="","",SUMIF('المبيعات اليومية'!$B$8:$B$107,B135,'المبيعات اليومية'!$J$8:$J$107))</f>
        <v/>
      </c>
    </row>
    <row r="136" customFormat="false" ht="15" hidden="false" customHeight="false" outlineLevel="0" collapsed="false">
      <c r="A136" s="14" t="str">
        <f aca="false">IF(B136="","",132)</f>
        <v/>
      </c>
      <c r="B136" s="15" t="str">
        <f aca="false">IF('دليل العملاء'!A135="","",'دليل العملاء'!A135)</f>
        <v/>
      </c>
      <c r="C136" s="14" t="str">
        <f aca="false">IF(B136="","",COUNTIF('المبيعات اليومية'!$B$8:$B$107,B136))</f>
        <v/>
      </c>
      <c r="D136" s="14" t="str">
        <f aca="false">IF(B136="","",SUMIF('المبيعات اليومية'!$B$8:$B$107,B136,'المبيعات اليومية'!$E$8:$E$107))</f>
        <v/>
      </c>
      <c r="E136" s="11" t="str">
        <f aca="false">IF(B136="","",SUMIF('المبيعات اليومية'!$B$8:$B$107,B136,'المبيعات اليومية'!$H$8:$H$107))</f>
        <v/>
      </c>
      <c r="F136" s="11" t="str">
        <f aca="false">IF(B136="","",SUMIF('المبيعات اليومية'!$B$8:$B$107,B136,'المبيعات اليومية'!$I$8:$I$107))</f>
        <v/>
      </c>
      <c r="G136" s="11" t="str">
        <f aca="false">IF(B136="","",SUMIF('المبيعات اليومية'!$B$8:$B$107,B136,'المبيعات اليومية'!$J$8:$J$107))</f>
        <v/>
      </c>
    </row>
    <row r="137" customFormat="false" ht="15" hidden="false" customHeight="false" outlineLevel="0" collapsed="false">
      <c r="A137" s="14" t="str">
        <f aca="false">IF(B137="","",133)</f>
        <v/>
      </c>
      <c r="B137" s="15" t="str">
        <f aca="false">IF('دليل العملاء'!A136="","",'دليل العملاء'!A136)</f>
        <v/>
      </c>
      <c r="C137" s="14" t="str">
        <f aca="false">IF(B137="","",COUNTIF('المبيعات اليومية'!$B$8:$B$107,B137))</f>
        <v/>
      </c>
      <c r="D137" s="14" t="str">
        <f aca="false">IF(B137="","",SUMIF('المبيعات اليومية'!$B$8:$B$107,B137,'المبيعات اليومية'!$E$8:$E$107))</f>
        <v/>
      </c>
      <c r="E137" s="11" t="str">
        <f aca="false">IF(B137="","",SUMIF('المبيعات اليومية'!$B$8:$B$107,B137,'المبيعات اليومية'!$H$8:$H$107))</f>
        <v/>
      </c>
      <c r="F137" s="11" t="str">
        <f aca="false">IF(B137="","",SUMIF('المبيعات اليومية'!$B$8:$B$107,B137,'المبيعات اليومية'!$I$8:$I$107))</f>
        <v/>
      </c>
      <c r="G137" s="11" t="str">
        <f aca="false">IF(B137="","",SUMIF('المبيعات اليومية'!$B$8:$B$107,B137,'المبيعات اليومية'!$J$8:$J$107))</f>
        <v/>
      </c>
    </row>
    <row r="138" customFormat="false" ht="15" hidden="false" customHeight="false" outlineLevel="0" collapsed="false">
      <c r="A138" s="14" t="str">
        <f aca="false">IF(B138="","",134)</f>
        <v/>
      </c>
      <c r="B138" s="15" t="str">
        <f aca="false">IF('دليل العملاء'!A137="","",'دليل العملاء'!A137)</f>
        <v/>
      </c>
      <c r="C138" s="14" t="str">
        <f aca="false">IF(B138="","",COUNTIF('المبيعات اليومية'!$B$8:$B$107,B138))</f>
        <v/>
      </c>
      <c r="D138" s="14" t="str">
        <f aca="false">IF(B138="","",SUMIF('المبيعات اليومية'!$B$8:$B$107,B138,'المبيعات اليومية'!$E$8:$E$107))</f>
        <v/>
      </c>
      <c r="E138" s="11" t="str">
        <f aca="false">IF(B138="","",SUMIF('المبيعات اليومية'!$B$8:$B$107,B138,'المبيعات اليومية'!$H$8:$H$107))</f>
        <v/>
      </c>
      <c r="F138" s="11" t="str">
        <f aca="false">IF(B138="","",SUMIF('المبيعات اليومية'!$B$8:$B$107,B138,'المبيعات اليومية'!$I$8:$I$107))</f>
        <v/>
      </c>
      <c r="G138" s="11" t="str">
        <f aca="false">IF(B138="","",SUMIF('المبيعات اليومية'!$B$8:$B$107,B138,'المبيعات اليومية'!$J$8:$J$107))</f>
        <v/>
      </c>
    </row>
    <row r="139" customFormat="false" ht="15" hidden="false" customHeight="false" outlineLevel="0" collapsed="false">
      <c r="A139" s="14" t="str">
        <f aca="false">IF(B139="","",135)</f>
        <v/>
      </c>
      <c r="B139" s="15" t="str">
        <f aca="false">IF('دليل العملاء'!A138="","",'دليل العملاء'!A138)</f>
        <v/>
      </c>
      <c r="C139" s="14" t="str">
        <f aca="false">IF(B139="","",COUNTIF('المبيعات اليومية'!$B$8:$B$107,B139))</f>
        <v/>
      </c>
      <c r="D139" s="14" t="str">
        <f aca="false">IF(B139="","",SUMIF('المبيعات اليومية'!$B$8:$B$107,B139,'المبيعات اليومية'!$E$8:$E$107))</f>
        <v/>
      </c>
      <c r="E139" s="11" t="str">
        <f aca="false">IF(B139="","",SUMIF('المبيعات اليومية'!$B$8:$B$107,B139,'المبيعات اليومية'!$H$8:$H$107))</f>
        <v/>
      </c>
      <c r="F139" s="11" t="str">
        <f aca="false">IF(B139="","",SUMIF('المبيعات اليومية'!$B$8:$B$107,B139,'المبيعات اليومية'!$I$8:$I$107))</f>
        <v/>
      </c>
      <c r="G139" s="11" t="str">
        <f aca="false">IF(B139="","",SUMIF('المبيعات اليومية'!$B$8:$B$107,B139,'المبيعات اليومية'!$J$8:$J$107))</f>
        <v/>
      </c>
    </row>
    <row r="140" customFormat="false" ht="15" hidden="false" customHeight="false" outlineLevel="0" collapsed="false">
      <c r="A140" s="14" t="str">
        <f aca="false">IF(B140="","",136)</f>
        <v/>
      </c>
      <c r="B140" s="15" t="str">
        <f aca="false">IF('دليل العملاء'!A139="","",'دليل العملاء'!A139)</f>
        <v/>
      </c>
      <c r="C140" s="14" t="str">
        <f aca="false">IF(B140="","",COUNTIF('المبيعات اليومية'!$B$8:$B$107,B140))</f>
        <v/>
      </c>
      <c r="D140" s="14" t="str">
        <f aca="false">IF(B140="","",SUMIF('المبيعات اليومية'!$B$8:$B$107,B140,'المبيعات اليومية'!$E$8:$E$107))</f>
        <v/>
      </c>
      <c r="E140" s="11" t="str">
        <f aca="false">IF(B140="","",SUMIF('المبيعات اليومية'!$B$8:$B$107,B140,'المبيعات اليومية'!$H$8:$H$107))</f>
        <v/>
      </c>
      <c r="F140" s="11" t="str">
        <f aca="false">IF(B140="","",SUMIF('المبيعات اليومية'!$B$8:$B$107,B140,'المبيعات اليومية'!$I$8:$I$107))</f>
        <v/>
      </c>
      <c r="G140" s="11" t="str">
        <f aca="false">IF(B140="","",SUMIF('المبيعات اليومية'!$B$8:$B$107,B140,'المبيعات اليومية'!$J$8:$J$107))</f>
        <v/>
      </c>
    </row>
    <row r="141" customFormat="false" ht="15" hidden="false" customHeight="false" outlineLevel="0" collapsed="false">
      <c r="A141" s="14" t="str">
        <f aca="false">IF(B141="","",137)</f>
        <v/>
      </c>
      <c r="B141" s="15" t="str">
        <f aca="false">IF('دليل العملاء'!A140="","",'دليل العملاء'!A140)</f>
        <v/>
      </c>
      <c r="C141" s="14" t="str">
        <f aca="false">IF(B141="","",COUNTIF('المبيعات اليومية'!$B$8:$B$107,B141))</f>
        <v/>
      </c>
      <c r="D141" s="14" t="str">
        <f aca="false">IF(B141="","",SUMIF('المبيعات اليومية'!$B$8:$B$107,B141,'المبيعات اليومية'!$E$8:$E$107))</f>
        <v/>
      </c>
      <c r="E141" s="11" t="str">
        <f aca="false">IF(B141="","",SUMIF('المبيعات اليومية'!$B$8:$B$107,B141,'المبيعات اليومية'!$H$8:$H$107))</f>
        <v/>
      </c>
      <c r="F141" s="11" t="str">
        <f aca="false">IF(B141="","",SUMIF('المبيعات اليومية'!$B$8:$B$107,B141,'المبيعات اليومية'!$I$8:$I$107))</f>
        <v/>
      </c>
      <c r="G141" s="11" t="str">
        <f aca="false">IF(B141="","",SUMIF('المبيعات اليومية'!$B$8:$B$107,B141,'المبيعات اليومية'!$J$8:$J$107))</f>
        <v/>
      </c>
    </row>
    <row r="142" customFormat="false" ht="15" hidden="false" customHeight="false" outlineLevel="0" collapsed="false">
      <c r="A142" s="14" t="str">
        <f aca="false">IF(B142="","",138)</f>
        <v/>
      </c>
      <c r="B142" s="15" t="str">
        <f aca="false">IF('دليل العملاء'!A141="","",'دليل العملاء'!A141)</f>
        <v/>
      </c>
      <c r="C142" s="14" t="str">
        <f aca="false">IF(B142="","",COUNTIF('المبيعات اليومية'!$B$8:$B$107,B142))</f>
        <v/>
      </c>
      <c r="D142" s="14" t="str">
        <f aca="false">IF(B142="","",SUMIF('المبيعات اليومية'!$B$8:$B$107,B142,'المبيعات اليومية'!$E$8:$E$107))</f>
        <v/>
      </c>
      <c r="E142" s="11" t="str">
        <f aca="false">IF(B142="","",SUMIF('المبيعات اليومية'!$B$8:$B$107,B142,'المبيعات اليومية'!$H$8:$H$107))</f>
        <v/>
      </c>
      <c r="F142" s="11" t="str">
        <f aca="false">IF(B142="","",SUMIF('المبيعات اليومية'!$B$8:$B$107,B142,'المبيعات اليومية'!$I$8:$I$107))</f>
        <v/>
      </c>
      <c r="G142" s="11" t="str">
        <f aca="false">IF(B142="","",SUMIF('المبيعات اليومية'!$B$8:$B$107,B142,'المبيعات اليومية'!$J$8:$J$107))</f>
        <v/>
      </c>
    </row>
    <row r="143" customFormat="false" ht="15" hidden="false" customHeight="false" outlineLevel="0" collapsed="false">
      <c r="A143" s="14" t="str">
        <f aca="false">IF(B143="","",139)</f>
        <v/>
      </c>
      <c r="B143" s="15" t="str">
        <f aca="false">IF('دليل العملاء'!A142="","",'دليل العملاء'!A142)</f>
        <v/>
      </c>
      <c r="C143" s="14" t="str">
        <f aca="false">IF(B143="","",COUNTIF('المبيعات اليومية'!$B$8:$B$107,B143))</f>
        <v/>
      </c>
      <c r="D143" s="14" t="str">
        <f aca="false">IF(B143="","",SUMIF('المبيعات اليومية'!$B$8:$B$107,B143,'المبيعات اليومية'!$E$8:$E$107))</f>
        <v/>
      </c>
      <c r="E143" s="11" t="str">
        <f aca="false">IF(B143="","",SUMIF('المبيعات اليومية'!$B$8:$B$107,B143,'المبيعات اليومية'!$H$8:$H$107))</f>
        <v/>
      </c>
      <c r="F143" s="11" t="str">
        <f aca="false">IF(B143="","",SUMIF('المبيعات اليومية'!$B$8:$B$107,B143,'المبيعات اليومية'!$I$8:$I$107))</f>
        <v/>
      </c>
      <c r="G143" s="11" t="str">
        <f aca="false">IF(B143="","",SUMIF('المبيعات اليومية'!$B$8:$B$107,B143,'المبيعات اليومية'!$J$8:$J$107))</f>
        <v/>
      </c>
    </row>
    <row r="144" customFormat="false" ht="15" hidden="false" customHeight="false" outlineLevel="0" collapsed="false">
      <c r="A144" s="14" t="str">
        <f aca="false">IF(B144="","",140)</f>
        <v/>
      </c>
      <c r="B144" s="15" t="str">
        <f aca="false">IF('دليل العملاء'!A143="","",'دليل العملاء'!A143)</f>
        <v/>
      </c>
      <c r="C144" s="14" t="str">
        <f aca="false">IF(B144="","",COUNTIF('المبيعات اليومية'!$B$8:$B$107,B144))</f>
        <v/>
      </c>
      <c r="D144" s="14" t="str">
        <f aca="false">IF(B144="","",SUMIF('المبيعات اليومية'!$B$8:$B$107,B144,'المبيعات اليومية'!$E$8:$E$107))</f>
        <v/>
      </c>
      <c r="E144" s="11" t="str">
        <f aca="false">IF(B144="","",SUMIF('المبيعات اليومية'!$B$8:$B$107,B144,'المبيعات اليومية'!$H$8:$H$107))</f>
        <v/>
      </c>
      <c r="F144" s="11" t="str">
        <f aca="false">IF(B144="","",SUMIF('المبيعات اليومية'!$B$8:$B$107,B144,'المبيعات اليومية'!$I$8:$I$107))</f>
        <v/>
      </c>
      <c r="G144" s="11" t="str">
        <f aca="false">IF(B144="","",SUMIF('المبيعات اليومية'!$B$8:$B$107,B144,'المبيعات اليومية'!$J$8:$J$107))</f>
        <v/>
      </c>
    </row>
    <row r="145" customFormat="false" ht="15" hidden="false" customHeight="false" outlineLevel="0" collapsed="false">
      <c r="A145" s="14" t="str">
        <f aca="false">IF(B145="","",141)</f>
        <v/>
      </c>
      <c r="B145" s="15" t="str">
        <f aca="false">IF('دليل العملاء'!A144="","",'دليل العملاء'!A144)</f>
        <v/>
      </c>
      <c r="C145" s="14" t="str">
        <f aca="false">IF(B145="","",COUNTIF('المبيعات اليومية'!$B$8:$B$107,B145))</f>
        <v/>
      </c>
      <c r="D145" s="14" t="str">
        <f aca="false">IF(B145="","",SUMIF('المبيعات اليومية'!$B$8:$B$107,B145,'المبيعات اليومية'!$E$8:$E$107))</f>
        <v/>
      </c>
      <c r="E145" s="11" t="str">
        <f aca="false">IF(B145="","",SUMIF('المبيعات اليومية'!$B$8:$B$107,B145,'المبيعات اليومية'!$H$8:$H$107))</f>
        <v/>
      </c>
      <c r="F145" s="11" t="str">
        <f aca="false">IF(B145="","",SUMIF('المبيعات اليومية'!$B$8:$B$107,B145,'المبيعات اليومية'!$I$8:$I$107))</f>
        <v/>
      </c>
      <c r="G145" s="11" t="str">
        <f aca="false">IF(B145="","",SUMIF('المبيعات اليومية'!$B$8:$B$107,B145,'المبيعات اليومية'!$J$8:$J$107))</f>
        <v/>
      </c>
    </row>
    <row r="146" customFormat="false" ht="15" hidden="false" customHeight="false" outlineLevel="0" collapsed="false">
      <c r="A146" s="14" t="str">
        <f aca="false">IF(B146="","",142)</f>
        <v/>
      </c>
      <c r="B146" s="15" t="str">
        <f aca="false">IF('دليل العملاء'!A145="","",'دليل العملاء'!A145)</f>
        <v/>
      </c>
      <c r="C146" s="14" t="str">
        <f aca="false">IF(B146="","",COUNTIF('المبيعات اليومية'!$B$8:$B$107,B146))</f>
        <v/>
      </c>
      <c r="D146" s="14" t="str">
        <f aca="false">IF(B146="","",SUMIF('المبيعات اليومية'!$B$8:$B$107,B146,'المبيعات اليومية'!$E$8:$E$107))</f>
        <v/>
      </c>
      <c r="E146" s="11" t="str">
        <f aca="false">IF(B146="","",SUMIF('المبيعات اليومية'!$B$8:$B$107,B146,'المبيعات اليومية'!$H$8:$H$107))</f>
        <v/>
      </c>
      <c r="F146" s="11" t="str">
        <f aca="false">IF(B146="","",SUMIF('المبيعات اليومية'!$B$8:$B$107,B146,'المبيعات اليومية'!$I$8:$I$107))</f>
        <v/>
      </c>
      <c r="G146" s="11" t="str">
        <f aca="false">IF(B146="","",SUMIF('المبيعات اليومية'!$B$8:$B$107,B146,'المبيعات اليومية'!$J$8:$J$107))</f>
        <v/>
      </c>
    </row>
    <row r="147" customFormat="false" ht="15" hidden="false" customHeight="false" outlineLevel="0" collapsed="false">
      <c r="A147" s="14" t="str">
        <f aca="false">IF(B147="","",143)</f>
        <v/>
      </c>
      <c r="B147" s="15" t="str">
        <f aca="false">IF('دليل العملاء'!A146="","",'دليل العملاء'!A146)</f>
        <v/>
      </c>
      <c r="C147" s="14" t="str">
        <f aca="false">IF(B147="","",COUNTIF('المبيعات اليومية'!$B$8:$B$107,B147))</f>
        <v/>
      </c>
      <c r="D147" s="14" t="str">
        <f aca="false">IF(B147="","",SUMIF('المبيعات اليومية'!$B$8:$B$107,B147,'المبيعات اليومية'!$E$8:$E$107))</f>
        <v/>
      </c>
      <c r="E147" s="11" t="str">
        <f aca="false">IF(B147="","",SUMIF('المبيعات اليومية'!$B$8:$B$107,B147,'المبيعات اليومية'!$H$8:$H$107))</f>
        <v/>
      </c>
      <c r="F147" s="11" t="str">
        <f aca="false">IF(B147="","",SUMIF('المبيعات اليومية'!$B$8:$B$107,B147,'المبيعات اليومية'!$I$8:$I$107))</f>
        <v/>
      </c>
      <c r="G147" s="11" t="str">
        <f aca="false">IF(B147="","",SUMIF('المبيعات اليومية'!$B$8:$B$107,B147,'المبيعات اليومية'!$J$8:$J$107))</f>
        <v/>
      </c>
    </row>
    <row r="148" customFormat="false" ht="15" hidden="false" customHeight="false" outlineLevel="0" collapsed="false">
      <c r="A148" s="14" t="str">
        <f aca="false">IF(B148="","",144)</f>
        <v/>
      </c>
      <c r="B148" s="15" t="str">
        <f aca="false">IF('دليل العملاء'!A147="","",'دليل العملاء'!A147)</f>
        <v/>
      </c>
      <c r="C148" s="14" t="str">
        <f aca="false">IF(B148="","",COUNTIF('المبيعات اليومية'!$B$8:$B$107,B148))</f>
        <v/>
      </c>
      <c r="D148" s="14" t="str">
        <f aca="false">IF(B148="","",SUMIF('المبيعات اليومية'!$B$8:$B$107,B148,'المبيعات اليومية'!$E$8:$E$107))</f>
        <v/>
      </c>
      <c r="E148" s="11" t="str">
        <f aca="false">IF(B148="","",SUMIF('المبيعات اليومية'!$B$8:$B$107,B148,'المبيعات اليومية'!$H$8:$H$107))</f>
        <v/>
      </c>
      <c r="F148" s="11" t="str">
        <f aca="false">IF(B148="","",SUMIF('المبيعات اليومية'!$B$8:$B$107,B148,'المبيعات اليومية'!$I$8:$I$107))</f>
        <v/>
      </c>
      <c r="G148" s="11" t="str">
        <f aca="false">IF(B148="","",SUMIF('المبيعات اليومية'!$B$8:$B$107,B148,'المبيعات اليومية'!$J$8:$J$107))</f>
        <v/>
      </c>
    </row>
    <row r="149" customFormat="false" ht="15" hidden="false" customHeight="false" outlineLevel="0" collapsed="false">
      <c r="A149" s="14" t="str">
        <f aca="false">IF(B149="","",145)</f>
        <v/>
      </c>
      <c r="B149" s="15" t="str">
        <f aca="false">IF('دليل العملاء'!A148="","",'دليل العملاء'!A148)</f>
        <v/>
      </c>
      <c r="C149" s="14" t="str">
        <f aca="false">IF(B149="","",COUNTIF('المبيعات اليومية'!$B$8:$B$107,B149))</f>
        <v/>
      </c>
      <c r="D149" s="14" t="str">
        <f aca="false">IF(B149="","",SUMIF('المبيعات اليومية'!$B$8:$B$107,B149,'المبيعات اليومية'!$E$8:$E$107))</f>
        <v/>
      </c>
      <c r="E149" s="11" t="str">
        <f aca="false">IF(B149="","",SUMIF('المبيعات اليومية'!$B$8:$B$107,B149,'المبيعات اليومية'!$H$8:$H$107))</f>
        <v/>
      </c>
      <c r="F149" s="11" t="str">
        <f aca="false">IF(B149="","",SUMIF('المبيعات اليومية'!$B$8:$B$107,B149,'المبيعات اليومية'!$I$8:$I$107))</f>
        <v/>
      </c>
      <c r="G149" s="11" t="str">
        <f aca="false">IF(B149="","",SUMIF('المبيعات اليومية'!$B$8:$B$107,B149,'المبيعات اليومية'!$J$8:$J$107))</f>
        <v/>
      </c>
    </row>
    <row r="150" customFormat="false" ht="15" hidden="false" customHeight="false" outlineLevel="0" collapsed="false">
      <c r="A150" s="14" t="str">
        <f aca="false">IF(B150="","",146)</f>
        <v/>
      </c>
      <c r="B150" s="15" t="str">
        <f aca="false">IF('دليل العملاء'!A149="","",'دليل العملاء'!A149)</f>
        <v/>
      </c>
      <c r="C150" s="14" t="str">
        <f aca="false">IF(B150="","",COUNTIF('المبيعات اليومية'!$B$8:$B$107,B150))</f>
        <v/>
      </c>
      <c r="D150" s="14" t="str">
        <f aca="false">IF(B150="","",SUMIF('المبيعات اليومية'!$B$8:$B$107,B150,'المبيعات اليومية'!$E$8:$E$107))</f>
        <v/>
      </c>
      <c r="E150" s="11" t="str">
        <f aca="false">IF(B150="","",SUMIF('المبيعات اليومية'!$B$8:$B$107,B150,'المبيعات اليومية'!$H$8:$H$107))</f>
        <v/>
      </c>
      <c r="F150" s="11" t="str">
        <f aca="false">IF(B150="","",SUMIF('المبيعات اليومية'!$B$8:$B$107,B150,'المبيعات اليومية'!$I$8:$I$107))</f>
        <v/>
      </c>
      <c r="G150" s="11" t="str">
        <f aca="false">IF(B150="","",SUMIF('المبيعات اليومية'!$B$8:$B$107,B150,'المبيعات اليومية'!$J$8:$J$107))</f>
        <v/>
      </c>
    </row>
    <row r="151" customFormat="false" ht="15" hidden="false" customHeight="false" outlineLevel="0" collapsed="false">
      <c r="A151" s="14" t="str">
        <f aca="false">IF(B151="","",147)</f>
        <v/>
      </c>
      <c r="B151" s="15" t="str">
        <f aca="false">IF('دليل العملاء'!A150="","",'دليل العملاء'!A150)</f>
        <v/>
      </c>
      <c r="C151" s="14" t="str">
        <f aca="false">IF(B151="","",COUNTIF('المبيعات اليومية'!$B$8:$B$107,B151))</f>
        <v/>
      </c>
      <c r="D151" s="14" t="str">
        <f aca="false">IF(B151="","",SUMIF('المبيعات اليومية'!$B$8:$B$107,B151,'المبيعات اليومية'!$E$8:$E$107))</f>
        <v/>
      </c>
      <c r="E151" s="11" t="str">
        <f aca="false">IF(B151="","",SUMIF('المبيعات اليومية'!$B$8:$B$107,B151,'المبيعات اليومية'!$H$8:$H$107))</f>
        <v/>
      </c>
      <c r="F151" s="11" t="str">
        <f aca="false">IF(B151="","",SUMIF('المبيعات اليومية'!$B$8:$B$107,B151,'المبيعات اليومية'!$I$8:$I$107))</f>
        <v/>
      </c>
      <c r="G151" s="11" t="str">
        <f aca="false">IF(B151="","",SUMIF('المبيعات اليومية'!$B$8:$B$107,B151,'المبيعات اليومية'!$J$8:$J$107))</f>
        <v/>
      </c>
    </row>
    <row r="152" customFormat="false" ht="15" hidden="false" customHeight="false" outlineLevel="0" collapsed="false">
      <c r="A152" s="14" t="str">
        <f aca="false">IF(B152="","",148)</f>
        <v/>
      </c>
      <c r="B152" s="15" t="str">
        <f aca="false">IF('دليل العملاء'!A151="","",'دليل العملاء'!A151)</f>
        <v/>
      </c>
      <c r="C152" s="14" t="str">
        <f aca="false">IF(B152="","",COUNTIF('المبيعات اليومية'!$B$8:$B$107,B152))</f>
        <v/>
      </c>
      <c r="D152" s="14" t="str">
        <f aca="false">IF(B152="","",SUMIF('المبيعات اليومية'!$B$8:$B$107,B152,'المبيعات اليومية'!$E$8:$E$107))</f>
        <v/>
      </c>
      <c r="E152" s="11" t="str">
        <f aca="false">IF(B152="","",SUMIF('المبيعات اليومية'!$B$8:$B$107,B152,'المبيعات اليومية'!$H$8:$H$107))</f>
        <v/>
      </c>
      <c r="F152" s="11" t="str">
        <f aca="false">IF(B152="","",SUMIF('المبيعات اليومية'!$B$8:$B$107,B152,'المبيعات اليومية'!$I$8:$I$107))</f>
        <v/>
      </c>
      <c r="G152" s="11" t="str">
        <f aca="false">IF(B152="","",SUMIF('المبيعات اليومية'!$B$8:$B$107,B152,'المبيعات اليومية'!$J$8:$J$107))</f>
        <v/>
      </c>
    </row>
    <row r="153" customFormat="false" ht="15" hidden="false" customHeight="false" outlineLevel="0" collapsed="false">
      <c r="A153" s="14" t="str">
        <f aca="false">IF(B153="","",149)</f>
        <v/>
      </c>
      <c r="B153" s="15" t="str">
        <f aca="false">IF('دليل العملاء'!A152="","",'دليل العملاء'!A152)</f>
        <v/>
      </c>
      <c r="C153" s="14" t="str">
        <f aca="false">IF(B153="","",COUNTIF('المبيعات اليومية'!$B$8:$B$107,B153))</f>
        <v/>
      </c>
      <c r="D153" s="14" t="str">
        <f aca="false">IF(B153="","",SUMIF('المبيعات اليومية'!$B$8:$B$107,B153,'المبيعات اليومية'!$E$8:$E$107))</f>
        <v/>
      </c>
      <c r="E153" s="11" t="str">
        <f aca="false">IF(B153="","",SUMIF('المبيعات اليومية'!$B$8:$B$107,B153,'المبيعات اليومية'!$H$8:$H$107))</f>
        <v/>
      </c>
      <c r="F153" s="11" t="str">
        <f aca="false">IF(B153="","",SUMIF('المبيعات اليومية'!$B$8:$B$107,B153,'المبيعات اليومية'!$I$8:$I$107))</f>
        <v/>
      </c>
      <c r="G153" s="11" t="str">
        <f aca="false">IF(B153="","",SUMIF('المبيعات اليومية'!$B$8:$B$107,B153,'المبيعات اليومية'!$J$8:$J$107))</f>
        <v/>
      </c>
    </row>
    <row r="154" customFormat="false" ht="15" hidden="false" customHeight="false" outlineLevel="0" collapsed="false">
      <c r="A154" s="14" t="str">
        <f aca="false">IF(B154="","",150)</f>
        <v/>
      </c>
      <c r="B154" s="15" t="str">
        <f aca="false">IF('دليل العملاء'!A153="","",'دليل العملاء'!A153)</f>
        <v/>
      </c>
      <c r="C154" s="14" t="str">
        <f aca="false">IF(B154="","",COUNTIF('المبيعات اليومية'!$B$8:$B$107,B154))</f>
        <v/>
      </c>
      <c r="D154" s="14" t="str">
        <f aca="false">IF(B154="","",SUMIF('المبيعات اليومية'!$B$8:$B$107,B154,'المبيعات اليومية'!$E$8:$E$107))</f>
        <v/>
      </c>
      <c r="E154" s="11" t="str">
        <f aca="false">IF(B154="","",SUMIF('المبيعات اليومية'!$B$8:$B$107,B154,'المبيعات اليومية'!$H$8:$H$107))</f>
        <v/>
      </c>
      <c r="F154" s="11" t="str">
        <f aca="false">IF(B154="","",SUMIF('المبيعات اليومية'!$B$8:$B$107,B154,'المبيعات اليومية'!$I$8:$I$107))</f>
        <v/>
      </c>
      <c r="G154" s="11" t="str">
        <f aca="false">IF(B154="","",SUMIF('المبيعات اليومية'!$B$8:$B$107,B154,'المبيعات اليومية'!$J$8:$J$107))</f>
        <v/>
      </c>
    </row>
    <row r="155" customFormat="false" ht="15" hidden="false" customHeight="false" outlineLevel="0" collapsed="false">
      <c r="A155" s="14" t="str">
        <f aca="false">IF(B155="","",151)</f>
        <v/>
      </c>
      <c r="B155" s="15" t="str">
        <f aca="false">IF('دليل العملاء'!A154="","",'دليل العملاء'!A154)</f>
        <v/>
      </c>
      <c r="C155" s="14" t="str">
        <f aca="false">IF(B155="","",COUNTIF('المبيعات اليومية'!$B$8:$B$107,B155))</f>
        <v/>
      </c>
      <c r="D155" s="14" t="str">
        <f aca="false">IF(B155="","",SUMIF('المبيعات اليومية'!$B$8:$B$107,B155,'المبيعات اليومية'!$E$8:$E$107))</f>
        <v/>
      </c>
      <c r="E155" s="11" t="str">
        <f aca="false">IF(B155="","",SUMIF('المبيعات اليومية'!$B$8:$B$107,B155,'المبيعات اليومية'!$H$8:$H$107))</f>
        <v/>
      </c>
      <c r="F155" s="11" t="str">
        <f aca="false">IF(B155="","",SUMIF('المبيعات اليومية'!$B$8:$B$107,B155,'المبيعات اليومية'!$I$8:$I$107))</f>
        <v/>
      </c>
      <c r="G155" s="11" t="str">
        <f aca="false">IF(B155="","",SUMIF('المبيعات اليومية'!$B$8:$B$107,B155,'المبيعات اليومية'!$J$8:$J$107))</f>
        <v/>
      </c>
    </row>
    <row r="156" customFormat="false" ht="15" hidden="false" customHeight="false" outlineLevel="0" collapsed="false">
      <c r="A156" s="14" t="str">
        <f aca="false">IF(B156="","",152)</f>
        <v/>
      </c>
      <c r="B156" s="15" t="str">
        <f aca="false">IF('دليل العملاء'!A155="","",'دليل العملاء'!A155)</f>
        <v/>
      </c>
      <c r="C156" s="14" t="str">
        <f aca="false">IF(B156="","",COUNTIF('المبيعات اليومية'!$B$8:$B$107,B156))</f>
        <v/>
      </c>
      <c r="D156" s="14" t="str">
        <f aca="false">IF(B156="","",SUMIF('المبيعات اليومية'!$B$8:$B$107,B156,'المبيعات اليومية'!$E$8:$E$107))</f>
        <v/>
      </c>
      <c r="E156" s="11" t="str">
        <f aca="false">IF(B156="","",SUMIF('المبيعات اليومية'!$B$8:$B$107,B156,'المبيعات اليومية'!$H$8:$H$107))</f>
        <v/>
      </c>
      <c r="F156" s="11" t="str">
        <f aca="false">IF(B156="","",SUMIF('المبيعات اليومية'!$B$8:$B$107,B156,'المبيعات اليومية'!$I$8:$I$107))</f>
        <v/>
      </c>
      <c r="G156" s="11" t="str">
        <f aca="false">IF(B156="","",SUMIF('المبيعات اليومية'!$B$8:$B$107,B156,'المبيعات اليومية'!$J$8:$J$107))</f>
        <v/>
      </c>
    </row>
    <row r="157" customFormat="false" ht="15" hidden="false" customHeight="false" outlineLevel="0" collapsed="false">
      <c r="A157" s="14" t="str">
        <f aca="false">IF(B157="","",153)</f>
        <v/>
      </c>
      <c r="B157" s="15" t="str">
        <f aca="false">IF('دليل العملاء'!A156="","",'دليل العملاء'!A156)</f>
        <v/>
      </c>
      <c r="C157" s="14" t="str">
        <f aca="false">IF(B157="","",COUNTIF('المبيعات اليومية'!$B$8:$B$107,B157))</f>
        <v/>
      </c>
      <c r="D157" s="14" t="str">
        <f aca="false">IF(B157="","",SUMIF('المبيعات اليومية'!$B$8:$B$107,B157,'المبيعات اليومية'!$E$8:$E$107))</f>
        <v/>
      </c>
      <c r="E157" s="11" t="str">
        <f aca="false">IF(B157="","",SUMIF('المبيعات اليومية'!$B$8:$B$107,B157,'المبيعات اليومية'!$H$8:$H$107))</f>
        <v/>
      </c>
      <c r="F157" s="11" t="str">
        <f aca="false">IF(B157="","",SUMIF('المبيعات اليومية'!$B$8:$B$107,B157,'المبيعات اليومية'!$I$8:$I$107))</f>
        <v/>
      </c>
      <c r="G157" s="11" t="str">
        <f aca="false">IF(B157="","",SUMIF('المبيعات اليومية'!$B$8:$B$107,B157,'المبيعات اليومية'!$J$8:$J$107))</f>
        <v/>
      </c>
    </row>
    <row r="158" customFormat="false" ht="15" hidden="false" customHeight="false" outlineLevel="0" collapsed="false">
      <c r="A158" s="14" t="str">
        <f aca="false">IF(B158="","",154)</f>
        <v/>
      </c>
      <c r="B158" s="15" t="str">
        <f aca="false">IF('دليل العملاء'!A157="","",'دليل العملاء'!A157)</f>
        <v/>
      </c>
      <c r="C158" s="14" t="str">
        <f aca="false">IF(B158="","",COUNTIF('المبيعات اليومية'!$B$8:$B$107,B158))</f>
        <v/>
      </c>
      <c r="D158" s="14" t="str">
        <f aca="false">IF(B158="","",SUMIF('المبيعات اليومية'!$B$8:$B$107,B158,'المبيعات اليومية'!$E$8:$E$107))</f>
        <v/>
      </c>
      <c r="E158" s="11" t="str">
        <f aca="false">IF(B158="","",SUMIF('المبيعات اليومية'!$B$8:$B$107,B158,'المبيعات اليومية'!$H$8:$H$107))</f>
        <v/>
      </c>
      <c r="F158" s="11" t="str">
        <f aca="false">IF(B158="","",SUMIF('المبيعات اليومية'!$B$8:$B$107,B158,'المبيعات اليومية'!$I$8:$I$107))</f>
        <v/>
      </c>
      <c r="G158" s="11" t="str">
        <f aca="false">IF(B158="","",SUMIF('المبيعات اليومية'!$B$8:$B$107,B158,'المبيعات اليومية'!$J$8:$J$107))</f>
        <v/>
      </c>
    </row>
    <row r="159" customFormat="false" ht="15" hidden="false" customHeight="false" outlineLevel="0" collapsed="false">
      <c r="A159" s="14" t="str">
        <f aca="false">IF(B159="","",155)</f>
        <v/>
      </c>
      <c r="B159" s="15" t="str">
        <f aca="false">IF('دليل العملاء'!A158="","",'دليل العملاء'!A158)</f>
        <v/>
      </c>
      <c r="C159" s="14" t="str">
        <f aca="false">IF(B159="","",COUNTIF('المبيعات اليومية'!$B$8:$B$107,B159))</f>
        <v/>
      </c>
      <c r="D159" s="14" t="str">
        <f aca="false">IF(B159="","",SUMIF('المبيعات اليومية'!$B$8:$B$107,B159,'المبيعات اليومية'!$E$8:$E$107))</f>
        <v/>
      </c>
      <c r="E159" s="11" t="str">
        <f aca="false">IF(B159="","",SUMIF('المبيعات اليومية'!$B$8:$B$107,B159,'المبيعات اليومية'!$H$8:$H$107))</f>
        <v/>
      </c>
      <c r="F159" s="11" t="str">
        <f aca="false">IF(B159="","",SUMIF('المبيعات اليومية'!$B$8:$B$107,B159,'المبيعات اليومية'!$I$8:$I$107))</f>
        <v/>
      </c>
      <c r="G159" s="11" t="str">
        <f aca="false">IF(B159="","",SUMIF('المبيعات اليومية'!$B$8:$B$107,B159,'المبيعات اليومية'!$J$8:$J$107))</f>
        <v/>
      </c>
    </row>
    <row r="160" customFormat="false" ht="15" hidden="false" customHeight="false" outlineLevel="0" collapsed="false">
      <c r="A160" s="14" t="str">
        <f aca="false">IF(B160="","",156)</f>
        <v/>
      </c>
      <c r="B160" s="15" t="str">
        <f aca="false">IF('دليل العملاء'!A159="","",'دليل العملاء'!A159)</f>
        <v/>
      </c>
      <c r="C160" s="14" t="str">
        <f aca="false">IF(B160="","",COUNTIF('المبيعات اليومية'!$B$8:$B$107,B160))</f>
        <v/>
      </c>
      <c r="D160" s="14" t="str">
        <f aca="false">IF(B160="","",SUMIF('المبيعات اليومية'!$B$8:$B$107,B160,'المبيعات اليومية'!$E$8:$E$107))</f>
        <v/>
      </c>
      <c r="E160" s="11" t="str">
        <f aca="false">IF(B160="","",SUMIF('المبيعات اليومية'!$B$8:$B$107,B160,'المبيعات اليومية'!$H$8:$H$107))</f>
        <v/>
      </c>
      <c r="F160" s="11" t="str">
        <f aca="false">IF(B160="","",SUMIF('المبيعات اليومية'!$B$8:$B$107,B160,'المبيعات اليومية'!$I$8:$I$107))</f>
        <v/>
      </c>
      <c r="G160" s="11" t="str">
        <f aca="false">IF(B160="","",SUMIF('المبيعات اليومية'!$B$8:$B$107,B160,'المبيعات اليومية'!$J$8:$J$107))</f>
        <v/>
      </c>
    </row>
    <row r="161" customFormat="false" ht="15" hidden="false" customHeight="false" outlineLevel="0" collapsed="false">
      <c r="A161" s="14" t="str">
        <f aca="false">IF(B161="","",157)</f>
        <v/>
      </c>
      <c r="B161" s="15" t="str">
        <f aca="false">IF('دليل العملاء'!A160="","",'دليل العملاء'!A160)</f>
        <v/>
      </c>
      <c r="C161" s="14" t="str">
        <f aca="false">IF(B161="","",COUNTIF('المبيعات اليومية'!$B$8:$B$107,B161))</f>
        <v/>
      </c>
      <c r="D161" s="14" t="str">
        <f aca="false">IF(B161="","",SUMIF('المبيعات اليومية'!$B$8:$B$107,B161,'المبيعات اليومية'!$E$8:$E$107))</f>
        <v/>
      </c>
      <c r="E161" s="11" t="str">
        <f aca="false">IF(B161="","",SUMIF('المبيعات اليومية'!$B$8:$B$107,B161,'المبيعات اليومية'!$H$8:$H$107))</f>
        <v/>
      </c>
      <c r="F161" s="11" t="str">
        <f aca="false">IF(B161="","",SUMIF('المبيعات اليومية'!$B$8:$B$107,B161,'المبيعات اليومية'!$I$8:$I$107))</f>
        <v/>
      </c>
      <c r="G161" s="11" t="str">
        <f aca="false">IF(B161="","",SUMIF('المبيعات اليومية'!$B$8:$B$107,B161,'المبيعات اليومية'!$J$8:$J$107))</f>
        <v/>
      </c>
    </row>
    <row r="162" customFormat="false" ht="15" hidden="false" customHeight="false" outlineLevel="0" collapsed="false">
      <c r="A162" s="14" t="str">
        <f aca="false">IF(B162="","",158)</f>
        <v/>
      </c>
      <c r="B162" s="15" t="str">
        <f aca="false">IF('دليل العملاء'!A161="","",'دليل العملاء'!A161)</f>
        <v/>
      </c>
      <c r="C162" s="14" t="str">
        <f aca="false">IF(B162="","",COUNTIF('المبيعات اليومية'!$B$8:$B$107,B162))</f>
        <v/>
      </c>
      <c r="D162" s="14" t="str">
        <f aca="false">IF(B162="","",SUMIF('المبيعات اليومية'!$B$8:$B$107,B162,'المبيعات اليومية'!$E$8:$E$107))</f>
        <v/>
      </c>
      <c r="E162" s="11" t="str">
        <f aca="false">IF(B162="","",SUMIF('المبيعات اليومية'!$B$8:$B$107,B162,'المبيعات اليومية'!$H$8:$H$107))</f>
        <v/>
      </c>
      <c r="F162" s="11" t="str">
        <f aca="false">IF(B162="","",SUMIF('المبيعات اليومية'!$B$8:$B$107,B162,'المبيعات اليومية'!$I$8:$I$107))</f>
        <v/>
      </c>
      <c r="G162" s="11" t="str">
        <f aca="false">IF(B162="","",SUMIF('المبيعات اليومية'!$B$8:$B$107,B162,'المبيعات اليومية'!$J$8:$J$107))</f>
        <v/>
      </c>
    </row>
    <row r="163" customFormat="false" ht="15" hidden="false" customHeight="false" outlineLevel="0" collapsed="false">
      <c r="A163" s="14" t="str">
        <f aca="false">IF(B163="","",159)</f>
        <v/>
      </c>
      <c r="B163" s="15" t="str">
        <f aca="false">IF('دليل العملاء'!A162="","",'دليل العملاء'!A162)</f>
        <v/>
      </c>
      <c r="C163" s="14" t="str">
        <f aca="false">IF(B163="","",COUNTIF('المبيعات اليومية'!$B$8:$B$107,B163))</f>
        <v/>
      </c>
      <c r="D163" s="14" t="str">
        <f aca="false">IF(B163="","",SUMIF('المبيعات اليومية'!$B$8:$B$107,B163,'المبيعات اليومية'!$E$8:$E$107))</f>
        <v/>
      </c>
      <c r="E163" s="11" t="str">
        <f aca="false">IF(B163="","",SUMIF('المبيعات اليومية'!$B$8:$B$107,B163,'المبيعات اليومية'!$H$8:$H$107))</f>
        <v/>
      </c>
      <c r="F163" s="11" t="str">
        <f aca="false">IF(B163="","",SUMIF('المبيعات اليومية'!$B$8:$B$107,B163,'المبيعات اليومية'!$I$8:$I$107))</f>
        <v/>
      </c>
      <c r="G163" s="11" t="str">
        <f aca="false">IF(B163="","",SUMIF('المبيعات اليومية'!$B$8:$B$107,B163,'المبيعات اليومية'!$J$8:$J$107))</f>
        <v/>
      </c>
    </row>
    <row r="164" customFormat="false" ht="15" hidden="false" customHeight="false" outlineLevel="0" collapsed="false">
      <c r="A164" s="14" t="str">
        <f aca="false">IF(B164="","",160)</f>
        <v/>
      </c>
      <c r="B164" s="15" t="str">
        <f aca="false">IF('دليل العملاء'!A163="","",'دليل العملاء'!A163)</f>
        <v/>
      </c>
      <c r="C164" s="14" t="str">
        <f aca="false">IF(B164="","",COUNTIF('المبيعات اليومية'!$B$8:$B$107,B164))</f>
        <v/>
      </c>
      <c r="D164" s="14" t="str">
        <f aca="false">IF(B164="","",SUMIF('المبيعات اليومية'!$B$8:$B$107,B164,'المبيعات اليومية'!$E$8:$E$107))</f>
        <v/>
      </c>
      <c r="E164" s="11" t="str">
        <f aca="false">IF(B164="","",SUMIF('المبيعات اليومية'!$B$8:$B$107,B164,'المبيعات اليومية'!$H$8:$H$107))</f>
        <v/>
      </c>
      <c r="F164" s="11" t="str">
        <f aca="false">IF(B164="","",SUMIF('المبيعات اليومية'!$B$8:$B$107,B164,'المبيعات اليومية'!$I$8:$I$107))</f>
        <v/>
      </c>
      <c r="G164" s="11" t="str">
        <f aca="false">IF(B164="","",SUMIF('المبيعات اليومية'!$B$8:$B$107,B164,'المبيعات اليومية'!$J$8:$J$107))</f>
        <v/>
      </c>
    </row>
    <row r="165" customFormat="false" ht="15" hidden="false" customHeight="false" outlineLevel="0" collapsed="false">
      <c r="A165" s="14" t="str">
        <f aca="false">IF(B165="","",161)</f>
        <v/>
      </c>
      <c r="B165" s="15" t="str">
        <f aca="false">IF('دليل العملاء'!A164="","",'دليل العملاء'!A164)</f>
        <v/>
      </c>
      <c r="C165" s="14" t="str">
        <f aca="false">IF(B165="","",COUNTIF('المبيعات اليومية'!$B$8:$B$107,B165))</f>
        <v/>
      </c>
      <c r="D165" s="14" t="str">
        <f aca="false">IF(B165="","",SUMIF('المبيعات اليومية'!$B$8:$B$107,B165,'المبيعات اليومية'!$E$8:$E$107))</f>
        <v/>
      </c>
      <c r="E165" s="11" t="str">
        <f aca="false">IF(B165="","",SUMIF('المبيعات اليومية'!$B$8:$B$107,B165,'المبيعات اليومية'!$H$8:$H$107))</f>
        <v/>
      </c>
      <c r="F165" s="11" t="str">
        <f aca="false">IF(B165="","",SUMIF('المبيعات اليومية'!$B$8:$B$107,B165,'المبيعات اليومية'!$I$8:$I$107))</f>
        <v/>
      </c>
      <c r="G165" s="11" t="str">
        <f aca="false">IF(B165="","",SUMIF('المبيعات اليومية'!$B$8:$B$107,B165,'المبيعات اليومية'!$J$8:$J$107))</f>
        <v/>
      </c>
    </row>
    <row r="166" customFormat="false" ht="15" hidden="false" customHeight="false" outlineLevel="0" collapsed="false">
      <c r="A166" s="14" t="str">
        <f aca="false">IF(B166="","",162)</f>
        <v/>
      </c>
      <c r="B166" s="15" t="str">
        <f aca="false">IF('دليل العملاء'!A165="","",'دليل العملاء'!A165)</f>
        <v/>
      </c>
      <c r="C166" s="14" t="str">
        <f aca="false">IF(B166="","",COUNTIF('المبيعات اليومية'!$B$8:$B$107,B166))</f>
        <v/>
      </c>
      <c r="D166" s="14" t="str">
        <f aca="false">IF(B166="","",SUMIF('المبيعات اليومية'!$B$8:$B$107,B166,'المبيعات اليومية'!$E$8:$E$107))</f>
        <v/>
      </c>
      <c r="E166" s="11" t="str">
        <f aca="false">IF(B166="","",SUMIF('المبيعات اليومية'!$B$8:$B$107,B166,'المبيعات اليومية'!$H$8:$H$107))</f>
        <v/>
      </c>
      <c r="F166" s="11" t="str">
        <f aca="false">IF(B166="","",SUMIF('المبيعات اليومية'!$B$8:$B$107,B166,'المبيعات اليومية'!$I$8:$I$107))</f>
        <v/>
      </c>
      <c r="G166" s="11" t="str">
        <f aca="false">IF(B166="","",SUMIF('المبيعات اليومية'!$B$8:$B$107,B166,'المبيعات اليومية'!$J$8:$J$107))</f>
        <v/>
      </c>
    </row>
    <row r="167" customFormat="false" ht="15" hidden="false" customHeight="false" outlineLevel="0" collapsed="false">
      <c r="A167" s="14" t="str">
        <f aca="false">IF(B167="","",163)</f>
        <v/>
      </c>
      <c r="B167" s="15" t="str">
        <f aca="false">IF('دليل العملاء'!A166="","",'دليل العملاء'!A166)</f>
        <v/>
      </c>
      <c r="C167" s="14" t="str">
        <f aca="false">IF(B167="","",COUNTIF('المبيعات اليومية'!$B$8:$B$107,B167))</f>
        <v/>
      </c>
      <c r="D167" s="14" t="str">
        <f aca="false">IF(B167="","",SUMIF('المبيعات اليومية'!$B$8:$B$107,B167,'المبيعات اليومية'!$E$8:$E$107))</f>
        <v/>
      </c>
      <c r="E167" s="11" t="str">
        <f aca="false">IF(B167="","",SUMIF('المبيعات اليومية'!$B$8:$B$107,B167,'المبيعات اليومية'!$H$8:$H$107))</f>
        <v/>
      </c>
      <c r="F167" s="11" t="str">
        <f aca="false">IF(B167="","",SUMIF('المبيعات اليومية'!$B$8:$B$107,B167,'المبيعات اليومية'!$I$8:$I$107))</f>
        <v/>
      </c>
      <c r="G167" s="11" t="str">
        <f aca="false">IF(B167="","",SUMIF('المبيعات اليومية'!$B$8:$B$107,B167,'المبيعات اليومية'!$J$8:$J$107))</f>
        <v/>
      </c>
    </row>
    <row r="168" customFormat="false" ht="15" hidden="false" customHeight="false" outlineLevel="0" collapsed="false">
      <c r="A168" s="14" t="str">
        <f aca="false">IF(B168="","",164)</f>
        <v/>
      </c>
      <c r="B168" s="15" t="str">
        <f aca="false">IF('دليل العملاء'!A167="","",'دليل العملاء'!A167)</f>
        <v/>
      </c>
      <c r="C168" s="14" t="str">
        <f aca="false">IF(B168="","",COUNTIF('المبيعات اليومية'!$B$8:$B$107,B168))</f>
        <v/>
      </c>
      <c r="D168" s="14" t="str">
        <f aca="false">IF(B168="","",SUMIF('المبيعات اليومية'!$B$8:$B$107,B168,'المبيعات اليومية'!$E$8:$E$107))</f>
        <v/>
      </c>
      <c r="E168" s="11" t="str">
        <f aca="false">IF(B168="","",SUMIF('المبيعات اليومية'!$B$8:$B$107,B168,'المبيعات اليومية'!$H$8:$H$107))</f>
        <v/>
      </c>
      <c r="F168" s="11" t="str">
        <f aca="false">IF(B168="","",SUMIF('المبيعات اليومية'!$B$8:$B$107,B168,'المبيعات اليومية'!$I$8:$I$107))</f>
        <v/>
      </c>
      <c r="G168" s="11" t="str">
        <f aca="false">IF(B168="","",SUMIF('المبيعات اليومية'!$B$8:$B$107,B168,'المبيعات اليومية'!$J$8:$J$107))</f>
        <v/>
      </c>
    </row>
    <row r="169" customFormat="false" ht="15" hidden="false" customHeight="false" outlineLevel="0" collapsed="false">
      <c r="A169" s="14" t="str">
        <f aca="false">IF(B169="","",165)</f>
        <v/>
      </c>
      <c r="B169" s="15" t="str">
        <f aca="false">IF('دليل العملاء'!A168="","",'دليل العملاء'!A168)</f>
        <v/>
      </c>
      <c r="C169" s="14" t="str">
        <f aca="false">IF(B169="","",COUNTIF('المبيعات اليومية'!$B$8:$B$107,B169))</f>
        <v/>
      </c>
      <c r="D169" s="14" t="str">
        <f aca="false">IF(B169="","",SUMIF('المبيعات اليومية'!$B$8:$B$107,B169,'المبيعات اليومية'!$E$8:$E$107))</f>
        <v/>
      </c>
      <c r="E169" s="11" t="str">
        <f aca="false">IF(B169="","",SUMIF('المبيعات اليومية'!$B$8:$B$107,B169,'المبيعات اليومية'!$H$8:$H$107))</f>
        <v/>
      </c>
      <c r="F169" s="11" t="str">
        <f aca="false">IF(B169="","",SUMIF('المبيعات اليومية'!$B$8:$B$107,B169,'المبيعات اليومية'!$I$8:$I$107))</f>
        <v/>
      </c>
      <c r="G169" s="11" t="str">
        <f aca="false">IF(B169="","",SUMIF('المبيعات اليومية'!$B$8:$B$107,B169,'المبيعات اليومية'!$J$8:$J$107))</f>
        <v/>
      </c>
    </row>
    <row r="170" customFormat="false" ht="15" hidden="false" customHeight="false" outlineLevel="0" collapsed="false">
      <c r="A170" s="14" t="str">
        <f aca="false">IF(B170="","",166)</f>
        <v/>
      </c>
      <c r="B170" s="15" t="str">
        <f aca="false">IF('دليل العملاء'!A169="","",'دليل العملاء'!A169)</f>
        <v/>
      </c>
      <c r="C170" s="14" t="str">
        <f aca="false">IF(B170="","",COUNTIF('المبيعات اليومية'!$B$8:$B$107,B170))</f>
        <v/>
      </c>
      <c r="D170" s="14" t="str">
        <f aca="false">IF(B170="","",SUMIF('المبيعات اليومية'!$B$8:$B$107,B170,'المبيعات اليومية'!$E$8:$E$107))</f>
        <v/>
      </c>
      <c r="E170" s="11" t="str">
        <f aca="false">IF(B170="","",SUMIF('المبيعات اليومية'!$B$8:$B$107,B170,'المبيعات اليومية'!$H$8:$H$107))</f>
        <v/>
      </c>
      <c r="F170" s="11" t="str">
        <f aca="false">IF(B170="","",SUMIF('المبيعات اليومية'!$B$8:$B$107,B170,'المبيعات اليومية'!$I$8:$I$107))</f>
        <v/>
      </c>
      <c r="G170" s="11" t="str">
        <f aca="false">IF(B170="","",SUMIF('المبيعات اليومية'!$B$8:$B$107,B170,'المبيعات اليومية'!$J$8:$J$107))</f>
        <v/>
      </c>
    </row>
    <row r="171" customFormat="false" ht="15" hidden="false" customHeight="false" outlineLevel="0" collapsed="false">
      <c r="A171" s="14" t="str">
        <f aca="false">IF(B171="","",167)</f>
        <v/>
      </c>
      <c r="B171" s="15" t="str">
        <f aca="false">IF('دليل العملاء'!A170="","",'دليل العملاء'!A170)</f>
        <v/>
      </c>
      <c r="C171" s="14" t="str">
        <f aca="false">IF(B171="","",COUNTIF('المبيعات اليومية'!$B$8:$B$107,B171))</f>
        <v/>
      </c>
      <c r="D171" s="14" t="str">
        <f aca="false">IF(B171="","",SUMIF('المبيعات اليومية'!$B$8:$B$107,B171,'المبيعات اليومية'!$E$8:$E$107))</f>
        <v/>
      </c>
      <c r="E171" s="11" t="str">
        <f aca="false">IF(B171="","",SUMIF('المبيعات اليومية'!$B$8:$B$107,B171,'المبيعات اليومية'!$H$8:$H$107))</f>
        <v/>
      </c>
      <c r="F171" s="11" t="str">
        <f aca="false">IF(B171="","",SUMIF('المبيعات اليومية'!$B$8:$B$107,B171,'المبيعات اليومية'!$I$8:$I$107))</f>
        <v/>
      </c>
      <c r="G171" s="11" t="str">
        <f aca="false">IF(B171="","",SUMIF('المبيعات اليومية'!$B$8:$B$107,B171,'المبيعات اليومية'!$J$8:$J$107))</f>
        <v/>
      </c>
    </row>
    <row r="172" customFormat="false" ht="15" hidden="false" customHeight="false" outlineLevel="0" collapsed="false">
      <c r="A172" s="14" t="str">
        <f aca="false">IF(B172="","",168)</f>
        <v/>
      </c>
      <c r="B172" s="15" t="str">
        <f aca="false">IF('دليل العملاء'!A171="","",'دليل العملاء'!A171)</f>
        <v/>
      </c>
      <c r="C172" s="14" t="str">
        <f aca="false">IF(B172="","",COUNTIF('المبيعات اليومية'!$B$8:$B$107,B172))</f>
        <v/>
      </c>
      <c r="D172" s="14" t="str">
        <f aca="false">IF(B172="","",SUMIF('المبيعات اليومية'!$B$8:$B$107,B172,'المبيعات اليومية'!$E$8:$E$107))</f>
        <v/>
      </c>
      <c r="E172" s="11" t="str">
        <f aca="false">IF(B172="","",SUMIF('المبيعات اليومية'!$B$8:$B$107,B172,'المبيعات اليومية'!$H$8:$H$107))</f>
        <v/>
      </c>
      <c r="F172" s="11" t="str">
        <f aca="false">IF(B172="","",SUMIF('المبيعات اليومية'!$B$8:$B$107,B172,'المبيعات اليومية'!$I$8:$I$107))</f>
        <v/>
      </c>
      <c r="G172" s="11" t="str">
        <f aca="false">IF(B172="","",SUMIF('المبيعات اليومية'!$B$8:$B$107,B172,'المبيعات اليومية'!$J$8:$J$107))</f>
        <v/>
      </c>
    </row>
    <row r="173" customFormat="false" ht="15" hidden="false" customHeight="false" outlineLevel="0" collapsed="false">
      <c r="A173" s="14" t="str">
        <f aca="false">IF(B173="","",169)</f>
        <v/>
      </c>
      <c r="B173" s="15" t="str">
        <f aca="false">IF('دليل العملاء'!A172="","",'دليل العملاء'!A172)</f>
        <v/>
      </c>
      <c r="C173" s="14" t="str">
        <f aca="false">IF(B173="","",COUNTIF('المبيعات اليومية'!$B$8:$B$107,B173))</f>
        <v/>
      </c>
      <c r="D173" s="14" t="str">
        <f aca="false">IF(B173="","",SUMIF('المبيعات اليومية'!$B$8:$B$107,B173,'المبيعات اليومية'!$E$8:$E$107))</f>
        <v/>
      </c>
      <c r="E173" s="11" t="str">
        <f aca="false">IF(B173="","",SUMIF('المبيعات اليومية'!$B$8:$B$107,B173,'المبيعات اليومية'!$H$8:$H$107))</f>
        <v/>
      </c>
      <c r="F173" s="11" t="str">
        <f aca="false">IF(B173="","",SUMIF('المبيعات اليومية'!$B$8:$B$107,B173,'المبيعات اليومية'!$I$8:$I$107))</f>
        <v/>
      </c>
      <c r="G173" s="11" t="str">
        <f aca="false">IF(B173="","",SUMIF('المبيعات اليومية'!$B$8:$B$107,B173,'المبيعات اليومية'!$J$8:$J$107))</f>
        <v/>
      </c>
    </row>
    <row r="174" customFormat="false" ht="15" hidden="false" customHeight="false" outlineLevel="0" collapsed="false">
      <c r="A174" s="14" t="str">
        <f aca="false">IF(B174="","",170)</f>
        <v/>
      </c>
      <c r="B174" s="15" t="str">
        <f aca="false">IF('دليل العملاء'!A173="","",'دليل العملاء'!A173)</f>
        <v/>
      </c>
      <c r="C174" s="14" t="str">
        <f aca="false">IF(B174="","",COUNTIF('المبيعات اليومية'!$B$8:$B$107,B174))</f>
        <v/>
      </c>
      <c r="D174" s="14" t="str">
        <f aca="false">IF(B174="","",SUMIF('المبيعات اليومية'!$B$8:$B$107,B174,'المبيعات اليومية'!$E$8:$E$107))</f>
        <v/>
      </c>
      <c r="E174" s="11" t="str">
        <f aca="false">IF(B174="","",SUMIF('المبيعات اليومية'!$B$8:$B$107,B174,'المبيعات اليومية'!$H$8:$H$107))</f>
        <v/>
      </c>
      <c r="F174" s="11" t="str">
        <f aca="false">IF(B174="","",SUMIF('المبيعات اليومية'!$B$8:$B$107,B174,'المبيعات اليومية'!$I$8:$I$107))</f>
        <v/>
      </c>
      <c r="G174" s="11" t="str">
        <f aca="false">IF(B174="","",SUMIF('المبيعات اليومية'!$B$8:$B$107,B174,'المبيعات اليومية'!$J$8:$J$107))</f>
        <v/>
      </c>
    </row>
    <row r="175" customFormat="false" ht="15" hidden="false" customHeight="false" outlineLevel="0" collapsed="false">
      <c r="A175" s="14" t="str">
        <f aca="false">IF(B175="","",171)</f>
        <v/>
      </c>
      <c r="B175" s="15" t="str">
        <f aca="false">IF('دليل العملاء'!A174="","",'دليل العملاء'!A174)</f>
        <v/>
      </c>
      <c r="C175" s="14" t="str">
        <f aca="false">IF(B175="","",COUNTIF('المبيعات اليومية'!$B$8:$B$107,B175))</f>
        <v/>
      </c>
      <c r="D175" s="14" t="str">
        <f aca="false">IF(B175="","",SUMIF('المبيعات اليومية'!$B$8:$B$107,B175,'المبيعات اليومية'!$E$8:$E$107))</f>
        <v/>
      </c>
      <c r="E175" s="11" t="str">
        <f aca="false">IF(B175="","",SUMIF('المبيعات اليومية'!$B$8:$B$107,B175,'المبيعات اليومية'!$H$8:$H$107))</f>
        <v/>
      </c>
      <c r="F175" s="11" t="str">
        <f aca="false">IF(B175="","",SUMIF('المبيعات اليومية'!$B$8:$B$107,B175,'المبيعات اليومية'!$I$8:$I$107))</f>
        <v/>
      </c>
      <c r="G175" s="11" t="str">
        <f aca="false">IF(B175="","",SUMIF('المبيعات اليومية'!$B$8:$B$107,B175,'المبيعات اليومية'!$J$8:$J$107))</f>
        <v/>
      </c>
    </row>
    <row r="176" customFormat="false" ht="15" hidden="false" customHeight="false" outlineLevel="0" collapsed="false">
      <c r="A176" s="14" t="str">
        <f aca="false">IF(B176="","",172)</f>
        <v/>
      </c>
      <c r="B176" s="15" t="str">
        <f aca="false">IF('دليل العملاء'!A175="","",'دليل العملاء'!A175)</f>
        <v/>
      </c>
      <c r="C176" s="14" t="str">
        <f aca="false">IF(B176="","",COUNTIF('المبيعات اليومية'!$B$8:$B$107,B176))</f>
        <v/>
      </c>
      <c r="D176" s="14" t="str">
        <f aca="false">IF(B176="","",SUMIF('المبيعات اليومية'!$B$8:$B$107,B176,'المبيعات اليومية'!$E$8:$E$107))</f>
        <v/>
      </c>
      <c r="E176" s="11" t="str">
        <f aca="false">IF(B176="","",SUMIF('المبيعات اليومية'!$B$8:$B$107,B176,'المبيعات اليومية'!$H$8:$H$107))</f>
        <v/>
      </c>
      <c r="F176" s="11" t="str">
        <f aca="false">IF(B176="","",SUMIF('المبيعات اليومية'!$B$8:$B$107,B176,'المبيعات اليومية'!$I$8:$I$107))</f>
        <v/>
      </c>
      <c r="G176" s="11" t="str">
        <f aca="false">IF(B176="","",SUMIF('المبيعات اليومية'!$B$8:$B$107,B176,'المبيعات اليومية'!$J$8:$J$107))</f>
        <v/>
      </c>
    </row>
    <row r="177" customFormat="false" ht="15" hidden="false" customHeight="false" outlineLevel="0" collapsed="false">
      <c r="A177" s="14" t="str">
        <f aca="false">IF(B177="","",173)</f>
        <v/>
      </c>
      <c r="B177" s="15" t="str">
        <f aca="false">IF('دليل العملاء'!A176="","",'دليل العملاء'!A176)</f>
        <v/>
      </c>
      <c r="C177" s="14" t="str">
        <f aca="false">IF(B177="","",COUNTIF('المبيعات اليومية'!$B$8:$B$107,B177))</f>
        <v/>
      </c>
      <c r="D177" s="14" t="str">
        <f aca="false">IF(B177="","",SUMIF('المبيعات اليومية'!$B$8:$B$107,B177,'المبيعات اليومية'!$E$8:$E$107))</f>
        <v/>
      </c>
      <c r="E177" s="11" t="str">
        <f aca="false">IF(B177="","",SUMIF('المبيعات اليومية'!$B$8:$B$107,B177,'المبيعات اليومية'!$H$8:$H$107))</f>
        <v/>
      </c>
      <c r="F177" s="11" t="str">
        <f aca="false">IF(B177="","",SUMIF('المبيعات اليومية'!$B$8:$B$107,B177,'المبيعات اليومية'!$I$8:$I$107))</f>
        <v/>
      </c>
      <c r="G177" s="11" t="str">
        <f aca="false">IF(B177="","",SUMIF('المبيعات اليومية'!$B$8:$B$107,B177,'المبيعات اليومية'!$J$8:$J$107))</f>
        <v/>
      </c>
    </row>
    <row r="178" customFormat="false" ht="15" hidden="false" customHeight="false" outlineLevel="0" collapsed="false">
      <c r="A178" s="14" t="str">
        <f aca="false">IF(B178="","",174)</f>
        <v/>
      </c>
      <c r="B178" s="15" t="str">
        <f aca="false">IF('دليل العملاء'!A177="","",'دليل العملاء'!A177)</f>
        <v/>
      </c>
      <c r="C178" s="14" t="str">
        <f aca="false">IF(B178="","",COUNTIF('المبيعات اليومية'!$B$8:$B$107,B178))</f>
        <v/>
      </c>
      <c r="D178" s="14" t="str">
        <f aca="false">IF(B178="","",SUMIF('المبيعات اليومية'!$B$8:$B$107,B178,'المبيعات اليومية'!$E$8:$E$107))</f>
        <v/>
      </c>
      <c r="E178" s="11" t="str">
        <f aca="false">IF(B178="","",SUMIF('المبيعات اليومية'!$B$8:$B$107,B178,'المبيعات اليومية'!$H$8:$H$107))</f>
        <v/>
      </c>
      <c r="F178" s="11" t="str">
        <f aca="false">IF(B178="","",SUMIF('المبيعات اليومية'!$B$8:$B$107,B178,'المبيعات اليومية'!$I$8:$I$107))</f>
        <v/>
      </c>
      <c r="G178" s="11" t="str">
        <f aca="false">IF(B178="","",SUMIF('المبيعات اليومية'!$B$8:$B$107,B178,'المبيعات اليومية'!$J$8:$J$107))</f>
        <v/>
      </c>
    </row>
    <row r="179" customFormat="false" ht="15" hidden="false" customHeight="false" outlineLevel="0" collapsed="false">
      <c r="A179" s="14" t="str">
        <f aca="false">IF(B179="","",175)</f>
        <v/>
      </c>
      <c r="B179" s="15" t="str">
        <f aca="false">IF('دليل العملاء'!A178="","",'دليل العملاء'!A178)</f>
        <v/>
      </c>
      <c r="C179" s="14" t="str">
        <f aca="false">IF(B179="","",COUNTIF('المبيعات اليومية'!$B$8:$B$107,B179))</f>
        <v/>
      </c>
      <c r="D179" s="14" t="str">
        <f aca="false">IF(B179="","",SUMIF('المبيعات اليومية'!$B$8:$B$107,B179,'المبيعات اليومية'!$E$8:$E$107))</f>
        <v/>
      </c>
      <c r="E179" s="11" t="str">
        <f aca="false">IF(B179="","",SUMIF('المبيعات اليومية'!$B$8:$B$107,B179,'المبيعات اليومية'!$H$8:$H$107))</f>
        <v/>
      </c>
      <c r="F179" s="11" t="str">
        <f aca="false">IF(B179="","",SUMIF('المبيعات اليومية'!$B$8:$B$107,B179,'المبيعات اليومية'!$I$8:$I$107))</f>
        <v/>
      </c>
      <c r="G179" s="11" t="str">
        <f aca="false">IF(B179="","",SUMIF('المبيعات اليومية'!$B$8:$B$107,B179,'المبيعات اليومية'!$J$8:$J$107))</f>
        <v/>
      </c>
    </row>
    <row r="180" customFormat="false" ht="15" hidden="false" customHeight="false" outlineLevel="0" collapsed="false">
      <c r="A180" s="14" t="str">
        <f aca="false">IF(B180="","",176)</f>
        <v/>
      </c>
      <c r="B180" s="15" t="str">
        <f aca="false">IF('دليل العملاء'!A179="","",'دليل العملاء'!A179)</f>
        <v/>
      </c>
      <c r="C180" s="14" t="str">
        <f aca="false">IF(B180="","",COUNTIF('المبيعات اليومية'!$B$8:$B$107,B180))</f>
        <v/>
      </c>
      <c r="D180" s="14" t="str">
        <f aca="false">IF(B180="","",SUMIF('المبيعات اليومية'!$B$8:$B$107,B180,'المبيعات اليومية'!$E$8:$E$107))</f>
        <v/>
      </c>
      <c r="E180" s="11" t="str">
        <f aca="false">IF(B180="","",SUMIF('المبيعات اليومية'!$B$8:$B$107,B180,'المبيعات اليومية'!$H$8:$H$107))</f>
        <v/>
      </c>
      <c r="F180" s="11" t="str">
        <f aca="false">IF(B180="","",SUMIF('المبيعات اليومية'!$B$8:$B$107,B180,'المبيعات اليومية'!$I$8:$I$107))</f>
        <v/>
      </c>
      <c r="G180" s="11" t="str">
        <f aca="false">IF(B180="","",SUMIF('المبيعات اليومية'!$B$8:$B$107,B180,'المبيعات اليومية'!$J$8:$J$107))</f>
        <v/>
      </c>
    </row>
    <row r="181" customFormat="false" ht="15" hidden="false" customHeight="false" outlineLevel="0" collapsed="false">
      <c r="A181" s="14" t="str">
        <f aca="false">IF(B181="","",177)</f>
        <v/>
      </c>
      <c r="B181" s="15" t="str">
        <f aca="false">IF('دليل العملاء'!A180="","",'دليل العملاء'!A180)</f>
        <v/>
      </c>
      <c r="C181" s="14" t="str">
        <f aca="false">IF(B181="","",COUNTIF('المبيعات اليومية'!$B$8:$B$107,B181))</f>
        <v/>
      </c>
      <c r="D181" s="14" t="str">
        <f aca="false">IF(B181="","",SUMIF('المبيعات اليومية'!$B$8:$B$107,B181,'المبيعات اليومية'!$E$8:$E$107))</f>
        <v/>
      </c>
      <c r="E181" s="11" t="str">
        <f aca="false">IF(B181="","",SUMIF('المبيعات اليومية'!$B$8:$B$107,B181,'المبيعات اليومية'!$H$8:$H$107))</f>
        <v/>
      </c>
      <c r="F181" s="11" t="str">
        <f aca="false">IF(B181="","",SUMIF('المبيعات اليومية'!$B$8:$B$107,B181,'المبيعات اليومية'!$I$8:$I$107))</f>
        <v/>
      </c>
      <c r="G181" s="11" t="str">
        <f aca="false">IF(B181="","",SUMIF('المبيعات اليومية'!$B$8:$B$107,B181,'المبيعات اليومية'!$J$8:$J$107))</f>
        <v/>
      </c>
    </row>
    <row r="182" customFormat="false" ht="15" hidden="false" customHeight="false" outlineLevel="0" collapsed="false">
      <c r="A182" s="14" t="str">
        <f aca="false">IF(B182="","",178)</f>
        <v/>
      </c>
      <c r="B182" s="15" t="str">
        <f aca="false">IF('دليل العملاء'!A181="","",'دليل العملاء'!A181)</f>
        <v/>
      </c>
      <c r="C182" s="14" t="str">
        <f aca="false">IF(B182="","",COUNTIF('المبيعات اليومية'!$B$8:$B$107,B182))</f>
        <v/>
      </c>
      <c r="D182" s="14" t="str">
        <f aca="false">IF(B182="","",SUMIF('المبيعات اليومية'!$B$8:$B$107,B182,'المبيعات اليومية'!$E$8:$E$107))</f>
        <v/>
      </c>
      <c r="E182" s="11" t="str">
        <f aca="false">IF(B182="","",SUMIF('المبيعات اليومية'!$B$8:$B$107,B182,'المبيعات اليومية'!$H$8:$H$107))</f>
        <v/>
      </c>
      <c r="F182" s="11" t="str">
        <f aca="false">IF(B182="","",SUMIF('المبيعات اليومية'!$B$8:$B$107,B182,'المبيعات اليومية'!$I$8:$I$107))</f>
        <v/>
      </c>
      <c r="G182" s="11" t="str">
        <f aca="false">IF(B182="","",SUMIF('المبيعات اليومية'!$B$8:$B$107,B182,'المبيعات اليومية'!$J$8:$J$107))</f>
        <v/>
      </c>
    </row>
    <row r="183" customFormat="false" ht="15" hidden="false" customHeight="false" outlineLevel="0" collapsed="false">
      <c r="A183" s="14" t="str">
        <f aca="false">IF(B183="","",179)</f>
        <v/>
      </c>
      <c r="B183" s="15" t="str">
        <f aca="false">IF('دليل العملاء'!A182="","",'دليل العملاء'!A182)</f>
        <v/>
      </c>
      <c r="C183" s="14" t="str">
        <f aca="false">IF(B183="","",COUNTIF('المبيعات اليومية'!$B$8:$B$107,B183))</f>
        <v/>
      </c>
      <c r="D183" s="14" t="str">
        <f aca="false">IF(B183="","",SUMIF('المبيعات اليومية'!$B$8:$B$107,B183,'المبيعات اليومية'!$E$8:$E$107))</f>
        <v/>
      </c>
      <c r="E183" s="11" t="str">
        <f aca="false">IF(B183="","",SUMIF('المبيعات اليومية'!$B$8:$B$107,B183,'المبيعات اليومية'!$H$8:$H$107))</f>
        <v/>
      </c>
      <c r="F183" s="11" t="str">
        <f aca="false">IF(B183="","",SUMIF('المبيعات اليومية'!$B$8:$B$107,B183,'المبيعات اليومية'!$I$8:$I$107))</f>
        <v/>
      </c>
      <c r="G183" s="11" t="str">
        <f aca="false">IF(B183="","",SUMIF('المبيعات اليومية'!$B$8:$B$107,B183,'المبيعات اليومية'!$J$8:$J$107))</f>
        <v/>
      </c>
    </row>
    <row r="184" customFormat="false" ht="15" hidden="false" customHeight="false" outlineLevel="0" collapsed="false">
      <c r="A184" s="14" t="str">
        <f aca="false">IF(B184="","",180)</f>
        <v/>
      </c>
      <c r="B184" s="15" t="str">
        <f aca="false">IF('دليل العملاء'!A183="","",'دليل العملاء'!A183)</f>
        <v/>
      </c>
      <c r="C184" s="14" t="str">
        <f aca="false">IF(B184="","",COUNTIF('المبيعات اليومية'!$B$8:$B$107,B184))</f>
        <v/>
      </c>
      <c r="D184" s="14" t="str">
        <f aca="false">IF(B184="","",SUMIF('المبيعات اليومية'!$B$8:$B$107,B184,'المبيعات اليومية'!$E$8:$E$107))</f>
        <v/>
      </c>
      <c r="E184" s="11" t="str">
        <f aca="false">IF(B184="","",SUMIF('المبيعات اليومية'!$B$8:$B$107,B184,'المبيعات اليومية'!$H$8:$H$107))</f>
        <v/>
      </c>
      <c r="F184" s="11" t="str">
        <f aca="false">IF(B184="","",SUMIF('المبيعات اليومية'!$B$8:$B$107,B184,'المبيعات اليومية'!$I$8:$I$107))</f>
        <v/>
      </c>
      <c r="G184" s="11" t="str">
        <f aca="false">IF(B184="","",SUMIF('المبيعات اليومية'!$B$8:$B$107,B184,'المبيعات اليومية'!$J$8:$J$107))</f>
        <v/>
      </c>
    </row>
    <row r="185" customFormat="false" ht="15" hidden="false" customHeight="false" outlineLevel="0" collapsed="false">
      <c r="A185" s="14" t="str">
        <f aca="false">IF(B185="","",181)</f>
        <v/>
      </c>
      <c r="B185" s="15" t="str">
        <f aca="false">IF('دليل العملاء'!A184="","",'دليل العملاء'!A184)</f>
        <v/>
      </c>
      <c r="C185" s="14" t="str">
        <f aca="false">IF(B185="","",COUNTIF('المبيعات اليومية'!$B$8:$B$107,B185))</f>
        <v/>
      </c>
      <c r="D185" s="14" t="str">
        <f aca="false">IF(B185="","",SUMIF('المبيعات اليومية'!$B$8:$B$107,B185,'المبيعات اليومية'!$E$8:$E$107))</f>
        <v/>
      </c>
      <c r="E185" s="11" t="str">
        <f aca="false">IF(B185="","",SUMIF('المبيعات اليومية'!$B$8:$B$107,B185,'المبيعات اليومية'!$H$8:$H$107))</f>
        <v/>
      </c>
      <c r="F185" s="11" t="str">
        <f aca="false">IF(B185="","",SUMIF('المبيعات اليومية'!$B$8:$B$107,B185,'المبيعات اليومية'!$I$8:$I$107))</f>
        <v/>
      </c>
      <c r="G185" s="11" t="str">
        <f aca="false">IF(B185="","",SUMIF('المبيعات اليومية'!$B$8:$B$107,B185,'المبيعات اليومية'!$J$8:$J$107))</f>
        <v/>
      </c>
    </row>
    <row r="186" customFormat="false" ht="15" hidden="false" customHeight="false" outlineLevel="0" collapsed="false">
      <c r="A186" s="14" t="str">
        <f aca="false">IF(B186="","",182)</f>
        <v/>
      </c>
      <c r="B186" s="15" t="str">
        <f aca="false">IF('دليل العملاء'!A185="","",'دليل العملاء'!A185)</f>
        <v/>
      </c>
      <c r="C186" s="14" t="str">
        <f aca="false">IF(B186="","",COUNTIF('المبيعات اليومية'!$B$8:$B$107,B186))</f>
        <v/>
      </c>
      <c r="D186" s="14" t="str">
        <f aca="false">IF(B186="","",SUMIF('المبيعات اليومية'!$B$8:$B$107,B186,'المبيعات اليومية'!$E$8:$E$107))</f>
        <v/>
      </c>
      <c r="E186" s="11" t="str">
        <f aca="false">IF(B186="","",SUMIF('المبيعات اليومية'!$B$8:$B$107,B186,'المبيعات اليومية'!$H$8:$H$107))</f>
        <v/>
      </c>
      <c r="F186" s="11" t="str">
        <f aca="false">IF(B186="","",SUMIF('المبيعات اليومية'!$B$8:$B$107,B186,'المبيعات اليومية'!$I$8:$I$107))</f>
        <v/>
      </c>
      <c r="G186" s="11" t="str">
        <f aca="false">IF(B186="","",SUMIF('المبيعات اليومية'!$B$8:$B$107,B186,'المبيعات اليومية'!$J$8:$J$107))</f>
        <v/>
      </c>
    </row>
    <row r="187" customFormat="false" ht="15" hidden="false" customHeight="false" outlineLevel="0" collapsed="false">
      <c r="A187" s="14" t="str">
        <f aca="false">IF(B187="","",183)</f>
        <v/>
      </c>
      <c r="B187" s="15" t="str">
        <f aca="false">IF('دليل العملاء'!A186="","",'دليل العملاء'!A186)</f>
        <v/>
      </c>
      <c r="C187" s="14" t="str">
        <f aca="false">IF(B187="","",COUNTIF('المبيعات اليومية'!$B$8:$B$107,B187))</f>
        <v/>
      </c>
      <c r="D187" s="14" t="str">
        <f aca="false">IF(B187="","",SUMIF('المبيعات اليومية'!$B$8:$B$107,B187,'المبيعات اليومية'!$E$8:$E$107))</f>
        <v/>
      </c>
      <c r="E187" s="11" t="str">
        <f aca="false">IF(B187="","",SUMIF('المبيعات اليومية'!$B$8:$B$107,B187,'المبيعات اليومية'!$H$8:$H$107))</f>
        <v/>
      </c>
      <c r="F187" s="11" t="str">
        <f aca="false">IF(B187="","",SUMIF('المبيعات اليومية'!$B$8:$B$107,B187,'المبيعات اليومية'!$I$8:$I$107))</f>
        <v/>
      </c>
      <c r="G187" s="11" t="str">
        <f aca="false">IF(B187="","",SUMIF('المبيعات اليومية'!$B$8:$B$107,B187,'المبيعات اليومية'!$J$8:$J$107))</f>
        <v/>
      </c>
    </row>
    <row r="188" customFormat="false" ht="15" hidden="false" customHeight="false" outlineLevel="0" collapsed="false">
      <c r="A188" s="14" t="str">
        <f aca="false">IF(B188="","",184)</f>
        <v/>
      </c>
      <c r="B188" s="15" t="str">
        <f aca="false">IF('دليل العملاء'!A187="","",'دليل العملاء'!A187)</f>
        <v/>
      </c>
      <c r="C188" s="14" t="str">
        <f aca="false">IF(B188="","",COUNTIF('المبيعات اليومية'!$B$8:$B$107,B188))</f>
        <v/>
      </c>
      <c r="D188" s="14" t="str">
        <f aca="false">IF(B188="","",SUMIF('المبيعات اليومية'!$B$8:$B$107,B188,'المبيعات اليومية'!$E$8:$E$107))</f>
        <v/>
      </c>
      <c r="E188" s="11" t="str">
        <f aca="false">IF(B188="","",SUMIF('المبيعات اليومية'!$B$8:$B$107,B188,'المبيعات اليومية'!$H$8:$H$107))</f>
        <v/>
      </c>
      <c r="F188" s="11" t="str">
        <f aca="false">IF(B188="","",SUMIF('المبيعات اليومية'!$B$8:$B$107,B188,'المبيعات اليومية'!$I$8:$I$107))</f>
        <v/>
      </c>
      <c r="G188" s="11" t="str">
        <f aca="false">IF(B188="","",SUMIF('المبيعات اليومية'!$B$8:$B$107,B188,'المبيعات اليومية'!$J$8:$J$107))</f>
        <v/>
      </c>
    </row>
    <row r="189" customFormat="false" ht="15" hidden="false" customHeight="false" outlineLevel="0" collapsed="false">
      <c r="A189" s="14" t="str">
        <f aca="false">IF(B189="","",185)</f>
        <v/>
      </c>
      <c r="B189" s="15" t="str">
        <f aca="false">IF('دليل العملاء'!A188="","",'دليل العملاء'!A188)</f>
        <v/>
      </c>
      <c r="C189" s="14" t="str">
        <f aca="false">IF(B189="","",COUNTIF('المبيعات اليومية'!$B$8:$B$107,B189))</f>
        <v/>
      </c>
      <c r="D189" s="14" t="str">
        <f aca="false">IF(B189="","",SUMIF('المبيعات اليومية'!$B$8:$B$107,B189,'المبيعات اليومية'!$E$8:$E$107))</f>
        <v/>
      </c>
      <c r="E189" s="11" t="str">
        <f aca="false">IF(B189="","",SUMIF('المبيعات اليومية'!$B$8:$B$107,B189,'المبيعات اليومية'!$H$8:$H$107))</f>
        <v/>
      </c>
      <c r="F189" s="11" t="str">
        <f aca="false">IF(B189="","",SUMIF('المبيعات اليومية'!$B$8:$B$107,B189,'المبيعات اليومية'!$I$8:$I$107))</f>
        <v/>
      </c>
      <c r="G189" s="11" t="str">
        <f aca="false">IF(B189="","",SUMIF('المبيعات اليومية'!$B$8:$B$107,B189,'المبيعات اليومية'!$J$8:$J$107))</f>
        <v/>
      </c>
    </row>
    <row r="190" customFormat="false" ht="15" hidden="false" customHeight="false" outlineLevel="0" collapsed="false">
      <c r="A190" s="14" t="str">
        <f aca="false">IF(B190="","",186)</f>
        <v/>
      </c>
      <c r="B190" s="15" t="str">
        <f aca="false">IF('دليل العملاء'!A189="","",'دليل العملاء'!A189)</f>
        <v/>
      </c>
      <c r="C190" s="14" t="str">
        <f aca="false">IF(B190="","",COUNTIF('المبيعات اليومية'!$B$8:$B$107,B190))</f>
        <v/>
      </c>
      <c r="D190" s="14" t="str">
        <f aca="false">IF(B190="","",SUMIF('المبيعات اليومية'!$B$8:$B$107,B190,'المبيعات اليومية'!$E$8:$E$107))</f>
        <v/>
      </c>
      <c r="E190" s="11" t="str">
        <f aca="false">IF(B190="","",SUMIF('المبيعات اليومية'!$B$8:$B$107,B190,'المبيعات اليومية'!$H$8:$H$107))</f>
        <v/>
      </c>
      <c r="F190" s="11" t="str">
        <f aca="false">IF(B190="","",SUMIF('المبيعات اليومية'!$B$8:$B$107,B190,'المبيعات اليومية'!$I$8:$I$107))</f>
        <v/>
      </c>
      <c r="G190" s="11" t="str">
        <f aca="false">IF(B190="","",SUMIF('المبيعات اليومية'!$B$8:$B$107,B190,'المبيعات اليومية'!$J$8:$J$107))</f>
        <v/>
      </c>
    </row>
    <row r="191" customFormat="false" ht="15" hidden="false" customHeight="false" outlineLevel="0" collapsed="false">
      <c r="A191" s="14" t="str">
        <f aca="false">IF(B191="","",187)</f>
        <v/>
      </c>
      <c r="B191" s="15" t="str">
        <f aca="false">IF('دليل العملاء'!A190="","",'دليل العملاء'!A190)</f>
        <v/>
      </c>
      <c r="C191" s="14" t="str">
        <f aca="false">IF(B191="","",COUNTIF('المبيعات اليومية'!$B$8:$B$107,B191))</f>
        <v/>
      </c>
      <c r="D191" s="14" t="str">
        <f aca="false">IF(B191="","",SUMIF('المبيعات اليومية'!$B$8:$B$107,B191,'المبيعات اليومية'!$E$8:$E$107))</f>
        <v/>
      </c>
      <c r="E191" s="11" t="str">
        <f aca="false">IF(B191="","",SUMIF('المبيعات اليومية'!$B$8:$B$107,B191,'المبيعات اليومية'!$H$8:$H$107))</f>
        <v/>
      </c>
      <c r="F191" s="11" t="str">
        <f aca="false">IF(B191="","",SUMIF('المبيعات اليومية'!$B$8:$B$107,B191,'المبيعات اليومية'!$I$8:$I$107))</f>
        <v/>
      </c>
      <c r="G191" s="11" t="str">
        <f aca="false">IF(B191="","",SUMIF('المبيعات اليومية'!$B$8:$B$107,B191,'المبيعات اليومية'!$J$8:$J$107))</f>
        <v/>
      </c>
    </row>
    <row r="192" customFormat="false" ht="15" hidden="false" customHeight="false" outlineLevel="0" collapsed="false">
      <c r="A192" s="14" t="str">
        <f aca="false">IF(B192="","",188)</f>
        <v/>
      </c>
      <c r="B192" s="15" t="str">
        <f aca="false">IF('دليل العملاء'!A191="","",'دليل العملاء'!A191)</f>
        <v/>
      </c>
      <c r="C192" s="14" t="str">
        <f aca="false">IF(B192="","",COUNTIF('المبيعات اليومية'!$B$8:$B$107,B192))</f>
        <v/>
      </c>
      <c r="D192" s="14" t="str">
        <f aca="false">IF(B192="","",SUMIF('المبيعات اليومية'!$B$8:$B$107,B192,'المبيعات اليومية'!$E$8:$E$107))</f>
        <v/>
      </c>
      <c r="E192" s="11" t="str">
        <f aca="false">IF(B192="","",SUMIF('المبيعات اليومية'!$B$8:$B$107,B192,'المبيعات اليومية'!$H$8:$H$107))</f>
        <v/>
      </c>
      <c r="F192" s="11" t="str">
        <f aca="false">IF(B192="","",SUMIF('المبيعات اليومية'!$B$8:$B$107,B192,'المبيعات اليومية'!$I$8:$I$107))</f>
        <v/>
      </c>
      <c r="G192" s="11" t="str">
        <f aca="false">IF(B192="","",SUMIF('المبيعات اليومية'!$B$8:$B$107,B192,'المبيعات اليومية'!$J$8:$J$107))</f>
        <v/>
      </c>
    </row>
    <row r="193" customFormat="false" ht="15" hidden="false" customHeight="false" outlineLevel="0" collapsed="false">
      <c r="A193" s="14" t="str">
        <f aca="false">IF(B193="","",189)</f>
        <v/>
      </c>
      <c r="B193" s="15" t="str">
        <f aca="false">IF('دليل العملاء'!A192="","",'دليل العملاء'!A192)</f>
        <v/>
      </c>
      <c r="C193" s="14" t="str">
        <f aca="false">IF(B193="","",COUNTIF('المبيعات اليومية'!$B$8:$B$107,B193))</f>
        <v/>
      </c>
      <c r="D193" s="14" t="str">
        <f aca="false">IF(B193="","",SUMIF('المبيعات اليومية'!$B$8:$B$107,B193,'المبيعات اليومية'!$E$8:$E$107))</f>
        <v/>
      </c>
      <c r="E193" s="11" t="str">
        <f aca="false">IF(B193="","",SUMIF('المبيعات اليومية'!$B$8:$B$107,B193,'المبيعات اليومية'!$H$8:$H$107))</f>
        <v/>
      </c>
      <c r="F193" s="11" t="str">
        <f aca="false">IF(B193="","",SUMIF('المبيعات اليومية'!$B$8:$B$107,B193,'المبيعات اليومية'!$I$8:$I$107))</f>
        <v/>
      </c>
      <c r="G193" s="11" t="str">
        <f aca="false">IF(B193="","",SUMIF('المبيعات اليومية'!$B$8:$B$107,B193,'المبيعات اليومية'!$J$8:$J$107))</f>
        <v/>
      </c>
    </row>
    <row r="194" customFormat="false" ht="15" hidden="false" customHeight="false" outlineLevel="0" collapsed="false">
      <c r="A194" s="14" t="str">
        <f aca="false">IF(B194="","",190)</f>
        <v/>
      </c>
      <c r="B194" s="15" t="str">
        <f aca="false">IF('دليل العملاء'!A193="","",'دليل العملاء'!A193)</f>
        <v/>
      </c>
      <c r="C194" s="14" t="str">
        <f aca="false">IF(B194="","",COUNTIF('المبيعات اليومية'!$B$8:$B$107,B194))</f>
        <v/>
      </c>
      <c r="D194" s="14" t="str">
        <f aca="false">IF(B194="","",SUMIF('المبيعات اليومية'!$B$8:$B$107,B194,'المبيعات اليومية'!$E$8:$E$107))</f>
        <v/>
      </c>
      <c r="E194" s="11" t="str">
        <f aca="false">IF(B194="","",SUMIF('المبيعات اليومية'!$B$8:$B$107,B194,'المبيعات اليومية'!$H$8:$H$107))</f>
        <v/>
      </c>
      <c r="F194" s="11" t="str">
        <f aca="false">IF(B194="","",SUMIF('المبيعات اليومية'!$B$8:$B$107,B194,'المبيعات اليومية'!$I$8:$I$107))</f>
        <v/>
      </c>
      <c r="G194" s="11" t="str">
        <f aca="false">IF(B194="","",SUMIF('المبيعات اليومية'!$B$8:$B$107,B194,'المبيعات اليومية'!$J$8:$J$107))</f>
        <v/>
      </c>
    </row>
    <row r="195" customFormat="false" ht="15" hidden="false" customHeight="false" outlineLevel="0" collapsed="false">
      <c r="A195" s="14" t="str">
        <f aca="false">IF(B195="","",191)</f>
        <v/>
      </c>
      <c r="B195" s="15" t="str">
        <f aca="false">IF('دليل العملاء'!A194="","",'دليل العملاء'!A194)</f>
        <v/>
      </c>
      <c r="C195" s="14" t="str">
        <f aca="false">IF(B195="","",COUNTIF('المبيعات اليومية'!$B$8:$B$107,B195))</f>
        <v/>
      </c>
      <c r="D195" s="14" t="str">
        <f aca="false">IF(B195="","",SUMIF('المبيعات اليومية'!$B$8:$B$107,B195,'المبيعات اليومية'!$E$8:$E$107))</f>
        <v/>
      </c>
      <c r="E195" s="11" t="str">
        <f aca="false">IF(B195="","",SUMIF('المبيعات اليومية'!$B$8:$B$107,B195,'المبيعات اليومية'!$H$8:$H$107))</f>
        <v/>
      </c>
      <c r="F195" s="11" t="str">
        <f aca="false">IF(B195="","",SUMIF('المبيعات اليومية'!$B$8:$B$107,B195,'المبيعات اليومية'!$I$8:$I$107))</f>
        <v/>
      </c>
      <c r="G195" s="11" t="str">
        <f aca="false">IF(B195="","",SUMIF('المبيعات اليومية'!$B$8:$B$107,B195,'المبيعات اليومية'!$J$8:$J$107))</f>
        <v/>
      </c>
    </row>
    <row r="196" customFormat="false" ht="15" hidden="false" customHeight="false" outlineLevel="0" collapsed="false">
      <c r="A196" s="14" t="str">
        <f aca="false">IF(B196="","",192)</f>
        <v/>
      </c>
      <c r="B196" s="15" t="str">
        <f aca="false">IF('دليل العملاء'!A195="","",'دليل العملاء'!A195)</f>
        <v/>
      </c>
      <c r="C196" s="14" t="str">
        <f aca="false">IF(B196="","",COUNTIF('المبيعات اليومية'!$B$8:$B$107,B196))</f>
        <v/>
      </c>
      <c r="D196" s="14" t="str">
        <f aca="false">IF(B196="","",SUMIF('المبيعات اليومية'!$B$8:$B$107,B196,'المبيعات اليومية'!$E$8:$E$107))</f>
        <v/>
      </c>
      <c r="E196" s="11" t="str">
        <f aca="false">IF(B196="","",SUMIF('المبيعات اليومية'!$B$8:$B$107,B196,'المبيعات اليومية'!$H$8:$H$107))</f>
        <v/>
      </c>
      <c r="F196" s="11" t="str">
        <f aca="false">IF(B196="","",SUMIF('المبيعات اليومية'!$B$8:$B$107,B196,'المبيعات اليومية'!$I$8:$I$107))</f>
        <v/>
      </c>
      <c r="G196" s="11" t="str">
        <f aca="false">IF(B196="","",SUMIF('المبيعات اليومية'!$B$8:$B$107,B196,'المبيعات اليومية'!$J$8:$J$107))</f>
        <v/>
      </c>
    </row>
    <row r="197" customFormat="false" ht="15" hidden="false" customHeight="false" outlineLevel="0" collapsed="false">
      <c r="A197" s="14" t="str">
        <f aca="false">IF(B197="","",193)</f>
        <v/>
      </c>
      <c r="B197" s="15" t="str">
        <f aca="false">IF('دليل العملاء'!A196="","",'دليل العملاء'!A196)</f>
        <v/>
      </c>
      <c r="C197" s="14" t="str">
        <f aca="false">IF(B197="","",COUNTIF('المبيعات اليومية'!$B$8:$B$107,B197))</f>
        <v/>
      </c>
      <c r="D197" s="14" t="str">
        <f aca="false">IF(B197="","",SUMIF('المبيعات اليومية'!$B$8:$B$107,B197,'المبيعات اليومية'!$E$8:$E$107))</f>
        <v/>
      </c>
      <c r="E197" s="11" t="str">
        <f aca="false">IF(B197="","",SUMIF('المبيعات اليومية'!$B$8:$B$107,B197,'المبيعات اليومية'!$H$8:$H$107))</f>
        <v/>
      </c>
      <c r="F197" s="11" t="str">
        <f aca="false">IF(B197="","",SUMIF('المبيعات اليومية'!$B$8:$B$107,B197,'المبيعات اليومية'!$I$8:$I$107))</f>
        <v/>
      </c>
      <c r="G197" s="11" t="str">
        <f aca="false">IF(B197="","",SUMIF('المبيعات اليومية'!$B$8:$B$107,B197,'المبيعات اليومية'!$J$8:$J$107))</f>
        <v/>
      </c>
    </row>
    <row r="198" customFormat="false" ht="15" hidden="false" customHeight="false" outlineLevel="0" collapsed="false">
      <c r="A198" s="14" t="str">
        <f aca="false">IF(B198="","",194)</f>
        <v/>
      </c>
      <c r="B198" s="15" t="str">
        <f aca="false">IF('دليل العملاء'!A197="","",'دليل العملاء'!A197)</f>
        <v/>
      </c>
      <c r="C198" s="14" t="str">
        <f aca="false">IF(B198="","",COUNTIF('المبيعات اليومية'!$B$8:$B$107,B198))</f>
        <v/>
      </c>
      <c r="D198" s="14" t="str">
        <f aca="false">IF(B198="","",SUMIF('المبيعات اليومية'!$B$8:$B$107,B198,'المبيعات اليومية'!$E$8:$E$107))</f>
        <v/>
      </c>
      <c r="E198" s="11" t="str">
        <f aca="false">IF(B198="","",SUMIF('المبيعات اليومية'!$B$8:$B$107,B198,'المبيعات اليومية'!$H$8:$H$107))</f>
        <v/>
      </c>
      <c r="F198" s="11" t="str">
        <f aca="false">IF(B198="","",SUMIF('المبيعات اليومية'!$B$8:$B$107,B198,'المبيعات اليومية'!$I$8:$I$107))</f>
        <v/>
      </c>
      <c r="G198" s="11" t="str">
        <f aca="false">IF(B198="","",SUMIF('المبيعات اليومية'!$B$8:$B$107,B198,'المبيعات اليومية'!$J$8:$J$107))</f>
        <v/>
      </c>
    </row>
    <row r="199" customFormat="false" ht="15" hidden="false" customHeight="false" outlineLevel="0" collapsed="false">
      <c r="A199" s="14" t="str">
        <f aca="false">IF(B199="","",195)</f>
        <v/>
      </c>
      <c r="B199" s="15" t="str">
        <f aca="false">IF('دليل العملاء'!A198="","",'دليل العملاء'!A198)</f>
        <v/>
      </c>
      <c r="C199" s="14" t="str">
        <f aca="false">IF(B199="","",COUNTIF('المبيعات اليومية'!$B$8:$B$107,B199))</f>
        <v/>
      </c>
      <c r="D199" s="14" t="str">
        <f aca="false">IF(B199="","",SUMIF('المبيعات اليومية'!$B$8:$B$107,B199,'المبيعات اليومية'!$E$8:$E$107))</f>
        <v/>
      </c>
      <c r="E199" s="11" t="str">
        <f aca="false">IF(B199="","",SUMIF('المبيعات اليومية'!$B$8:$B$107,B199,'المبيعات اليومية'!$H$8:$H$107))</f>
        <v/>
      </c>
      <c r="F199" s="11" t="str">
        <f aca="false">IF(B199="","",SUMIF('المبيعات اليومية'!$B$8:$B$107,B199,'المبيعات اليومية'!$I$8:$I$107))</f>
        <v/>
      </c>
      <c r="G199" s="11" t="str">
        <f aca="false">IF(B199="","",SUMIF('المبيعات اليومية'!$B$8:$B$107,B199,'المبيعات اليومية'!$J$8:$J$107))</f>
        <v/>
      </c>
    </row>
    <row r="200" customFormat="false" ht="15" hidden="false" customHeight="false" outlineLevel="0" collapsed="false">
      <c r="A200" s="14" t="str">
        <f aca="false">IF(B200="","",196)</f>
        <v/>
      </c>
      <c r="B200" s="15" t="str">
        <f aca="false">IF('دليل العملاء'!A199="","",'دليل العملاء'!A199)</f>
        <v/>
      </c>
      <c r="C200" s="14" t="str">
        <f aca="false">IF(B200="","",COUNTIF('المبيعات اليومية'!$B$8:$B$107,B200))</f>
        <v/>
      </c>
      <c r="D200" s="14" t="str">
        <f aca="false">IF(B200="","",SUMIF('المبيعات اليومية'!$B$8:$B$107,B200,'المبيعات اليومية'!$E$8:$E$107))</f>
        <v/>
      </c>
      <c r="E200" s="11" t="str">
        <f aca="false">IF(B200="","",SUMIF('المبيعات اليومية'!$B$8:$B$107,B200,'المبيعات اليومية'!$H$8:$H$107))</f>
        <v/>
      </c>
      <c r="F200" s="11" t="str">
        <f aca="false">IF(B200="","",SUMIF('المبيعات اليومية'!$B$8:$B$107,B200,'المبيعات اليومية'!$I$8:$I$107))</f>
        <v/>
      </c>
      <c r="G200" s="11" t="str">
        <f aca="false">IF(B200="","",SUMIF('المبيعات اليومية'!$B$8:$B$107,B200,'المبيعات اليومية'!$J$8:$J$107))</f>
        <v/>
      </c>
    </row>
    <row r="201" customFormat="false" ht="15" hidden="false" customHeight="false" outlineLevel="0" collapsed="false">
      <c r="A201" s="14" t="str">
        <f aca="false">IF(B201="","",197)</f>
        <v/>
      </c>
      <c r="B201" s="15" t="str">
        <f aca="false">IF('دليل العملاء'!A200="","",'دليل العملاء'!A200)</f>
        <v/>
      </c>
      <c r="C201" s="14" t="str">
        <f aca="false">IF(B201="","",COUNTIF('المبيعات اليومية'!$B$8:$B$107,B201))</f>
        <v/>
      </c>
      <c r="D201" s="14" t="str">
        <f aca="false">IF(B201="","",SUMIF('المبيعات اليومية'!$B$8:$B$107,B201,'المبيعات اليومية'!$E$8:$E$107))</f>
        <v/>
      </c>
      <c r="E201" s="11" t="str">
        <f aca="false">IF(B201="","",SUMIF('المبيعات اليومية'!$B$8:$B$107,B201,'المبيعات اليومية'!$H$8:$H$107))</f>
        <v/>
      </c>
      <c r="F201" s="11" t="str">
        <f aca="false">IF(B201="","",SUMIF('المبيعات اليومية'!$B$8:$B$107,B201,'المبيعات اليومية'!$I$8:$I$107))</f>
        <v/>
      </c>
      <c r="G201" s="11" t="str">
        <f aca="false">IF(B201="","",SUMIF('المبيعات اليومية'!$B$8:$B$107,B201,'المبيعات اليومية'!$J$8:$J$107))</f>
        <v/>
      </c>
    </row>
    <row r="202" customFormat="false" ht="15" hidden="false" customHeight="false" outlineLevel="0" collapsed="false">
      <c r="A202" s="14" t="str">
        <f aca="false">IF(B202="","",198)</f>
        <v/>
      </c>
      <c r="B202" s="15" t="str">
        <f aca="false">IF('دليل العملاء'!A201="","",'دليل العملاء'!A201)</f>
        <v/>
      </c>
      <c r="C202" s="14" t="str">
        <f aca="false">IF(B202="","",COUNTIF('المبيعات اليومية'!$B$8:$B$107,B202))</f>
        <v/>
      </c>
      <c r="D202" s="14" t="str">
        <f aca="false">IF(B202="","",SUMIF('المبيعات اليومية'!$B$8:$B$107,B202,'المبيعات اليومية'!$E$8:$E$107))</f>
        <v/>
      </c>
      <c r="E202" s="11" t="str">
        <f aca="false">IF(B202="","",SUMIF('المبيعات اليومية'!$B$8:$B$107,B202,'المبيعات اليومية'!$H$8:$H$107))</f>
        <v/>
      </c>
      <c r="F202" s="11" t="str">
        <f aca="false">IF(B202="","",SUMIF('المبيعات اليومية'!$B$8:$B$107,B202,'المبيعات اليومية'!$I$8:$I$107))</f>
        <v/>
      </c>
      <c r="G202" s="11" t="str">
        <f aca="false">IF(B202="","",SUMIF('المبيعات اليومية'!$B$8:$B$107,B202,'المبيعات اليومية'!$J$8:$J$107))</f>
        <v/>
      </c>
    </row>
    <row r="203" customFormat="false" ht="15" hidden="false" customHeight="false" outlineLevel="0" collapsed="false">
      <c r="A203" s="14" t="str">
        <f aca="false">IF(B203="","",199)</f>
        <v/>
      </c>
      <c r="B203" s="15" t="str">
        <f aca="false">IF('دليل العملاء'!A202="","",'دليل العملاء'!A202)</f>
        <v/>
      </c>
      <c r="C203" s="14" t="str">
        <f aca="false">IF(B203="","",COUNTIF('المبيعات اليومية'!$B$8:$B$107,B203))</f>
        <v/>
      </c>
      <c r="D203" s="14" t="str">
        <f aca="false">IF(B203="","",SUMIF('المبيعات اليومية'!$B$8:$B$107,B203,'المبيعات اليومية'!$E$8:$E$107))</f>
        <v/>
      </c>
      <c r="E203" s="11" t="str">
        <f aca="false">IF(B203="","",SUMIF('المبيعات اليومية'!$B$8:$B$107,B203,'المبيعات اليومية'!$H$8:$H$107))</f>
        <v/>
      </c>
      <c r="F203" s="11" t="str">
        <f aca="false">IF(B203="","",SUMIF('المبيعات اليومية'!$B$8:$B$107,B203,'المبيعات اليومية'!$I$8:$I$107))</f>
        <v/>
      </c>
      <c r="G203" s="11" t="str">
        <f aca="false">IF(B203="","",SUMIF('المبيعات اليومية'!$B$8:$B$107,B203,'المبيعات اليومية'!$J$8:$J$107))</f>
        <v/>
      </c>
    </row>
    <row r="204" customFormat="false" ht="15" hidden="false" customHeight="false" outlineLevel="0" collapsed="false">
      <c r="A204" s="14" t="str">
        <f aca="false">IF(B204="","",200)</f>
        <v/>
      </c>
      <c r="B204" s="15" t="str">
        <f aca="false">IF('دليل العملاء'!A203="","",'دليل العملاء'!A203)</f>
        <v/>
      </c>
      <c r="C204" s="14" t="str">
        <f aca="false">IF(B204="","",COUNTIF('المبيعات اليومية'!$B$8:$B$107,B204))</f>
        <v/>
      </c>
      <c r="D204" s="14" t="str">
        <f aca="false">IF(B204="","",SUMIF('المبيعات اليومية'!$B$8:$B$107,B204,'المبيعات اليومية'!$E$8:$E$107))</f>
        <v/>
      </c>
      <c r="E204" s="11" t="str">
        <f aca="false">IF(B204="","",SUMIF('المبيعات اليومية'!$B$8:$B$107,B204,'المبيعات اليومية'!$H$8:$H$107))</f>
        <v/>
      </c>
      <c r="F204" s="11" t="str">
        <f aca="false">IF(B204="","",SUMIF('المبيعات اليومية'!$B$8:$B$107,B204,'المبيعات اليومية'!$I$8:$I$107))</f>
        <v/>
      </c>
      <c r="G204" s="11" t="str">
        <f aca="false">IF(B204="","",SUMIF('المبيعات اليومية'!$B$8:$B$107,B204,'المبيعات اليومية'!$J$8:$J$107))</f>
        <v/>
      </c>
    </row>
    <row r="205" customFormat="false" ht="15" hidden="false" customHeight="true" outlineLevel="0" collapsed="false">
      <c r="A205" s="16" t="s">
        <v>50</v>
      </c>
      <c r="B205" s="16"/>
      <c r="C205" s="17" t="n">
        <f aca="false">SUM(C5:C204)</f>
        <v>8</v>
      </c>
      <c r="D205" s="17" t="n">
        <f aca="false">SUM(D5:D204)</f>
        <v>1817</v>
      </c>
      <c r="E205" s="13" t="n">
        <f aca="false">SUM(E5:E204)</f>
        <v>11944.5</v>
      </c>
      <c r="F205" s="13" t="n">
        <f aca="false">SUM(F5:F204)</f>
        <v>1791.68</v>
      </c>
      <c r="G205" s="13" t="n">
        <f aca="false">SUM(G5:G204)</f>
        <v>13736.18</v>
      </c>
    </row>
  </sheetData>
  <mergeCells count="3">
    <mergeCell ref="A1:G1"/>
    <mergeCell ref="A2:G2"/>
    <mergeCell ref="A205:B205"/>
  </mergeCells>
  <conditionalFormatting sqref="A5:G204">
    <cfRule type="expression" priority="2" aboveAverage="0" equalAverage="0" bottom="0" percent="0" rank="0" text="" dxfId="2">
      <formula>AND($B5&lt;&gt;"",N($C5)=0)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D20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true" outlineLevel="0" max="3" min="3" style="0" width="30"/>
    <col collapsed="false" customWidth="true" hidden="true" outlineLevel="0" max="4" min="4" style="0" width="50"/>
  </cols>
  <sheetData>
    <row r="1" customFormat="false" ht="36" hidden="false" customHeight="true" outlineLevel="0" collapsed="false">
      <c r="A1" s="1" t="s">
        <v>51</v>
      </c>
      <c r="B1" s="1"/>
    </row>
    <row r="2" customFormat="false" ht="30" hidden="false" customHeight="true" outlineLevel="0" collapsed="false">
      <c r="A2" s="18" t="s">
        <v>52</v>
      </c>
      <c r="B2" s="18"/>
    </row>
    <row r="3" customFormat="false" ht="39.75" hidden="false" customHeight="true" outlineLevel="0" collapsed="false">
      <c r="A3" s="7" t="s">
        <v>47</v>
      </c>
      <c r="B3" s="7" t="s">
        <v>53</v>
      </c>
      <c r="C3" s="7" t="s">
        <v>54</v>
      </c>
      <c r="D3" s="7" t="s">
        <v>55</v>
      </c>
    </row>
    <row r="4" customFormat="false" ht="15" hidden="false" customHeight="false" outlineLevel="0" collapsed="false">
      <c r="A4" s="8" t="s">
        <v>56</v>
      </c>
      <c r="B4" s="8" t="s">
        <v>57</v>
      </c>
      <c r="C4" s="0" t="str">
        <f aca="false">IF(A4="","",SUBSTITUTE(SUBSTITUTE(SUBSTITUTE(SUBSTITUTE(SUBSTITUTE(SUBSTITUTE(TRIM(A4),"أ","ا"),"إ","ا"),"آ","ا"),"ة","ه"),"ى","ي"),"ـ",""))</f>
        <v>شركه التخصص الذهبي -النسيم</v>
      </c>
      <c r="D4" s="0" t="str">
        <f aca="false">IF(A4="","",SUBSTITUTE(SUBSTITUTE(SUBSTITUTE(SUBSTITUTE(SUBSTITUTE(SUBSTITUTE(TRIM(A4&amp;" / "&amp;B4),"أ","ا"),"إ","ا"),"آ","ا"),"ة","ه"),"ى","ي"),"ـ",""))</f>
        <v>شركه التخصص الذهبي -النسيم / النسيم</v>
      </c>
    </row>
    <row r="5" customFormat="false" ht="15" hidden="false" customHeight="false" outlineLevel="0" collapsed="false">
      <c r="A5" s="8" t="s">
        <v>22</v>
      </c>
      <c r="B5" s="8" t="s">
        <v>58</v>
      </c>
      <c r="C5" s="0" t="str">
        <f aca="false">IF(A5="","",SUBSTITUTE(SUBSTITUTE(SUBSTITUTE(SUBSTITUTE(SUBSTITUTE(SUBSTITUTE(TRIM(A5),"أ","ا"),"إ","ا"),"آ","ا"),"ة","ه"),"ى","ي"),"ـ",""))</f>
        <v>شركه التخصص الذهبي -حراء</v>
      </c>
      <c r="D5" s="0" t="str">
        <f aca="false">IF(A5="","",SUBSTITUTE(SUBSTITUTE(SUBSTITUTE(SUBSTITUTE(SUBSTITUTE(SUBSTITUTE(TRIM(A5&amp;" / "&amp;B5),"أ","ا"),"إ","ا"),"آ","ا"),"ة","ه"),"ى","ي"),"ـ",""))</f>
        <v>شركه التخصص الذهبي -حراء / حراء</v>
      </c>
    </row>
    <row r="6" customFormat="false" ht="15" hidden="false" customHeight="false" outlineLevel="0" collapsed="false">
      <c r="A6" s="8" t="s">
        <v>59</v>
      </c>
      <c r="B6" s="8" t="s">
        <v>60</v>
      </c>
      <c r="C6" s="0" t="str">
        <f aca="false">IF(A6="","",SUBSTITUTE(SUBSTITUTE(SUBSTITUTE(SUBSTITUTE(SUBSTITUTE(SUBSTITUTE(TRIM(A6),"أ","ا"),"إ","ا"),"آ","ا"),"ة","ه"),"ى","ي"),"ـ",""))</f>
        <v>شركه التخصص الذهبي -المنار</v>
      </c>
      <c r="D6" s="0" t="str">
        <f aca="false">IF(A6="","",SUBSTITUTE(SUBSTITUTE(SUBSTITUTE(SUBSTITUTE(SUBSTITUTE(SUBSTITUTE(TRIM(A6&amp;" / "&amp;B6),"أ","ا"),"إ","ا"),"آ","ا"),"ة","ه"),"ى","ي"),"ـ",""))</f>
        <v>شركه التخصص الذهبي -المنار / المنار</v>
      </c>
    </row>
    <row r="7" customFormat="false" ht="15" hidden="false" customHeight="false" outlineLevel="0" collapsed="false">
      <c r="A7" s="8" t="s">
        <v>26</v>
      </c>
      <c r="B7" s="8" t="s">
        <v>61</v>
      </c>
      <c r="C7" s="0" t="str">
        <f aca="false">IF(A7="","",SUBSTITUTE(SUBSTITUTE(SUBSTITUTE(SUBSTITUTE(SUBSTITUTE(SUBSTITUTE(TRIM(A7),"أ","ا"),"إ","ا"),"آ","ا"),"ة","ه"),"ى","ي"),"ـ",""))</f>
        <v>شركه التخصص الذهبي -الصفا</v>
      </c>
      <c r="D7" s="0" t="str">
        <f aca="false">IF(A7="","",SUBSTITUTE(SUBSTITUTE(SUBSTITUTE(SUBSTITUTE(SUBSTITUTE(SUBSTITUTE(TRIM(A7&amp;" / "&amp;B7),"أ","ا"),"إ","ا"),"آ","ا"),"ة","ه"),"ى","ي"),"ـ",""))</f>
        <v>شركه التخصص الذهبي -الصفا / الصفا</v>
      </c>
    </row>
    <row r="8" customFormat="false" ht="15" hidden="false" customHeight="false" outlineLevel="0" collapsed="false">
      <c r="A8" s="8" t="s">
        <v>18</v>
      </c>
      <c r="B8" s="8" t="s">
        <v>62</v>
      </c>
      <c r="C8" s="0" t="str">
        <f aca="false">IF(A8="","",SUBSTITUTE(SUBSTITUTE(SUBSTITUTE(SUBSTITUTE(SUBSTITUTE(SUBSTITUTE(TRIM(A8),"أ","ا"),"إ","ا"),"آ","ا"),"ة","ه"),"ى","ي"),"ـ",""))</f>
        <v>شركه التخصص الذهبي -الربوه</v>
      </c>
      <c r="D8" s="0" t="str">
        <f aca="false">IF(A8="","",SUBSTITUTE(SUBSTITUTE(SUBSTITUTE(SUBSTITUTE(SUBSTITUTE(SUBSTITUTE(TRIM(A8&amp;" / "&amp;B8),"أ","ا"),"إ","ا"),"آ","ا"),"ة","ه"),"ى","ي"),"ـ",""))</f>
        <v>شركه التخصص الذهبي -الربوه / الربوه</v>
      </c>
    </row>
    <row r="9" customFormat="false" ht="15" hidden="false" customHeight="false" outlineLevel="0" collapsed="false">
      <c r="A9" s="8" t="s">
        <v>63</v>
      </c>
      <c r="B9" s="8" t="s">
        <v>64</v>
      </c>
      <c r="C9" s="0" t="str">
        <f aca="false">IF(A9="","",SUBSTITUTE(SUBSTITUTE(SUBSTITUTE(SUBSTITUTE(SUBSTITUTE(SUBSTITUTE(TRIM(A9),"أ","ا"),"إ","ا"),"آ","ا"),"ة","ه"),"ى","ي"),"ـ",""))</f>
        <v>شركه التخصص الذهبي -الرحاب</v>
      </c>
      <c r="D9" s="0" t="str">
        <f aca="false">IF(A9="","",SUBSTITUTE(SUBSTITUTE(SUBSTITUTE(SUBSTITUTE(SUBSTITUTE(SUBSTITUTE(TRIM(A9&amp;" / "&amp;B9),"أ","ا"),"إ","ا"),"آ","ا"),"ة","ه"),"ى","ي"),"ـ",""))</f>
        <v>شركه التخصص الذهبي -الرحاب / الرحاب</v>
      </c>
    </row>
    <row r="10" customFormat="false" ht="15" hidden="false" customHeight="false" outlineLevel="0" collapsed="false">
      <c r="A10" s="8" t="s">
        <v>29</v>
      </c>
      <c r="B10" s="8" t="s">
        <v>65</v>
      </c>
      <c r="C10" s="0" t="str">
        <f aca="false">IF(A10="","",SUBSTITUTE(SUBSTITUTE(SUBSTITUTE(SUBSTITUTE(SUBSTITUTE(SUBSTITUTE(TRIM(A10),"أ","ا"),"إ","ا"),"آ","ا"),"ة","ه"),"ى","ي"),"ـ",""))</f>
        <v>عبر الاقليم</v>
      </c>
      <c r="D10" s="0" t="str">
        <f aca="false">IF(A10="","",SUBSTITUTE(SUBSTITUTE(SUBSTITUTE(SUBSTITUTE(SUBSTITUTE(SUBSTITUTE(TRIM(A10&amp;" / "&amp;B10),"أ","ا"),"إ","ا"),"آ","ا"),"ة","ه"),"ى","ي"),"ـ",""))</f>
        <v>عبر الاقليم / عبر الاقليم / اجل</v>
      </c>
    </row>
    <row r="11" customFormat="false" ht="15" hidden="false" customHeight="false" outlineLevel="0" collapsed="false">
      <c r="A11" s="8" t="s">
        <v>32</v>
      </c>
      <c r="B11" s="8" t="s">
        <v>66</v>
      </c>
      <c r="C11" s="0" t="str">
        <f aca="false">IF(A11="","",SUBSTITUTE(SUBSTITUTE(SUBSTITUTE(SUBSTITUTE(SUBSTITUTE(SUBSTITUTE(TRIM(A11),"أ","ا"),"إ","ا"),"آ","ا"),"ة","ه"),"ى","ي"),"ـ",""))</f>
        <v>حقيبه الفواكه</v>
      </c>
      <c r="D11" s="0" t="str">
        <f aca="false">IF(A11="","",SUBSTITUTE(SUBSTITUTE(SUBSTITUTE(SUBSTITUTE(SUBSTITUTE(SUBSTITUTE(TRIM(A11&amp;" / "&amp;B11),"أ","ا"),"إ","ا"),"آ","ا"),"ة","ه"),"ى","ي"),"ـ",""))</f>
        <v>حقيبه الفواكه / حقيبه / مميز</v>
      </c>
    </row>
    <row r="12" customFormat="false" ht="15" hidden="false" customHeight="false" outlineLevel="0" collapsed="false">
      <c r="A12" s="8" t="s">
        <v>35</v>
      </c>
      <c r="B12" s="8" t="s">
        <v>67</v>
      </c>
      <c r="C12" s="0" t="str">
        <f aca="false">IF(A12="","",SUBSTITUTE(SUBSTITUTE(SUBSTITUTE(SUBSTITUTE(SUBSTITUTE(SUBSTITUTE(TRIM(A12),"أ","ا"),"إ","ا"),"آ","ا"),"ة","ه"),"ى","ي"),"ـ",""))</f>
        <v>فيض الكرم</v>
      </c>
      <c r="D12" s="0" t="str">
        <f aca="false">IF(A12="","",SUBSTITUTE(SUBSTITUTE(SUBSTITUTE(SUBSTITUTE(SUBSTITUTE(SUBSTITUTE(TRIM(A12&amp;" / "&amp;B12),"أ","ا"),"إ","ا"),"آ","ا"),"ة","ه"),"ى","ي"),"ـ",""))</f>
        <v>فيض الكرم / فيض / جمله</v>
      </c>
    </row>
    <row r="13" customFormat="false" ht="15" hidden="false" customHeight="false" outlineLevel="0" collapsed="false">
      <c r="A13" s="8" t="s">
        <v>38</v>
      </c>
      <c r="B13" s="8" t="s">
        <v>68</v>
      </c>
      <c r="C13" s="0" t="str">
        <f aca="false">IF(A13="","",SUBSTITUTE(SUBSTITUTE(SUBSTITUTE(SUBSTITUTE(SUBSTITUTE(SUBSTITUTE(TRIM(A13),"أ","ا"),"إ","ا"),"آ","ا"),"ة","ه"),"ى","ي"),"ـ",""))</f>
        <v>غصون الفاكهه</v>
      </c>
      <c r="D13" s="0" t="str">
        <f aca="false">IF(A13="","",SUBSTITUTE(SUBSTITUTE(SUBSTITUTE(SUBSTITUTE(SUBSTITUTE(SUBSTITUTE(TRIM(A13&amp;" / "&amp;B13),"أ","ا"),"إ","ا"),"آ","ا"),"ة","ه"),"ى","ي"),"ـ",""))</f>
        <v>غصون الفاكهه / غصون / تجزئه</v>
      </c>
    </row>
    <row r="14" customFormat="false" ht="15" hidden="false" customHeight="false" outlineLevel="0" collapsed="false">
      <c r="A14" s="8" t="s">
        <v>41</v>
      </c>
      <c r="B14" s="8" t="s">
        <v>69</v>
      </c>
      <c r="C14" s="0" t="str">
        <f aca="false">IF(A14="","",SUBSTITUTE(SUBSTITUTE(SUBSTITUTE(SUBSTITUTE(SUBSTITUTE(SUBSTITUTE(TRIM(A14),"أ","ا"),"إ","ا"),"آ","ا"),"ة","ه"),"ى","ي"),"ـ",""))</f>
        <v>نقاوه بس</v>
      </c>
      <c r="D14" s="0" t="str">
        <f aca="false">IF(A14="","",SUBSTITUTE(SUBSTITUTE(SUBSTITUTE(SUBSTITUTE(SUBSTITUTE(SUBSTITUTE(TRIM(A14&amp;" / "&amp;B14),"أ","ا"),"إ","ا"),"آ","ا"),"ة","ه"),"ى","ي"),"ـ",""))</f>
        <v>نقاوه بس / نقاوه / جديد</v>
      </c>
    </row>
    <row r="15" customFormat="false" ht="15" hidden="false" customHeight="false" outlineLevel="0" collapsed="false">
      <c r="A15" s="8"/>
      <c r="B15" s="8"/>
      <c r="C15" s="0" t="str">
        <f aca="false">IF(A15="","",SUBSTITUTE(SUBSTITUTE(SUBSTITUTE(SUBSTITUTE(SUBSTITUTE(SUBSTITUTE(TRIM(A15),"أ","ا"),"إ","ا"),"آ","ا"),"ة","ه"),"ى","ي"),"ـ",""))</f>
        <v/>
      </c>
      <c r="D15" s="0" t="str">
        <f aca="false">IF(A15="","",SUBSTITUTE(SUBSTITUTE(SUBSTITUTE(SUBSTITUTE(SUBSTITUTE(SUBSTITUTE(TRIM(A15&amp;" / "&amp;B15),"أ","ا"),"إ","ا"),"آ","ا"),"ة","ه"),"ى","ي"),"ـ",""))</f>
        <v/>
      </c>
    </row>
    <row r="16" customFormat="false" ht="15" hidden="false" customHeight="false" outlineLevel="0" collapsed="false">
      <c r="A16" s="8"/>
      <c r="B16" s="8"/>
      <c r="C16" s="0" t="str">
        <f aca="false">IF(A16="","",SUBSTITUTE(SUBSTITUTE(SUBSTITUTE(SUBSTITUTE(SUBSTITUTE(SUBSTITUTE(TRIM(A16),"أ","ا"),"إ","ا"),"آ","ا"),"ة","ه"),"ى","ي"),"ـ",""))</f>
        <v/>
      </c>
      <c r="D16" s="0" t="str">
        <f aca="false">IF(A16="","",SUBSTITUTE(SUBSTITUTE(SUBSTITUTE(SUBSTITUTE(SUBSTITUTE(SUBSTITUTE(TRIM(A16&amp;" / "&amp;B16),"أ","ا"),"إ","ا"),"آ","ا"),"ة","ه"),"ى","ي"),"ـ",""))</f>
        <v/>
      </c>
    </row>
    <row r="17" customFormat="false" ht="15" hidden="false" customHeight="false" outlineLevel="0" collapsed="false">
      <c r="A17" s="8"/>
      <c r="B17" s="8"/>
      <c r="C17" s="0" t="str">
        <f aca="false">IF(A17="","",SUBSTITUTE(SUBSTITUTE(SUBSTITUTE(SUBSTITUTE(SUBSTITUTE(SUBSTITUTE(TRIM(A17),"أ","ا"),"إ","ا"),"آ","ا"),"ة","ه"),"ى","ي"),"ـ",""))</f>
        <v/>
      </c>
      <c r="D17" s="0" t="str">
        <f aca="false">IF(A17="","",SUBSTITUTE(SUBSTITUTE(SUBSTITUTE(SUBSTITUTE(SUBSTITUTE(SUBSTITUTE(TRIM(A17&amp;" / "&amp;B17),"أ","ا"),"إ","ا"),"آ","ا"),"ة","ه"),"ى","ي"),"ـ",""))</f>
        <v/>
      </c>
    </row>
    <row r="18" customFormat="false" ht="15" hidden="false" customHeight="false" outlineLevel="0" collapsed="false">
      <c r="A18" s="8"/>
      <c r="B18" s="8"/>
      <c r="C18" s="0" t="str">
        <f aca="false">IF(A18="","",SUBSTITUTE(SUBSTITUTE(SUBSTITUTE(SUBSTITUTE(SUBSTITUTE(SUBSTITUTE(TRIM(A18),"أ","ا"),"إ","ا"),"آ","ا"),"ة","ه"),"ى","ي"),"ـ",""))</f>
        <v/>
      </c>
      <c r="D18" s="0" t="str">
        <f aca="false">IF(A18="","",SUBSTITUTE(SUBSTITUTE(SUBSTITUTE(SUBSTITUTE(SUBSTITUTE(SUBSTITUTE(TRIM(A18&amp;" / "&amp;B18),"أ","ا"),"إ","ا"),"آ","ا"),"ة","ه"),"ى","ي"),"ـ",""))</f>
        <v/>
      </c>
    </row>
    <row r="19" customFormat="false" ht="15" hidden="false" customHeight="false" outlineLevel="0" collapsed="false">
      <c r="A19" s="8"/>
      <c r="B19" s="8"/>
      <c r="C19" s="0" t="str">
        <f aca="false">IF(A19="","",SUBSTITUTE(SUBSTITUTE(SUBSTITUTE(SUBSTITUTE(SUBSTITUTE(SUBSTITUTE(TRIM(A19),"أ","ا"),"إ","ا"),"آ","ا"),"ة","ه"),"ى","ي"),"ـ",""))</f>
        <v/>
      </c>
      <c r="D19" s="0" t="str">
        <f aca="false">IF(A19="","",SUBSTITUTE(SUBSTITUTE(SUBSTITUTE(SUBSTITUTE(SUBSTITUTE(SUBSTITUTE(TRIM(A19&amp;" / "&amp;B19),"أ","ا"),"إ","ا"),"آ","ا"),"ة","ه"),"ى","ي"),"ـ",""))</f>
        <v/>
      </c>
    </row>
    <row r="20" customFormat="false" ht="15" hidden="false" customHeight="false" outlineLevel="0" collapsed="false">
      <c r="A20" s="8"/>
      <c r="B20" s="8"/>
      <c r="C20" s="0" t="str">
        <f aca="false">IF(A20="","",SUBSTITUTE(SUBSTITUTE(SUBSTITUTE(SUBSTITUTE(SUBSTITUTE(SUBSTITUTE(TRIM(A20),"أ","ا"),"إ","ا"),"آ","ا"),"ة","ه"),"ى","ي"),"ـ",""))</f>
        <v/>
      </c>
      <c r="D20" s="0" t="str">
        <f aca="false">IF(A20="","",SUBSTITUTE(SUBSTITUTE(SUBSTITUTE(SUBSTITUTE(SUBSTITUTE(SUBSTITUTE(TRIM(A20&amp;" / "&amp;B20),"أ","ا"),"إ","ا"),"آ","ا"),"ة","ه"),"ى","ي"),"ـ",""))</f>
        <v/>
      </c>
    </row>
    <row r="21" customFormat="false" ht="15" hidden="false" customHeight="false" outlineLevel="0" collapsed="false">
      <c r="A21" s="8"/>
      <c r="B21" s="8"/>
      <c r="C21" s="0" t="str">
        <f aca="false">IF(A21="","",SUBSTITUTE(SUBSTITUTE(SUBSTITUTE(SUBSTITUTE(SUBSTITUTE(SUBSTITUTE(TRIM(A21),"أ","ا"),"إ","ا"),"آ","ا"),"ة","ه"),"ى","ي"),"ـ",""))</f>
        <v/>
      </c>
      <c r="D21" s="0" t="str">
        <f aca="false">IF(A21="","",SUBSTITUTE(SUBSTITUTE(SUBSTITUTE(SUBSTITUTE(SUBSTITUTE(SUBSTITUTE(TRIM(A21&amp;" / "&amp;B21),"أ","ا"),"إ","ا"),"آ","ا"),"ة","ه"),"ى","ي"),"ـ",""))</f>
        <v/>
      </c>
    </row>
    <row r="22" customFormat="false" ht="15" hidden="false" customHeight="false" outlineLevel="0" collapsed="false">
      <c r="A22" s="8"/>
      <c r="B22" s="8"/>
      <c r="C22" s="0" t="str">
        <f aca="false">IF(A22="","",SUBSTITUTE(SUBSTITUTE(SUBSTITUTE(SUBSTITUTE(SUBSTITUTE(SUBSTITUTE(TRIM(A22),"أ","ا"),"إ","ا"),"آ","ا"),"ة","ه"),"ى","ي"),"ـ",""))</f>
        <v/>
      </c>
      <c r="D22" s="0" t="str">
        <f aca="false">IF(A22="","",SUBSTITUTE(SUBSTITUTE(SUBSTITUTE(SUBSTITUTE(SUBSTITUTE(SUBSTITUTE(TRIM(A22&amp;" / "&amp;B22),"أ","ا"),"إ","ا"),"آ","ا"),"ة","ه"),"ى","ي"),"ـ",""))</f>
        <v/>
      </c>
    </row>
    <row r="23" customFormat="false" ht="15" hidden="false" customHeight="false" outlineLevel="0" collapsed="false">
      <c r="A23" s="8"/>
      <c r="B23" s="8"/>
      <c r="C23" s="0" t="str">
        <f aca="false">IF(A23="","",SUBSTITUTE(SUBSTITUTE(SUBSTITUTE(SUBSTITUTE(SUBSTITUTE(SUBSTITUTE(TRIM(A23),"أ","ا"),"إ","ا"),"آ","ا"),"ة","ه"),"ى","ي"),"ـ",""))</f>
        <v/>
      </c>
      <c r="D23" s="0" t="str">
        <f aca="false">IF(A23="","",SUBSTITUTE(SUBSTITUTE(SUBSTITUTE(SUBSTITUTE(SUBSTITUTE(SUBSTITUTE(TRIM(A23&amp;" / "&amp;B23),"أ","ا"),"إ","ا"),"آ","ا"),"ة","ه"),"ى","ي"),"ـ",""))</f>
        <v/>
      </c>
    </row>
    <row r="24" customFormat="false" ht="15" hidden="false" customHeight="false" outlineLevel="0" collapsed="false">
      <c r="A24" s="8"/>
      <c r="B24" s="8"/>
      <c r="C24" s="0" t="str">
        <f aca="false">IF(A24="","",SUBSTITUTE(SUBSTITUTE(SUBSTITUTE(SUBSTITUTE(SUBSTITUTE(SUBSTITUTE(TRIM(A24),"أ","ا"),"إ","ا"),"آ","ا"),"ة","ه"),"ى","ي"),"ـ",""))</f>
        <v/>
      </c>
      <c r="D24" s="0" t="str">
        <f aca="false">IF(A24="","",SUBSTITUTE(SUBSTITUTE(SUBSTITUTE(SUBSTITUTE(SUBSTITUTE(SUBSTITUTE(TRIM(A24&amp;" / "&amp;B24),"أ","ا"),"إ","ا"),"آ","ا"),"ة","ه"),"ى","ي"),"ـ",""))</f>
        <v/>
      </c>
    </row>
    <row r="25" customFormat="false" ht="15" hidden="false" customHeight="false" outlineLevel="0" collapsed="false">
      <c r="A25" s="8"/>
      <c r="B25" s="8"/>
      <c r="C25" s="0" t="str">
        <f aca="false">IF(A25="","",SUBSTITUTE(SUBSTITUTE(SUBSTITUTE(SUBSTITUTE(SUBSTITUTE(SUBSTITUTE(TRIM(A25),"أ","ا"),"إ","ا"),"آ","ا"),"ة","ه"),"ى","ي"),"ـ",""))</f>
        <v/>
      </c>
      <c r="D25" s="0" t="str">
        <f aca="false">IF(A25="","",SUBSTITUTE(SUBSTITUTE(SUBSTITUTE(SUBSTITUTE(SUBSTITUTE(SUBSTITUTE(TRIM(A25&amp;" / "&amp;B25),"أ","ا"),"إ","ا"),"آ","ا"),"ة","ه"),"ى","ي"),"ـ",""))</f>
        <v/>
      </c>
    </row>
    <row r="26" customFormat="false" ht="15" hidden="false" customHeight="false" outlineLevel="0" collapsed="false">
      <c r="A26" s="8"/>
      <c r="B26" s="8"/>
      <c r="C26" s="0" t="str">
        <f aca="false">IF(A26="","",SUBSTITUTE(SUBSTITUTE(SUBSTITUTE(SUBSTITUTE(SUBSTITUTE(SUBSTITUTE(TRIM(A26),"أ","ا"),"إ","ا"),"آ","ا"),"ة","ه"),"ى","ي"),"ـ",""))</f>
        <v/>
      </c>
      <c r="D26" s="0" t="str">
        <f aca="false">IF(A26="","",SUBSTITUTE(SUBSTITUTE(SUBSTITUTE(SUBSTITUTE(SUBSTITUTE(SUBSTITUTE(TRIM(A26&amp;" / "&amp;B26),"أ","ا"),"إ","ا"),"آ","ا"),"ة","ه"),"ى","ي"),"ـ",""))</f>
        <v/>
      </c>
    </row>
    <row r="27" customFormat="false" ht="15" hidden="false" customHeight="false" outlineLevel="0" collapsed="false">
      <c r="A27" s="8"/>
      <c r="B27" s="8"/>
      <c r="C27" s="0" t="str">
        <f aca="false">IF(A27="","",SUBSTITUTE(SUBSTITUTE(SUBSTITUTE(SUBSTITUTE(SUBSTITUTE(SUBSTITUTE(TRIM(A27),"أ","ا"),"إ","ا"),"آ","ا"),"ة","ه"),"ى","ي"),"ـ",""))</f>
        <v/>
      </c>
      <c r="D27" s="0" t="str">
        <f aca="false">IF(A27="","",SUBSTITUTE(SUBSTITUTE(SUBSTITUTE(SUBSTITUTE(SUBSTITUTE(SUBSTITUTE(TRIM(A27&amp;" / "&amp;B27),"أ","ا"),"إ","ا"),"آ","ا"),"ة","ه"),"ى","ي"),"ـ",""))</f>
        <v/>
      </c>
    </row>
    <row r="28" customFormat="false" ht="15" hidden="false" customHeight="false" outlineLevel="0" collapsed="false">
      <c r="A28" s="8"/>
      <c r="B28" s="8"/>
      <c r="C28" s="0" t="str">
        <f aca="false">IF(A28="","",SUBSTITUTE(SUBSTITUTE(SUBSTITUTE(SUBSTITUTE(SUBSTITUTE(SUBSTITUTE(TRIM(A28),"أ","ا"),"إ","ا"),"آ","ا"),"ة","ه"),"ى","ي"),"ـ",""))</f>
        <v/>
      </c>
      <c r="D28" s="0" t="str">
        <f aca="false">IF(A28="","",SUBSTITUTE(SUBSTITUTE(SUBSTITUTE(SUBSTITUTE(SUBSTITUTE(SUBSTITUTE(TRIM(A28&amp;" / "&amp;B28),"أ","ا"),"إ","ا"),"آ","ا"),"ة","ه"),"ى","ي"),"ـ",""))</f>
        <v/>
      </c>
    </row>
    <row r="29" customFormat="false" ht="15" hidden="false" customHeight="false" outlineLevel="0" collapsed="false">
      <c r="A29" s="8"/>
      <c r="B29" s="8"/>
      <c r="C29" s="0" t="str">
        <f aca="false">IF(A29="","",SUBSTITUTE(SUBSTITUTE(SUBSTITUTE(SUBSTITUTE(SUBSTITUTE(SUBSTITUTE(TRIM(A29),"أ","ا"),"إ","ا"),"آ","ا"),"ة","ه"),"ى","ي"),"ـ",""))</f>
        <v/>
      </c>
      <c r="D29" s="0" t="str">
        <f aca="false">IF(A29="","",SUBSTITUTE(SUBSTITUTE(SUBSTITUTE(SUBSTITUTE(SUBSTITUTE(SUBSTITUTE(TRIM(A29&amp;" / "&amp;B29),"أ","ا"),"إ","ا"),"آ","ا"),"ة","ه"),"ى","ي"),"ـ",""))</f>
        <v/>
      </c>
    </row>
    <row r="30" customFormat="false" ht="15" hidden="false" customHeight="false" outlineLevel="0" collapsed="false">
      <c r="A30" s="8"/>
      <c r="B30" s="8"/>
      <c r="C30" s="0" t="str">
        <f aca="false">IF(A30="","",SUBSTITUTE(SUBSTITUTE(SUBSTITUTE(SUBSTITUTE(SUBSTITUTE(SUBSTITUTE(TRIM(A30),"أ","ا"),"إ","ا"),"آ","ا"),"ة","ه"),"ى","ي"),"ـ",""))</f>
        <v/>
      </c>
      <c r="D30" s="0" t="str">
        <f aca="false">IF(A30="","",SUBSTITUTE(SUBSTITUTE(SUBSTITUTE(SUBSTITUTE(SUBSTITUTE(SUBSTITUTE(TRIM(A30&amp;" / "&amp;B30),"أ","ا"),"إ","ا"),"آ","ا"),"ة","ه"),"ى","ي"),"ـ",""))</f>
        <v/>
      </c>
    </row>
    <row r="31" customFormat="false" ht="15" hidden="false" customHeight="false" outlineLevel="0" collapsed="false">
      <c r="A31" s="8"/>
      <c r="B31" s="8"/>
      <c r="C31" s="0" t="str">
        <f aca="false">IF(A31="","",SUBSTITUTE(SUBSTITUTE(SUBSTITUTE(SUBSTITUTE(SUBSTITUTE(SUBSTITUTE(TRIM(A31),"أ","ا"),"إ","ا"),"آ","ا"),"ة","ه"),"ى","ي"),"ـ",""))</f>
        <v/>
      </c>
      <c r="D31" s="0" t="str">
        <f aca="false">IF(A31="","",SUBSTITUTE(SUBSTITUTE(SUBSTITUTE(SUBSTITUTE(SUBSTITUTE(SUBSTITUTE(TRIM(A31&amp;" / "&amp;B31),"أ","ا"),"إ","ا"),"آ","ا"),"ة","ه"),"ى","ي"),"ـ",""))</f>
        <v/>
      </c>
    </row>
    <row r="32" customFormat="false" ht="15" hidden="false" customHeight="false" outlineLevel="0" collapsed="false">
      <c r="A32" s="8"/>
      <c r="B32" s="8"/>
      <c r="C32" s="0" t="str">
        <f aca="false">IF(A32="","",SUBSTITUTE(SUBSTITUTE(SUBSTITUTE(SUBSTITUTE(SUBSTITUTE(SUBSTITUTE(TRIM(A32),"أ","ا"),"إ","ا"),"آ","ا"),"ة","ه"),"ى","ي"),"ـ",""))</f>
        <v/>
      </c>
      <c r="D32" s="0" t="str">
        <f aca="false">IF(A32="","",SUBSTITUTE(SUBSTITUTE(SUBSTITUTE(SUBSTITUTE(SUBSTITUTE(SUBSTITUTE(TRIM(A32&amp;" / "&amp;B32),"أ","ا"),"إ","ا"),"آ","ا"),"ة","ه"),"ى","ي"),"ـ",""))</f>
        <v/>
      </c>
    </row>
    <row r="33" customFormat="false" ht="15" hidden="false" customHeight="false" outlineLevel="0" collapsed="false">
      <c r="A33" s="8"/>
      <c r="B33" s="8"/>
      <c r="C33" s="0" t="str">
        <f aca="false">IF(A33="","",SUBSTITUTE(SUBSTITUTE(SUBSTITUTE(SUBSTITUTE(SUBSTITUTE(SUBSTITUTE(TRIM(A33),"أ","ا"),"إ","ا"),"آ","ا"),"ة","ه"),"ى","ي"),"ـ",""))</f>
        <v/>
      </c>
      <c r="D33" s="0" t="str">
        <f aca="false">IF(A33="","",SUBSTITUTE(SUBSTITUTE(SUBSTITUTE(SUBSTITUTE(SUBSTITUTE(SUBSTITUTE(TRIM(A33&amp;" / "&amp;B33),"أ","ا"),"إ","ا"),"آ","ا"),"ة","ه"),"ى","ي"),"ـ",""))</f>
        <v/>
      </c>
    </row>
    <row r="34" customFormat="false" ht="15" hidden="false" customHeight="false" outlineLevel="0" collapsed="false">
      <c r="A34" s="8"/>
      <c r="B34" s="8"/>
      <c r="C34" s="0" t="str">
        <f aca="false">IF(A34="","",SUBSTITUTE(SUBSTITUTE(SUBSTITUTE(SUBSTITUTE(SUBSTITUTE(SUBSTITUTE(TRIM(A34),"أ","ا"),"إ","ا"),"آ","ا"),"ة","ه"),"ى","ي"),"ـ",""))</f>
        <v/>
      </c>
      <c r="D34" s="0" t="str">
        <f aca="false">IF(A34="","",SUBSTITUTE(SUBSTITUTE(SUBSTITUTE(SUBSTITUTE(SUBSTITUTE(SUBSTITUTE(TRIM(A34&amp;" / "&amp;B34),"أ","ا"),"إ","ا"),"آ","ا"),"ة","ه"),"ى","ي"),"ـ",""))</f>
        <v/>
      </c>
    </row>
    <row r="35" customFormat="false" ht="15" hidden="false" customHeight="false" outlineLevel="0" collapsed="false">
      <c r="A35" s="8"/>
      <c r="B35" s="8"/>
      <c r="C35" s="0" t="str">
        <f aca="false">IF(A35="","",SUBSTITUTE(SUBSTITUTE(SUBSTITUTE(SUBSTITUTE(SUBSTITUTE(SUBSTITUTE(TRIM(A35),"أ","ا"),"إ","ا"),"آ","ا"),"ة","ه"),"ى","ي"),"ـ",""))</f>
        <v/>
      </c>
      <c r="D35" s="0" t="str">
        <f aca="false">IF(A35="","",SUBSTITUTE(SUBSTITUTE(SUBSTITUTE(SUBSTITUTE(SUBSTITUTE(SUBSTITUTE(TRIM(A35&amp;" / "&amp;B35),"أ","ا"),"إ","ا"),"آ","ا"),"ة","ه"),"ى","ي"),"ـ",""))</f>
        <v/>
      </c>
    </row>
    <row r="36" customFormat="false" ht="15" hidden="false" customHeight="false" outlineLevel="0" collapsed="false">
      <c r="A36" s="8"/>
      <c r="B36" s="8"/>
      <c r="C36" s="0" t="str">
        <f aca="false">IF(A36="","",SUBSTITUTE(SUBSTITUTE(SUBSTITUTE(SUBSTITUTE(SUBSTITUTE(SUBSTITUTE(TRIM(A36),"أ","ا"),"إ","ا"),"آ","ا"),"ة","ه"),"ى","ي"),"ـ",""))</f>
        <v/>
      </c>
      <c r="D36" s="0" t="str">
        <f aca="false">IF(A36="","",SUBSTITUTE(SUBSTITUTE(SUBSTITUTE(SUBSTITUTE(SUBSTITUTE(SUBSTITUTE(TRIM(A36&amp;" / "&amp;B36),"أ","ا"),"إ","ا"),"آ","ا"),"ة","ه"),"ى","ي"),"ـ",""))</f>
        <v/>
      </c>
    </row>
    <row r="37" customFormat="false" ht="15" hidden="false" customHeight="false" outlineLevel="0" collapsed="false">
      <c r="A37" s="8"/>
      <c r="B37" s="8"/>
      <c r="C37" s="0" t="str">
        <f aca="false">IF(A37="","",SUBSTITUTE(SUBSTITUTE(SUBSTITUTE(SUBSTITUTE(SUBSTITUTE(SUBSTITUTE(TRIM(A37),"أ","ا"),"إ","ا"),"آ","ا"),"ة","ه"),"ى","ي"),"ـ",""))</f>
        <v/>
      </c>
      <c r="D37" s="0" t="str">
        <f aca="false">IF(A37="","",SUBSTITUTE(SUBSTITUTE(SUBSTITUTE(SUBSTITUTE(SUBSTITUTE(SUBSTITUTE(TRIM(A37&amp;" / "&amp;B37),"أ","ا"),"إ","ا"),"آ","ا"),"ة","ه"),"ى","ي"),"ـ",""))</f>
        <v/>
      </c>
    </row>
    <row r="38" customFormat="false" ht="15" hidden="false" customHeight="false" outlineLevel="0" collapsed="false">
      <c r="A38" s="8"/>
      <c r="B38" s="8"/>
      <c r="C38" s="0" t="str">
        <f aca="false">IF(A38="","",SUBSTITUTE(SUBSTITUTE(SUBSTITUTE(SUBSTITUTE(SUBSTITUTE(SUBSTITUTE(TRIM(A38),"أ","ا"),"إ","ا"),"آ","ا"),"ة","ه"),"ى","ي"),"ـ",""))</f>
        <v/>
      </c>
      <c r="D38" s="0" t="str">
        <f aca="false">IF(A38="","",SUBSTITUTE(SUBSTITUTE(SUBSTITUTE(SUBSTITUTE(SUBSTITUTE(SUBSTITUTE(TRIM(A38&amp;" / "&amp;B38),"أ","ا"),"إ","ا"),"آ","ا"),"ة","ه"),"ى","ي"),"ـ",""))</f>
        <v/>
      </c>
    </row>
    <row r="39" customFormat="false" ht="15" hidden="false" customHeight="false" outlineLevel="0" collapsed="false">
      <c r="A39" s="8"/>
      <c r="B39" s="8"/>
      <c r="C39" s="0" t="str">
        <f aca="false">IF(A39="","",SUBSTITUTE(SUBSTITUTE(SUBSTITUTE(SUBSTITUTE(SUBSTITUTE(SUBSTITUTE(TRIM(A39),"أ","ا"),"إ","ا"),"آ","ا"),"ة","ه"),"ى","ي"),"ـ",""))</f>
        <v/>
      </c>
      <c r="D39" s="0" t="str">
        <f aca="false">IF(A39="","",SUBSTITUTE(SUBSTITUTE(SUBSTITUTE(SUBSTITUTE(SUBSTITUTE(SUBSTITUTE(TRIM(A39&amp;" / "&amp;B39),"أ","ا"),"إ","ا"),"آ","ا"),"ة","ه"),"ى","ي"),"ـ",""))</f>
        <v/>
      </c>
    </row>
    <row r="40" customFormat="false" ht="15" hidden="false" customHeight="false" outlineLevel="0" collapsed="false">
      <c r="A40" s="8"/>
      <c r="B40" s="8"/>
      <c r="C40" s="0" t="str">
        <f aca="false">IF(A40="","",SUBSTITUTE(SUBSTITUTE(SUBSTITUTE(SUBSTITUTE(SUBSTITUTE(SUBSTITUTE(TRIM(A40),"أ","ا"),"إ","ا"),"آ","ا"),"ة","ه"),"ى","ي"),"ـ",""))</f>
        <v/>
      </c>
      <c r="D40" s="0" t="str">
        <f aca="false">IF(A40="","",SUBSTITUTE(SUBSTITUTE(SUBSTITUTE(SUBSTITUTE(SUBSTITUTE(SUBSTITUTE(TRIM(A40&amp;" / "&amp;B40),"أ","ا"),"إ","ا"),"آ","ا"),"ة","ه"),"ى","ي"),"ـ",""))</f>
        <v/>
      </c>
    </row>
    <row r="41" customFormat="false" ht="15" hidden="false" customHeight="false" outlineLevel="0" collapsed="false">
      <c r="A41" s="8"/>
      <c r="B41" s="8"/>
      <c r="C41" s="0" t="str">
        <f aca="false">IF(A41="","",SUBSTITUTE(SUBSTITUTE(SUBSTITUTE(SUBSTITUTE(SUBSTITUTE(SUBSTITUTE(TRIM(A41),"أ","ا"),"إ","ا"),"آ","ا"),"ة","ه"),"ى","ي"),"ـ",""))</f>
        <v/>
      </c>
      <c r="D41" s="0" t="str">
        <f aca="false">IF(A41="","",SUBSTITUTE(SUBSTITUTE(SUBSTITUTE(SUBSTITUTE(SUBSTITUTE(SUBSTITUTE(TRIM(A41&amp;" / "&amp;B41),"أ","ا"),"إ","ا"),"آ","ا"),"ة","ه"),"ى","ي"),"ـ",""))</f>
        <v/>
      </c>
    </row>
    <row r="42" customFormat="false" ht="15" hidden="false" customHeight="false" outlineLevel="0" collapsed="false">
      <c r="A42" s="8"/>
      <c r="B42" s="8"/>
      <c r="C42" s="0" t="str">
        <f aca="false">IF(A42="","",SUBSTITUTE(SUBSTITUTE(SUBSTITUTE(SUBSTITUTE(SUBSTITUTE(SUBSTITUTE(TRIM(A42),"أ","ا"),"إ","ا"),"آ","ا"),"ة","ه"),"ى","ي"),"ـ",""))</f>
        <v/>
      </c>
      <c r="D42" s="0" t="str">
        <f aca="false">IF(A42="","",SUBSTITUTE(SUBSTITUTE(SUBSTITUTE(SUBSTITUTE(SUBSTITUTE(SUBSTITUTE(TRIM(A42&amp;" / "&amp;B42),"أ","ا"),"إ","ا"),"آ","ا"),"ة","ه"),"ى","ي"),"ـ",""))</f>
        <v/>
      </c>
    </row>
    <row r="43" customFormat="false" ht="15" hidden="false" customHeight="false" outlineLevel="0" collapsed="false">
      <c r="A43" s="8"/>
      <c r="B43" s="8"/>
      <c r="C43" s="0" t="str">
        <f aca="false">IF(A43="","",SUBSTITUTE(SUBSTITUTE(SUBSTITUTE(SUBSTITUTE(SUBSTITUTE(SUBSTITUTE(TRIM(A43),"أ","ا"),"إ","ا"),"آ","ا"),"ة","ه"),"ى","ي"),"ـ",""))</f>
        <v/>
      </c>
      <c r="D43" s="0" t="str">
        <f aca="false">IF(A43="","",SUBSTITUTE(SUBSTITUTE(SUBSTITUTE(SUBSTITUTE(SUBSTITUTE(SUBSTITUTE(TRIM(A43&amp;" / "&amp;B43),"أ","ا"),"إ","ا"),"آ","ا"),"ة","ه"),"ى","ي"),"ـ",""))</f>
        <v/>
      </c>
    </row>
    <row r="44" customFormat="false" ht="15" hidden="false" customHeight="false" outlineLevel="0" collapsed="false">
      <c r="A44" s="8"/>
      <c r="B44" s="8"/>
      <c r="C44" s="0" t="str">
        <f aca="false">IF(A44="","",SUBSTITUTE(SUBSTITUTE(SUBSTITUTE(SUBSTITUTE(SUBSTITUTE(SUBSTITUTE(TRIM(A44),"أ","ا"),"إ","ا"),"آ","ا"),"ة","ه"),"ى","ي"),"ـ",""))</f>
        <v/>
      </c>
      <c r="D44" s="0" t="str">
        <f aca="false">IF(A44="","",SUBSTITUTE(SUBSTITUTE(SUBSTITUTE(SUBSTITUTE(SUBSTITUTE(SUBSTITUTE(TRIM(A44&amp;" / "&amp;B44),"أ","ا"),"إ","ا"),"آ","ا"),"ة","ه"),"ى","ي"),"ـ",""))</f>
        <v/>
      </c>
    </row>
    <row r="45" customFormat="false" ht="15" hidden="false" customHeight="false" outlineLevel="0" collapsed="false">
      <c r="A45" s="8"/>
      <c r="B45" s="8"/>
      <c r="C45" s="0" t="str">
        <f aca="false">IF(A45="","",SUBSTITUTE(SUBSTITUTE(SUBSTITUTE(SUBSTITUTE(SUBSTITUTE(SUBSTITUTE(TRIM(A45),"أ","ا"),"إ","ا"),"آ","ا"),"ة","ه"),"ى","ي"),"ـ",""))</f>
        <v/>
      </c>
      <c r="D45" s="0" t="str">
        <f aca="false">IF(A45="","",SUBSTITUTE(SUBSTITUTE(SUBSTITUTE(SUBSTITUTE(SUBSTITUTE(SUBSTITUTE(TRIM(A45&amp;" / "&amp;B45),"أ","ا"),"إ","ا"),"آ","ا"),"ة","ه"),"ى","ي"),"ـ",""))</f>
        <v/>
      </c>
    </row>
    <row r="46" customFormat="false" ht="15" hidden="false" customHeight="false" outlineLevel="0" collapsed="false">
      <c r="A46" s="8"/>
      <c r="B46" s="8"/>
      <c r="C46" s="0" t="str">
        <f aca="false">IF(A46="","",SUBSTITUTE(SUBSTITUTE(SUBSTITUTE(SUBSTITUTE(SUBSTITUTE(SUBSTITUTE(TRIM(A46),"أ","ا"),"إ","ا"),"آ","ا"),"ة","ه"),"ى","ي"),"ـ",""))</f>
        <v/>
      </c>
      <c r="D46" s="0" t="str">
        <f aca="false">IF(A46="","",SUBSTITUTE(SUBSTITUTE(SUBSTITUTE(SUBSTITUTE(SUBSTITUTE(SUBSTITUTE(TRIM(A46&amp;" / "&amp;B46),"أ","ا"),"إ","ا"),"آ","ا"),"ة","ه"),"ى","ي"),"ـ",""))</f>
        <v/>
      </c>
    </row>
    <row r="47" customFormat="false" ht="15" hidden="false" customHeight="false" outlineLevel="0" collapsed="false">
      <c r="A47" s="8"/>
      <c r="B47" s="8"/>
      <c r="C47" s="0" t="str">
        <f aca="false">IF(A47="","",SUBSTITUTE(SUBSTITUTE(SUBSTITUTE(SUBSTITUTE(SUBSTITUTE(SUBSTITUTE(TRIM(A47),"أ","ا"),"إ","ا"),"آ","ا"),"ة","ه"),"ى","ي"),"ـ",""))</f>
        <v/>
      </c>
      <c r="D47" s="0" t="str">
        <f aca="false">IF(A47="","",SUBSTITUTE(SUBSTITUTE(SUBSTITUTE(SUBSTITUTE(SUBSTITUTE(SUBSTITUTE(TRIM(A47&amp;" / "&amp;B47),"أ","ا"),"إ","ا"),"آ","ا"),"ة","ه"),"ى","ي"),"ـ",""))</f>
        <v/>
      </c>
    </row>
    <row r="48" customFormat="false" ht="15" hidden="false" customHeight="false" outlineLevel="0" collapsed="false">
      <c r="A48" s="8"/>
      <c r="B48" s="8"/>
      <c r="C48" s="0" t="str">
        <f aca="false">IF(A48="","",SUBSTITUTE(SUBSTITUTE(SUBSTITUTE(SUBSTITUTE(SUBSTITUTE(SUBSTITUTE(TRIM(A48),"أ","ا"),"إ","ا"),"آ","ا"),"ة","ه"),"ى","ي"),"ـ",""))</f>
        <v/>
      </c>
      <c r="D48" s="0" t="str">
        <f aca="false">IF(A48="","",SUBSTITUTE(SUBSTITUTE(SUBSTITUTE(SUBSTITUTE(SUBSTITUTE(SUBSTITUTE(TRIM(A48&amp;" / "&amp;B48),"أ","ا"),"إ","ا"),"آ","ا"),"ة","ه"),"ى","ي"),"ـ",""))</f>
        <v/>
      </c>
    </row>
    <row r="49" customFormat="false" ht="15" hidden="false" customHeight="false" outlineLevel="0" collapsed="false">
      <c r="A49" s="8"/>
      <c r="B49" s="8"/>
      <c r="C49" s="0" t="str">
        <f aca="false">IF(A49="","",SUBSTITUTE(SUBSTITUTE(SUBSTITUTE(SUBSTITUTE(SUBSTITUTE(SUBSTITUTE(TRIM(A49),"أ","ا"),"إ","ا"),"آ","ا"),"ة","ه"),"ى","ي"),"ـ",""))</f>
        <v/>
      </c>
      <c r="D49" s="0" t="str">
        <f aca="false">IF(A49="","",SUBSTITUTE(SUBSTITUTE(SUBSTITUTE(SUBSTITUTE(SUBSTITUTE(SUBSTITUTE(TRIM(A49&amp;" / "&amp;B49),"أ","ا"),"إ","ا"),"آ","ا"),"ة","ه"),"ى","ي"),"ـ",""))</f>
        <v/>
      </c>
    </row>
    <row r="50" customFormat="false" ht="15" hidden="false" customHeight="false" outlineLevel="0" collapsed="false">
      <c r="A50" s="8"/>
      <c r="B50" s="8"/>
      <c r="C50" s="0" t="str">
        <f aca="false">IF(A50="","",SUBSTITUTE(SUBSTITUTE(SUBSTITUTE(SUBSTITUTE(SUBSTITUTE(SUBSTITUTE(TRIM(A50),"أ","ا"),"إ","ا"),"آ","ا"),"ة","ه"),"ى","ي"),"ـ",""))</f>
        <v/>
      </c>
      <c r="D50" s="0" t="str">
        <f aca="false">IF(A50="","",SUBSTITUTE(SUBSTITUTE(SUBSTITUTE(SUBSTITUTE(SUBSTITUTE(SUBSTITUTE(TRIM(A50&amp;" / "&amp;B50),"أ","ا"),"إ","ا"),"آ","ا"),"ة","ه"),"ى","ي"),"ـ",""))</f>
        <v/>
      </c>
    </row>
    <row r="51" customFormat="false" ht="15" hidden="false" customHeight="false" outlineLevel="0" collapsed="false">
      <c r="A51" s="8"/>
      <c r="B51" s="8"/>
      <c r="C51" s="0" t="str">
        <f aca="false">IF(A51="","",SUBSTITUTE(SUBSTITUTE(SUBSTITUTE(SUBSTITUTE(SUBSTITUTE(SUBSTITUTE(TRIM(A51),"أ","ا"),"إ","ا"),"آ","ا"),"ة","ه"),"ى","ي"),"ـ",""))</f>
        <v/>
      </c>
      <c r="D51" s="0" t="str">
        <f aca="false">IF(A51="","",SUBSTITUTE(SUBSTITUTE(SUBSTITUTE(SUBSTITUTE(SUBSTITUTE(SUBSTITUTE(TRIM(A51&amp;" / "&amp;B51),"أ","ا"),"إ","ا"),"آ","ا"),"ة","ه"),"ى","ي"),"ـ",""))</f>
        <v/>
      </c>
    </row>
    <row r="52" customFormat="false" ht="15" hidden="false" customHeight="false" outlineLevel="0" collapsed="false">
      <c r="A52" s="8"/>
      <c r="B52" s="8"/>
      <c r="C52" s="0" t="str">
        <f aca="false">IF(A52="","",SUBSTITUTE(SUBSTITUTE(SUBSTITUTE(SUBSTITUTE(SUBSTITUTE(SUBSTITUTE(TRIM(A52),"أ","ا"),"إ","ا"),"آ","ا"),"ة","ه"),"ى","ي"),"ـ",""))</f>
        <v/>
      </c>
      <c r="D52" s="0" t="str">
        <f aca="false">IF(A52="","",SUBSTITUTE(SUBSTITUTE(SUBSTITUTE(SUBSTITUTE(SUBSTITUTE(SUBSTITUTE(TRIM(A52&amp;" / "&amp;B52),"أ","ا"),"إ","ا"),"آ","ا"),"ة","ه"),"ى","ي"),"ـ",""))</f>
        <v/>
      </c>
    </row>
    <row r="53" customFormat="false" ht="15" hidden="false" customHeight="false" outlineLevel="0" collapsed="false">
      <c r="A53" s="8"/>
      <c r="B53" s="8"/>
      <c r="C53" s="0" t="str">
        <f aca="false">IF(A53="","",SUBSTITUTE(SUBSTITUTE(SUBSTITUTE(SUBSTITUTE(SUBSTITUTE(SUBSTITUTE(TRIM(A53),"أ","ا"),"إ","ا"),"آ","ا"),"ة","ه"),"ى","ي"),"ـ",""))</f>
        <v/>
      </c>
      <c r="D53" s="0" t="str">
        <f aca="false">IF(A53="","",SUBSTITUTE(SUBSTITUTE(SUBSTITUTE(SUBSTITUTE(SUBSTITUTE(SUBSTITUTE(TRIM(A53&amp;" / "&amp;B53),"أ","ا"),"إ","ا"),"آ","ا"),"ة","ه"),"ى","ي"),"ـ",""))</f>
        <v/>
      </c>
    </row>
    <row r="54" customFormat="false" ht="15" hidden="false" customHeight="false" outlineLevel="0" collapsed="false">
      <c r="A54" s="8"/>
      <c r="B54" s="8"/>
      <c r="C54" s="0" t="str">
        <f aca="false">IF(A54="","",SUBSTITUTE(SUBSTITUTE(SUBSTITUTE(SUBSTITUTE(SUBSTITUTE(SUBSTITUTE(TRIM(A54),"أ","ا"),"إ","ا"),"آ","ا"),"ة","ه"),"ى","ي"),"ـ",""))</f>
        <v/>
      </c>
      <c r="D54" s="0" t="str">
        <f aca="false">IF(A54="","",SUBSTITUTE(SUBSTITUTE(SUBSTITUTE(SUBSTITUTE(SUBSTITUTE(SUBSTITUTE(TRIM(A54&amp;" / "&amp;B54),"أ","ا"),"إ","ا"),"آ","ا"),"ة","ه"),"ى","ي"),"ـ",""))</f>
        <v/>
      </c>
    </row>
    <row r="55" customFormat="false" ht="15" hidden="false" customHeight="false" outlineLevel="0" collapsed="false">
      <c r="A55" s="8"/>
      <c r="B55" s="8"/>
      <c r="C55" s="0" t="str">
        <f aca="false">IF(A55="","",SUBSTITUTE(SUBSTITUTE(SUBSTITUTE(SUBSTITUTE(SUBSTITUTE(SUBSTITUTE(TRIM(A55),"أ","ا"),"إ","ا"),"آ","ا"),"ة","ه"),"ى","ي"),"ـ",""))</f>
        <v/>
      </c>
      <c r="D55" s="0" t="str">
        <f aca="false">IF(A55="","",SUBSTITUTE(SUBSTITUTE(SUBSTITUTE(SUBSTITUTE(SUBSTITUTE(SUBSTITUTE(TRIM(A55&amp;" / "&amp;B55),"أ","ا"),"إ","ا"),"آ","ا"),"ة","ه"),"ى","ي"),"ـ",""))</f>
        <v/>
      </c>
    </row>
    <row r="56" customFormat="false" ht="15" hidden="false" customHeight="false" outlineLevel="0" collapsed="false">
      <c r="A56" s="8"/>
      <c r="B56" s="8"/>
      <c r="C56" s="0" t="str">
        <f aca="false">IF(A56="","",SUBSTITUTE(SUBSTITUTE(SUBSTITUTE(SUBSTITUTE(SUBSTITUTE(SUBSTITUTE(TRIM(A56),"أ","ا"),"إ","ا"),"آ","ا"),"ة","ه"),"ى","ي"),"ـ",""))</f>
        <v/>
      </c>
      <c r="D56" s="0" t="str">
        <f aca="false">IF(A56="","",SUBSTITUTE(SUBSTITUTE(SUBSTITUTE(SUBSTITUTE(SUBSTITUTE(SUBSTITUTE(TRIM(A56&amp;" / "&amp;B56),"أ","ا"),"إ","ا"),"آ","ا"),"ة","ه"),"ى","ي"),"ـ",""))</f>
        <v/>
      </c>
    </row>
    <row r="57" customFormat="false" ht="15" hidden="false" customHeight="false" outlineLevel="0" collapsed="false">
      <c r="A57" s="8"/>
      <c r="B57" s="8"/>
      <c r="C57" s="0" t="str">
        <f aca="false">IF(A57="","",SUBSTITUTE(SUBSTITUTE(SUBSTITUTE(SUBSTITUTE(SUBSTITUTE(SUBSTITUTE(TRIM(A57),"أ","ا"),"إ","ا"),"آ","ا"),"ة","ه"),"ى","ي"),"ـ",""))</f>
        <v/>
      </c>
      <c r="D57" s="0" t="str">
        <f aca="false">IF(A57="","",SUBSTITUTE(SUBSTITUTE(SUBSTITUTE(SUBSTITUTE(SUBSTITUTE(SUBSTITUTE(TRIM(A57&amp;" / "&amp;B57),"أ","ا"),"إ","ا"),"آ","ا"),"ة","ه"),"ى","ي"),"ـ",""))</f>
        <v/>
      </c>
    </row>
    <row r="58" customFormat="false" ht="15" hidden="false" customHeight="false" outlineLevel="0" collapsed="false">
      <c r="A58" s="8"/>
      <c r="B58" s="8"/>
      <c r="C58" s="0" t="str">
        <f aca="false">IF(A58="","",SUBSTITUTE(SUBSTITUTE(SUBSTITUTE(SUBSTITUTE(SUBSTITUTE(SUBSTITUTE(TRIM(A58),"أ","ا"),"إ","ا"),"آ","ا"),"ة","ه"),"ى","ي"),"ـ",""))</f>
        <v/>
      </c>
      <c r="D58" s="0" t="str">
        <f aca="false">IF(A58="","",SUBSTITUTE(SUBSTITUTE(SUBSTITUTE(SUBSTITUTE(SUBSTITUTE(SUBSTITUTE(TRIM(A58&amp;" / "&amp;B58),"أ","ا"),"إ","ا"),"آ","ا"),"ة","ه"),"ى","ي"),"ـ",""))</f>
        <v/>
      </c>
    </row>
    <row r="59" customFormat="false" ht="15" hidden="false" customHeight="false" outlineLevel="0" collapsed="false">
      <c r="A59" s="8"/>
      <c r="B59" s="8"/>
      <c r="C59" s="0" t="str">
        <f aca="false">IF(A59="","",SUBSTITUTE(SUBSTITUTE(SUBSTITUTE(SUBSTITUTE(SUBSTITUTE(SUBSTITUTE(TRIM(A59),"أ","ا"),"إ","ا"),"آ","ا"),"ة","ه"),"ى","ي"),"ـ",""))</f>
        <v/>
      </c>
      <c r="D59" s="0" t="str">
        <f aca="false">IF(A59="","",SUBSTITUTE(SUBSTITUTE(SUBSTITUTE(SUBSTITUTE(SUBSTITUTE(SUBSTITUTE(TRIM(A59&amp;" / "&amp;B59),"أ","ا"),"إ","ا"),"آ","ا"),"ة","ه"),"ى","ي"),"ـ",""))</f>
        <v/>
      </c>
    </row>
    <row r="60" customFormat="false" ht="15" hidden="false" customHeight="false" outlineLevel="0" collapsed="false">
      <c r="A60" s="8"/>
      <c r="B60" s="8"/>
      <c r="C60" s="0" t="str">
        <f aca="false">IF(A60="","",SUBSTITUTE(SUBSTITUTE(SUBSTITUTE(SUBSTITUTE(SUBSTITUTE(SUBSTITUTE(TRIM(A60),"أ","ا"),"إ","ا"),"آ","ا"),"ة","ه"),"ى","ي"),"ـ",""))</f>
        <v/>
      </c>
      <c r="D60" s="0" t="str">
        <f aca="false">IF(A60="","",SUBSTITUTE(SUBSTITUTE(SUBSTITUTE(SUBSTITUTE(SUBSTITUTE(SUBSTITUTE(TRIM(A60&amp;" / "&amp;B60),"أ","ا"),"إ","ا"),"آ","ا"),"ة","ه"),"ى","ي"),"ـ",""))</f>
        <v/>
      </c>
    </row>
    <row r="61" customFormat="false" ht="15" hidden="false" customHeight="false" outlineLevel="0" collapsed="false">
      <c r="A61" s="8"/>
      <c r="B61" s="8"/>
      <c r="C61" s="0" t="str">
        <f aca="false">IF(A61="","",SUBSTITUTE(SUBSTITUTE(SUBSTITUTE(SUBSTITUTE(SUBSTITUTE(SUBSTITUTE(TRIM(A61),"أ","ا"),"إ","ا"),"آ","ا"),"ة","ه"),"ى","ي"),"ـ",""))</f>
        <v/>
      </c>
      <c r="D61" s="0" t="str">
        <f aca="false">IF(A61="","",SUBSTITUTE(SUBSTITUTE(SUBSTITUTE(SUBSTITUTE(SUBSTITUTE(SUBSTITUTE(TRIM(A61&amp;" / "&amp;B61),"أ","ا"),"إ","ا"),"آ","ا"),"ة","ه"),"ى","ي"),"ـ",""))</f>
        <v/>
      </c>
    </row>
    <row r="62" customFormat="false" ht="15" hidden="false" customHeight="false" outlineLevel="0" collapsed="false">
      <c r="A62" s="8"/>
      <c r="B62" s="8"/>
      <c r="C62" s="0" t="str">
        <f aca="false">IF(A62="","",SUBSTITUTE(SUBSTITUTE(SUBSTITUTE(SUBSTITUTE(SUBSTITUTE(SUBSTITUTE(TRIM(A62),"أ","ا"),"إ","ا"),"آ","ا"),"ة","ه"),"ى","ي"),"ـ",""))</f>
        <v/>
      </c>
      <c r="D62" s="0" t="str">
        <f aca="false">IF(A62="","",SUBSTITUTE(SUBSTITUTE(SUBSTITUTE(SUBSTITUTE(SUBSTITUTE(SUBSTITUTE(TRIM(A62&amp;" / "&amp;B62),"أ","ا"),"إ","ا"),"آ","ا"),"ة","ه"),"ى","ي"),"ـ",""))</f>
        <v/>
      </c>
    </row>
    <row r="63" customFormat="false" ht="15" hidden="false" customHeight="false" outlineLevel="0" collapsed="false">
      <c r="A63" s="8"/>
      <c r="B63" s="8"/>
      <c r="C63" s="0" t="str">
        <f aca="false">IF(A63="","",SUBSTITUTE(SUBSTITUTE(SUBSTITUTE(SUBSTITUTE(SUBSTITUTE(SUBSTITUTE(TRIM(A63),"أ","ا"),"إ","ا"),"آ","ا"),"ة","ه"),"ى","ي"),"ـ",""))</f>
        <v/>
      </c>
      <c r="D63" s="0" t="str">
        <f aca="false">IF(A63="","",SUBSTITUTE(SUBSTITUTE(SUBSTITUTE(SUBSTITUTE(SUBSTITUTE(SUBSTITUTE(TRIM(A63&amp;" / "&amp;B63),"أ","ا"),"إ","ا"),"آ","ا"),"ة","ه"),"ى","ي"),"ـ",""))</f>
        <v/>
      </c>
    </row>
    <row r="64" customFormat="false" ht="15" hidden="false" customHeight="false" outlineLevel="0" collapsed="false">
      <c r="A64" s="8"/>
      <c r="B64" s="8"/>
      <c r="C64" s="0" t="str">
        <f aca="false">IF(A64="","",SUBSTITUTE(SUBSTITUTE(SUBSTITUTE(SUBSTITUTE(SUBSTITUTE(SUBSTITUTE(TRIM(A64),"أ","ا"),"إ","ا"),"آ","ا"),"ة","ه"),"ى","ي"),"ـ",""))</f>
        <v/>
      </c>
      <c r="D64" s="0" t="str">
        <f aca="false">IF(A64="","",SUBSTITUTE(SUBSTITUTE(SUBSTITUTE(SUBSTITUTE(SUBSTITUTE(SUBSTITUTE(TRIM(A64&amp;" / "&amp;B64),"أ","ا"),"إ","ا"),"آ","ا"),"ة","ه"),"ى","ي"),"ـ",""))</f>
        <v/>
      </c>
    </row>
    <row r="65" customFormat="false" ht="15" hidden="false" customHeight="false" outlineLevel="0" collapsed="false">
      <c r="A65" s="8"/>
      <c r="B65" s="8"/>
      <c r="C65" s="0" t="str">
        <f aca="false">IF(A65="","",SUBSTITUTE(SUBSTITUTE(SUBSTITUTE(SUBSTITUTE(SUBSTITUTE(SUBSTITUTE(TRIM(A65),"أ","ا"),"إ","ا"),"آ","ا"),"ة","ه"),"ى","ي"),"ـ",""))</f>
        <v/>
      </c>
      <c r="D65" s="0" t="str">
        <f aca="false">IF(A65="","",SUBSTITUTE(SUBSTITUTE(SUBSTITUTE(SUBSTITUTE(SUBSTITUTE(SUBSTITUTE(TRIM(A65&amp;" / "&amp;B65),"أ","ا"),"إ","ا"),"آ","ا"),"ة","ه"),"ى","ي"),"ـ",""))</f>
        <v/>
      </c>
    </row>
    <row r="66" customFormat="false" ht="15" hidden="false" customHeight="false" outlineLevel="0" collapsed="false">
      <c r="A66" s="8"/>
      <c r="B66" s="8"/>
      <c r="C66" s="0" t="str">
        <f aca="false">IF(A66="","",SUBSTITUTE(SUBSTITUTE(SUBSTITUTE(SUBSTITUTE(SUBSTITUTE(SUBSTITUTE(TRIM(A66),"أ","ا"),"إ","ا"),"آ","ا"),"ة","ه"),"ى","ي"),"ـ",""))</f>
        <v/>
      </c>
      <c r="D66" s="0" t="str">
        <f aca="false">IF(A66="","",SUBSTITUTE(SUBSTITUTE(SUBSTITUTE(SUBSTITUTE(SUBSTITUTE(SUBSTITUTE(TRIM(A66&amp;" / "&amp;B66),"أ","ا"),"إ","ا"),"آ","ا"),"ة","ه"),"ى","ي"),"ـ",""))</f>
        <v/>
      </c>
    </row>
    <row r="67" customFormat="false" ht="15" hidden="false" customHeight="false" outlineLevel="0" collapsed="false">
      <c r="A67" s="8"/>
      <c r="B67" s="8"/>
      <c r="C67" s="0" t="str">
        <f aca="false">IF(A67="","",SUBSTITUTE(SUBSTITUTE(SUBSTITUTE(SUBSTITUTE(SUBSTITUTE(SUBSTITUTE(TRIM(A67),"أ","ا"),"إ","ا"),"آ","ا"),"ة","ه"),"ى","ي"),"ـ",""))</f>
        <v/>
      </c>
      <c r="D67" s="0" t="str">
        <f aca="false">IF(A67="","",SUBSTITUTE(SUBSTITUTE(SUBSTITUTE(SUBSTITUTE(SUBSTITUTE(SUBSTITUTE(TRIM(A67&amp;" / "&amp;B67),"أ","ا"),"إ","ا"),"آ","ا"),"ة","ه"),"ى","ي"),"ـ",""))</f>
        <v/>
      </c>
    </row>
    <row r="68" customFormat="false" ht="15" hidden="false" customHeight="false" outlineLevel="0" collapsed="false">
      <c r="A68" s="8"/>
      <c r="B68" s="8"/>
      <c r="C68" s="0" t="str">
        <f aca="false">IF(A68="","",SUBSTITUTE(SUBSTITUTE(SUBSTITUTE(SUBSTITUTE(SUBSTITUTE(SUBSTITUTE(TRIM(A68),"أ","ا"),"إ","ا"),"آ","ا"),"ة","ه"),"ى","ي"),"ـ",""))</f>
        <v/>
      </c>
      <c r="D68" s="0" t="str">
        <f aca="false">IF(A68="","",SUBSTITUTE(SUBSTITUTE(SUBSTITUTE(SUBSTITUTE(SUBSTITUTE(SUBSTITUTE(TRIM(A68&amp;" / "&amp;B68),"أ","ا"),"إ","ا"),"آ","ا"),"ة","ه"),"ى","ي"),"ـ",""))</f>
        <v/>
      </c>
    </row>
    <row r="69" customFormat="false" ht="15" hidden="false" customHeight="false" outlineLevel="0" collapsed="false">
      <c r="A69" s="8"/>
      <c r="B69" s="8"/>
      <c r="C69" s="0" t="str">
        <f aca="false">IF(A69="","",SUBSTITUTE(SUBSTITUTE(SUBSTITUTE(SUBSTITUTE(SUBSTITUTE(SUBSTITUTE(TRIM(A69),"أ","ا"),"إ","ا"),"آ","ا"),"ة","ه"),"ى","ي"),"ـ",""))</f>
        <v/>
      </c>
      <c r="D69" s="0" t="str">
        <f aca="false">IF(A69="","",SUBSTITUTE(SUBSTITUTE(SUBSTITUTE(SUBSTITUTE(SUBSTITUTE(SUBSTITUTE(TRIM(A69&amp;" / "&amp;B69),"أ","ا"),"إ","ا"),"آ","ا"),"ة","ه"),"ى","ي"),"ـ",""))</f>
        <v/>
      </c>
    </row>
    <row r="70" customFormat="false" ht="15" hidden="false" customHeight="false" outlineLevel="0" collapsed="false">
      <c r="A70" s="8"/>
      <c r="B70" s="8"/>
      <c r="C70" s="0" t="str">
        <f aca="false">IF(A70="","",SUBSTITUTE(SUBSTITUTE(SUBSTITUTE(SUBSTITUTE(SUBSTITUTE(SUBSTITUTE(TRIM(A70),"أ","ا"),"إ","ا"),"آ","ا"),"ة","ه"),"ى","ي"),"ـ",""))</f>
        <v/>
      </c>
      <c r="D70" s="0" t="str">
        <f aca="false">IF(A70="","",SUBSTITUTE(SUBSTITUTE(SUBSTITUTE(SUBSTITUTE(SUBSTITUTE(SUBSTITUTE(TRIM(A70&amp;" / "&amp;B70),"أ","ا"),"إ","ا"),"آ","ا"),"ة","ه"),"ى","ي"),"ـ",""))</f>
        <v/>
      </c>
    </row>
    <row r="71" customFormat="false" ht="15" hidden="false" customHeight="false" outlineLevel="0" collapsed="false">
      <c r="A71" s="8"/>
      <c r="B71" s="8"/>
      <c r="C71" s="0" t="str">
        <f aca="false">IF(A71="","",SUBSTITUTE(SUBSTITUTE(SUBSTITUTE(SUBSTITUTE(SUBSTITUTE(SUBSTITUTE(TRIM(A71),"أ","ا"),"إ","ا"),"آ","ا"),"ة","ه"),"ى","ي"),"ـ",""))</f>
        <v/>
      </c>
      <c r="D71" s="0" t="str">
        <f aca="false">IF(A71="","",SUBSTITUTE(SUBSTITUTE(SUBSTITUTE(SUBSTITUTE(SUBSTITUTE(SUBSTITUTE(TRIM(A71&amp;" / "&amp;B71),"أ","ا"),"إ","ا"),"آ","ا"),"ة","ه"),"ى","ي"),"ـ",""))</f>
        <v/>
      </c>
    </row>
    <row r="72" customFormat="false" ht="15" hidden="false" customHeight="false" outlineLevel="0" collapsed="false">
      <c r="A72" s="8"/>
      <c r="B72" s="8"/>
      <c r="C72" s="0" t="str">
        <f aca="false">IF(A72="","",SUBSTITUTE(SUBSTITUTE(SUBSTITUTE(SUBSTITUTE(SUBSTITUTE(SUBSTITUTE(TRIM(A72),"أ","ا"),"إ","ا"),"آ","ا"),"ة","ه"),"ى","ي"),"ـ",""))</f>
        <v/>
      </c>
      <c r="D72" s="0" t="str">
        <f aca="false">IF(A72="","",SUBSTITUTE(SUBSTITUTE(SUBSTITUTE(SUBSTITUTE(SUBSTITUTE(SUBSTITUTE(TRIM(A72&amp;" / "&amp;B72),"أ","ا"),"إ","ا"),"آ","ا"),"ة","ه"),"ى","ي"),"ـ",""))</f>
        <v/>
      </c>
    </row>
    <row r="73" customFormat="false" ht="15" hidden="false" customHeight="false" outlineLevel="0" collapsed="false">
      <c r="A73" s="8"/>
      <c r="B73" s="8"/>
      <c r="C73" s="0" t="str">
        <f aca="false">IF(A73="","",SUBSTITUTE(SUBSTITUTE(SUBSTITUTE(SUBSTITUTE(SUBSTITUTE(SUBSTITUTE(TRIM(A73),"أ","ا"),"إ","ا"),"آ","ا"),"ة","ه"),"ى","ي"),"ـ",""))</f>
        <v/>
      </c>
      <c r="D73" s="0" t="str">
        <f aca="false">IF(A73="","",SUBSTITUTE(SUBSTITUTE(SUBSTITUTE(SUBSTITUTE(SUBSTITUTE(SUBSTITUTE(TRIM(A73&amp;" / "&amp;B73),"أ","ا"),"إ","ا"),"آ","ا"),"ة","ه"),"ى","ي"),"ـ",""))</f>
        <v/>
      </c>
    </row>
    <row r="74" customFormat="false" ht="15" hidden="false" customHeight="false" outlineLevel="0" collapsed="false">
      <c r="A74" s="8"/>
      <c r="B74" s="8"/>
      <c r="C74" s="0" t="str">
        <f aca="false">IF(A74="","",SUBSTITUTE(SUBSTITUTE(SUBSTITUTE(SUBSTITUTE(SUBSTITUTE(SUBSTITUTE(TRIM(A74),"أ","ا"),"إ","ا"),"آ","ا"),"ة","ه"),"ى","ي"),"ـ",""))</f>
        <v/>
      </c>
      <c r="D74" s="0" t="str">
        <f aca="false">IF(A74="","",SUBSTITUTE(SUBSTITUTE(SUBSTITUTE(SUBSTITUTE(SUBSTITUTE(SUBSTITUTE(TRIM(A74&amp;" / "&amp;B74),"أ","ا"),"إ","ا"),"آ","ا"),"ة","ه"),"ى","ي"),"ـ",""))</f>
        <v/>
      </c>
    </row>
    <row r="75" customFormat="false" ht="15" hidden="false" customHeight="false" outlineLevel="0" collapsed="false">
      <c r="A75" s="8"/>
      <c r="B75" s="8"/>
      <c r="C75" s="0" t="str">
        <f aca="false">IF(A75="","",SUBSTITUTE(SUBSTITUTE(SUBSTITUTE(SUBSTITUTE(SUBSTITUTE(SUBSTITUTE(TRIM(A75),"أ","ا"),"إ","ا"),"آ","ا"),"ة","ه"),"ى","ي"),"ـ",""))</f>
        <v/>
      </c>
      <c r="D75" s="0" t="str">
        <f aca="false">IF(A75="","",SUBSTITUTE(SUBSTITUTE(SUBSTITUTE(SUBSTITUTE(SUBSTITUTE(SUBSTITUTE(TRIM(A75&amp;" / "&amp;B75),"أ","ا"),"إ","ا"),"آ","ا"),"ة","ه"),"ى","ي"),"ـ",""))</f>
        <v/>
      </c>
    </row>
    <row r="76" customFormat="false" ht="15" hidden="false" customHeight="false" outlineLevel="0" collapsed="false">
      <c r="A76" s="8"/>
      <c r="B76" s="8"/>
      <c r="C76" s="0" t="str">
        <f aca="false">IF(A76="","",SUBSTITUTE(SUBSTITUTE(SUBSTITUTE(SUBSTITUTE(SUBSTITUTE(SUBSTITUTE(TRIM(A76),"أ","ا"),"إ","ا"),"آ","ا"),"ة","ه"),"ى","ي"),"ـ",""))</f>
        <v/>
      </c>
      <c r="D76" s="0" t="str">
        <f aca="false">IF(A76="","",SUBSTITUTE(SUBSTITUTE(SUBSTITUTE(SUBSTITUTE(SUBSTITUTE(SUBSTITUTE(TRIM(A76&amp;" / "&amp;B76),"أ","ا"),"إ","ا"),"آ","ا"),"ة","ه"),"ى","ي"),"ـ",""))</f>
        <v/>
      </c>
    </row>
    <row r="77" customFormat="false" ht="15" hidden="false" customHeight="false" outlineLevel="0" collapsed="false">
      <c r="A77" s="8"/>
      <c r="B77" s="8"/>
      <c r="C77" s="0" t="str">
        <f aca="false">IF(A77="","",SUBSTITUTE(SUBSTITUTE(SUBSTITUTE(SUBSTITUTE(SUBSTITUTE(SUBSTITUTE(TRIM(A77),"أ","ا"),"إ","ا"),"آ","ا"),"ة","ه"),"ى","ي"),"ـ",""))</f>
        <v/>
      </c>
      <c r="D77" s="0" t="str">
        <f aca="false">IF(A77="","",SUBSTITUTE(SUBSTITUTE(SUBSTITUTE(SUBSTITUTE(SUBSTITUTE(SUBSTITUTE(TRIM(A77&amp;" / "&amp;B77),"أ","ا"),"إ","ا"),"آ","ا"),"ة","ه"),"ى","ي"),"ـ",""))</f>
        <v/>
      </c>
    </row>
    <row r="78" customFormat="false" ht="15" hidden="false" customHeight="false" outlineLevel="0" collapsed="false">
      <c r="A78" s="8"/>
      <c r="B78" s="8"/>
      <c r="C78" s="0" t="str">
        <f aca="false">IF(A78="","",SUBSTITUTE(SUBSTITUTE(SUBSTITUTE(SUBSTITUTE(SUBSTITUTE(SUBSTITUTE(TRIM(A78),"أ","ا"),"إ","ا"),"آ","ا"),"ة","ه"),"ى","ي"),"ـ",""))</f>
        <v/>
      </c>
      <c r="D78" s="0" t="str">
        <f aca="false">IF(A78="","",SUBSTITUTE(SUBSTITUTE(SUBSTITUTE(SUBSTITUTE(SUBSTITUTE(SUBSTITUTE(TRIM(A78&amp;" / "&amp;B78),"أ","ا"),"إ","ا"),"آ","ا"),"ة","ه"),"ى","ي"),"ـ",""))</f>
        <v/>
      </c>
    </row>
    <row r="79" customFormat="false" ht="15" hidden="false" customHeight="false" outlineLevel="0" collapsed="false">
      <c r="A79" s="8"/>
      <c r="B79" s="8"/>
      <c r="C79" s="0" t="str">
        <f aca="false">IF(A79="","",SUBSTITUTE(SUBSTITUTE(SUBSTITUTE(SUBSTITUTE(SUBSTITUTE(SUBSTITUTE(TRIM(A79),"أ","ا"),"إ","ا"),"آ","ا"),"ة","ه"),"ى","ي"),"ـ",""))</f>
        <v/>
      </c>
      <c r="D79" s="0" t="str">
        <f aca="false">IF(A79="","",SUBSTITUTE(SUBSTITUTE(SUBSTITUTE(SUBSTITUTE(SUBSTITUTE(SUBSTITUTE(TRIM(A79&amp;" / "&amp;B79),"أ","ا"),"إ","ا"),"آ","ا"),"ة","ه"),"ى","ي"),"ـ",""))</f>
        <v/>
      </c>
    </row>
    <row r="80" customFormat="false" ht="15" hidden="false" customHeight="false" outlineLevel="0" collapsed="false">
      <c r="A80" s="8"/>
      <c r="B80" s="8"/>
      <c r="C80" s="0" t="str">
        <f aca="false">IF(A80="","",SUBSTITUTE(SUBSTITUTE(SUBSTITUTE(SUBSTITUTE(SUBSTITUTE(SUBSTITUTE(TRIM(A80),"أ","ا"),"إ","ا"),"آ","ا"),"ة","ه"),"ى","ي"),"ـ",""))</f>
        <v/>
      </c>
      <c r="D80" s="0" t="str">
        <f aca="false">IF(A80="","",SUBSTITUTE(SUBSTITUTE(SUBSTITUTE(SUBSTITUTE(SUBSTITUTE(SUBSTITUTE(TRIM(A80&amp;" / "&amp;B80),"أ","ا"),"إ","ا"),"آ","ا"),"ة","ه"),"ى","ي"),"ـ",""))</f>
        <v/>
      </c>
    </row>
    <row r="81" customFormat="false" ht="15" hidden="false" customHeight="false" outlineLevel="0" collapsed="false">
      <c r="A81" s="8"/>
      <c r="B81" s="8"/>
      <c r="C81" s="0" t="str">
        <f aca="false">IF(A81="","",SUBSTITUTE(SUBSTITUTE(SUBSTITUTE(SUBSTITUTE(SUBSTITUTE(SUBSTITUTE(TRIM(A81),"أ","ا"),"إ","ا"),"آ","ا"),"ة","ه"),"ى","ي"),"ـ",""))</f>
        <v/>
      </c>
      <c r="D81" s="0" t="str">
        <f aca="false">IF(A81="","",SUBSTITUTE(SUBSTITUTE(SUBSTITUTE(SUBSTITUTE(SUBSTITUTE(SUBSTITUTE(TRIM(A81&amp;" / "&amp;B81),"أ","ا"),"إ","ا"),"آ","ا"),"ة","ه"),"ى","ي"),"ـ",""))</f>
        <v/>
      </c>
    </row>
    <row r="82" customFormat="false" ht="15" hidden="false" customHeight="false" outlineLevel="0" collapsed="false">
      <c r="A82" s="8"/>
      <c r="B82" s="8"/>
      <c r="C82" s="0" t="str">
        <f aca="false">IF(A82="","",SUBSTITUTE(SUBSTITUTE(SUBSTITUTE(SUBSTITUTE(SUBSTITUTE(SUBSTITUTE(TRIM(A82),"أ","ا"),"إ","ا"),"آ","ا"),"ة","ه"),"ى","ي"),"ـ",""))</f>
        <v/>
      </c>
      <c r="D82" s="0" t="str">
        <f aca="false">IF(A82="","",SUBSTITUTE(SUBSTITUTE(SUBSTITUTE(SUBSTITUTE(SUBSTITUTE(SUBSTITUTE(TRIM(A82&amp;" / "&amp;B82),"أ","ا"),"إ","ا"),"آ","ا"),"ة","ه"),"ى","ي"),"ـ",""))</f>
        <v/>
      </c>
    </row>
    <row r="83" customFormat="false" ht="15" hidden="false" customHeight="false" outlineLevel="0" collapsed="false">
      <c r="A83" s="8"/>
      <c r="B83" s="8"/>
      <c r="C83" s="0" t="str">
        <f aca="false">IF(A83="","",SUBSTITUTE(SUBSTITUTE(SUBSTITUTE(SUBSTITUTE(SUBSTITUTE(SUBSTITUTE(TRIM(A83),"أ","ا"),"إ","ا"),"آ","ا"),"ة","ه"),"ى","ي"),"ـ",""))</f>
        <v/>
      </c>
      <c r="D83" s="0" t="str">
        <f aca="false">IF(A83="","",SUBSTITUTE(SUBSTITUTE(SUBSTITUTE(SUBSTITUTE(SUBSTITUTE(SUBSTITUTE(TRIM(A83&amp;" / "&amp;B83),"أ","ا"),"إ","ا"),"آ","ا"),"ة","ه"),"ى","ي"),"ـ",""))</f>
        <v/>
      </c>
    </row>
    <row r="84" customFormat="false" ht="15" hidden="false" customHeight="false" outlineLevel="0" collapsed="false">
      <c r="A84" s="8"/>
      <c r="B84" s="8"/>
      <c r="C84" s="0" t="str">
        <f aca="false">IF(A84="","",SUBSTITUTE(SUBSTITUTE(SUBSTITUTE(SUBSTITUTE(SUBSTITUTE(SUBSTITUTE(TRIM(A84),"أ","ا"),"إ","ا"),"آ","ا"),"ة","ه"),"ى","ي"),"ـ",""))</f>
        <v/>
      </c>
      <c r="D84" s="0" t="str">
        <f aca="false">IF(A84="","",SUBSTITUTE(SUBSTITUTE(SUBSTITUTE(SUBSTITUTE(SUBSTITUTE(SUBSTITUTE(TRIM(A84&amp;" / "&amp;B84),"أ","ا"),"إ","ا"),"آ","ا"),"ة","ه"),"ى","ي"),"ـ",""))</f>
        <v/>
      </c>
    </row>
    <row r="85" customFormat="false" ht="15" hidden="false" customHeight="false" outlineLevel="0" collapsed="false">
      <c r="A85" s="8"/>
      <c r="B85" s="8"/>
      <c r="C85" s="0" t="str">
        <f aca="false">IF(A85="","",SUBSTITUTE(SUBSTITUTE(SUBSTITUTE(SUBSTITUTE(SUBSTITUTE(SUBSTITUTE(TRIM(A85),"أ","ا"),"إ","ا"),"آ","ا"),"ة","ه"),"ى","ي"),"ـ",""))</f>
        <v/>
      </c>
      <c r="D85" s="0" t="str">
        <f aca="false">IF(A85="","",SUBSTITUTE(SUBSTITUTE(SUBSTITUTE(SUBSTITUTE(SUBSTITUTE(SUBSTITUTE(TRIM(A85&amp;" / "&amp;B85),"أ","ا"),"إ","ا"),"آ","ا"),"ة","ه"),"ى","ي"),"ـ",""))</f>
        <v/>
      </c>
    </row>
    <row r="86" customFormat="false" ht="15" hidden="false" customHeight="false" outlineLevel="0" collapsed="false">
      <c r="A86" s="8"/>
      <c r="B86" s="8"/>
      <c r="C86" s="0" t="str">
        <f aca="false">IF(A86="","",SUBSTITUTE(SUBSTITUTE(SUBSTITUTE(SUBSTITUTE(SUBSTITUTE(SUBSTITUTE(TRIM(A86),"أ","ا"),"إ","ا"),"آ","ا"),"ة","ه"),"ى","ي"),"ـ",""))</f>
        <v/>
      </c>
      <c r="D86" s="0" t="str">
        <f aca="false">IF(A86="","",SUBSTITUTE(SUBSTITUTE(SUBSTITUTE(SUBSTITUTE(SUBSTITUTE(SUBSTITUTE(TRIM(A86&amp;" / "&amp;B86),"أ","ا"),"إ","ا"),"آ","ا"),"ة","ه"),"ى","ي"),"ـ",""))</f>
        <v/>
      </c>
    </row>
    <row r="87" customFormat="false" ht="15" hidden="false" customHeight="false" outlineLevel="0" collapsed="false">
      <c r="A87" s="8"/>
      <c r="B87" s="8"/>
      <c r="C87" s="0" t="str">
        <f aca="false">IF(A87="","",SUBSTITUTE(SUBSTITUTE(SUBSTITUTE(SUBSTITUTE(SUBSTITUTE(SUBSTITUTE(TRIM(A87),"أ","ا"),"إ","ا"),"آ","ا"),"ة","ه"),"ى","ي"),"ـ",""))</f>
        <v/>
      </c>
      <c r="D87" s="0" t="str">
        <f aca="false">IF(A87="","",SUBSTITUTE(SUBSTITUTE(SUBSTITUTE(SUBSTITUTE(SUBSTITUTE(SUBSTITUTE(TRIM(A87&amp;" / "&amp;B87),"أ","ا"),"إ","ا"),"آ","ا"),"ة","ه"),"ى","ي"),"ـ",""))</f>
        <v/>
      </c>
    </row>
    <row r="88" customFormat="false" ht="15" hidden="false" customHeight="false" outlineLevel="0" collapsed="false">
      <c r="A88" s="8"/>
      <c r="B88" s="8"/>
      <c r="C88" s="0" t="str">
        <f aca="false">IF(A88="","",SUBSTITUTE(SUBSTITUTE(SUBSTITUTE(SUBSTITUTE(SUBSTITUTE(SUBSTITUTE(TRIM(A88),"أ","ا"),"إ","ا"),"آ","ا"),"ة","ه"),"ى","ي"),"ـ",""))</f>
        <v/>
      </c>
      <c r="D88" s="0" t="str">
        <f aca="false">IF(A88="","",SUBSTITUTE(SUBSTITUTE(SUBSTITUTE(SUBSTITUTE(SUBSTITUTE(SUBSTITUTE(TRIM(A88&amp;" / "&amp;B88),"أ","ا"),"إ","ا"),"آ","ا"),"ة","ه"),"ى","ي"),"ـ",""))</f>
        <v/>
      </c>
    </row>
    <row r="89" customFormat="false" ht="15" hidden="false" customHeight="false" outlineLevel="0" collapsed="false">
      <c r="A89" s="8"/>
      <c r="B89" s="8"/>
      <c r="C89" s="0" t="str">
        <f aca="false">IF(A89="","",SUBSTITUTE(SUBSTITUTE(SUBSTITUTE(SUBSTITUTE(SUBSTITUTE(SUBSTITUTE(TRIM(A89),"أ","ا"),"إ","ا"),"آ","ا"),"ة","ه"),"ى","ي"),"ـ",""))</f>
        <v/>
      </c>
      <c r="D89" s="0" t="str">
        <f aca="false">IF(A89="","",SUBSTITUTE(SUBSTITUTE(SUBSTITUTE(SUBSTITUTE(SUBSTITUTE(SUBSTITUTE(TRIM(A89&amp;" / "&amp;B89),"أ","ا"),"إ","ا"),"آ","ا"),"ة","ه"),"ى","ي"),"ـ",""))</f>
        <v/>
      </c>
    </row>
    <row r="90" customFormat="false" ht="15" hidden="false" customHeight="false" outlineLevel="0" collapsed="false">
      <c r="A90" s="8"/>
      <c r="B90" s="8"/>
      <c r="C90" s="0" t="str">
        <f aca="false">IF(A90="","",SUBSTITUTE(SUBSTITUTE(SUBSTITUTE(SUBSTITUTE(SUBSTITUTE(SUBSTITUTE(TRIM(A90),"أ","ا"),"إ","ا"),"آ","ا"),"ة","ه"),"ى","ي"),"ـ",""))</f>
        <v/>
      </c>
      <c r="D90" s="0" t="str">
        <f aca="false">IF(A90="","",SUBSTITUTE(SUBSTITUTE(SUBSTITUTE(SUBSTITUTE(SUBSTITUTE(SUBSTITUTE(TRIM(A90&amp;" / "&amp;B90),"أ","ا"),"إ","ا"),"آ","ا"),"ة","ه"),"ى","ي"),"ـ",""))</f>
        <v/>
      </c>
    </row>
    <row r="91" customFormat="false" ht="15" hidden="false" customHeight="false" outlineLevel="0" collapsed="false">
      <c r="A91" s="8"/>
      <c r="B91" s="8"/>
      <c r="C91" s="0" t="str">
        <f aca="false">IF(A91="","",SUBSTITUTE(SUBSTITUTE(SUBSTITUTE(SUBSTITUTE(SUBSTITUTE(SUBSTITUTE(TRIM(A91),"أ","ا"),"إ","ا"),"آ","ا"),"ة","ه"),"ى","ي"),"ـ",""))</f>
        <v/>
      </c>
      <c r="D91" s="0" t="str">
        <f aca="false">IF(A91="","",SUBSTITUTE(SUBSTITUTE(SUBSTITUTE(SUBSTITUTE(SUBSTITUTE(SUBSTITUTE(TRIM(A91&amp;" / "&amp;B91),"أ","ا"),"إ","ا"),"آ","ا"),"ة","ه"),"ى","ي"),"ـ",""))</f>
        <v/>
      </c>
    </row>
    <row r="92" customFormat="false" ht="15" hidden="false" customHeight="false" outlineLevel="0" collapsed="false">
      <c r="A92" s="8"/>
      <c r="B92" s="8"/>
      <c r="C92" s="0" t="str">
        <f aca="false">IF(A92="","",SUBSTITUTE(SUBSTITUTE(SUBSTITUTE(SUBSTITUTE(SUBSTITUTE(SUBSTITUTE(TRIM(A92),"أ","ا"),"إ","ا"),"آ","ا"),"ة","ه"),"ى","ي"),"ـ",""))</f>
        <v/>
      </c>
      <c r="D92" s="0" t="str">
        <f aca="false">IF(A92="","",SUBSTITUTE(SUBSTITUTE(SUBSTITUTE(SUBSTITUTE(SUBSTITUTE(SUBSTITUTE(TRIM(A92&amp;" / "&amp;B92),"أ","ا"),"إ","ا"),"آ","ا"),"ة","ه"),"ى","ي"),"ـ",""))</f>
        <v/>
      </c>
    </row>
    <row r="93" customFormat="false" ht="15" hidden="false" customHeight="false" outlineLevel="0" collapsed="false">
      <c r="A93" s="8"/>
      <c r="B93" s="8"/>
      <c r="C93" s="0" t="str">
        <f aca="false">IF(A93="","",SUBSTITUTE(SUBSTITUTE(SUBSTITUTE(SUBSTITUTE(SUBSTITUTE(SUBSTITUTE(TRIM(A93),"أ","ا"),"إ","ا"),"آ","ا"),"ة","ه"),"ى","ي"),"ـ",""))</f>
        <v/>
      </c>
      <c r="D93" s="0" t="str">
        <f aca="false">IF(A93="","",SUBSTITUTE(SUBSTITUTE(SUBSTITUTE(SUBSTITUTE(SUBSTITUTE(SUBSTITUTE(TRIM(A93&amp;" / "&amp;B93),"أ","ا"),"إ","ا"),"آ","ا"),"ة","ه"),"ى","ي"),"ـ",""))</f>
        <v/>
      </c>
    </row>
    <row r="94" customFormat="false" ht="15" hidden="false" customHeight="false" outlineLevel="0" collapsed="false">
      <c r="A94" s="8"/>
      <c r="B94" s="8"/>
      <c r="C94" s="0" t="str">
        <f aca="false">IF(A94="","",SUBSTITUTE(SUBSTITUTE(SUBSTITUTE(SUBSTITUTE(SUBSTITUTE(SUBSTITUTE(TRIM(A94),"أ","ا"),"إ","ا"),"آ","ا"),"ة","ه"),"ى","ي"),"ـ",""))</f>
        <v/>
      </c>
      <c r="D94" s="0" t="str">
        <f aca="false">IF(A94="","",SUBSTITUTE(SUBSTITUTE(SUBSTITUTE(SUBSTITUTE(SUBSTITUTE(SUBSTITUTE(TRIM(A94&amp;" / "&amp;B94),"أ","ا"),"إ","ا"),"آ","ا"),"ة","ه"),"ى","ي"),"ـ",""))</f>
        <v/>
      </c>
    </row>
    <row r="95" customFormat="false" ht="15" hidden="false" customHeight="false" outlineLevel="0" collapsed="false">
      <c r="A95" s="8"/>
      <c r="B95" s="8"/>
      <c r="C95" s="0" t="str">
        <f aca="false">IF(A95="","",SUBSTITUTE(SUBSTITUTE(SUBSTITUTE(SUBSTITUTE(SUBSTITUTE(SUBSTITUTE(TRIM(A95),"أ","ا"),"إ","ا"),"آ","ا"),"ة","ه"),"ى","ي"),"ـ",""))</f>
        <v/>
      </c>
      <c r="D95" s="0" t="str">
        <f aca="false">IF(A95="","",SUBSTITUTE(SUBSTITUTE(SUBSTITUTE(SUBSTITUTE(SUBSTITUTE(SUBSTITUTE(TRIM(A95&amp;" / "&amp;B95),"أ","ا"),"إ","ا"),"آ","ا"),"ة","ه"),"ى","ي"),"ـ",""))</f>
        <v/>
      </c>
    </row>
    <row r="96" customFormat="false" ht="15" hidden="false" customHeight="false" outlineLevel="0" collapsed="false">
      <c r="A96" s="8"/>
      <c r="B96" s="8"/>
      <c r="C96" s="0" t="str">
        <f aca="false">IF(A96="","",SUBSTITUTE(SUBSTITUTE(SUBSTITUTE(SUBSTITUTE(SUBSTITUTE(SUBSTITUTE(TRIM(A96),"أ","ا"),"إ","ا"),"آ","ا"),"ة","ه"),"ى","ي"),"ـ",""))</f>
        <v/>
      </c>
      <c r="D96" s="0" t="str">
        <f aca="false">IF(A96="","",SUBSTITUTE(SUBSTITUTE(SUBSTITUTE(SUBSTITUTE(SUBSTITUTE(SUBSTITUTE(TRIM(A96&amp;" / "&amp;B96),"أ","ا"),"إ","ا"),"آ","ا"),"ة","ه"),"ى","ي"),"ـ",""))</f>
        <v/>
      </c>
    </row>
    <row r="97" customFormat="false" ht="15" hidden="false" customHeight="false" outlineLevel="0" collapsed="false">
      <c r="A97" s="8"/>
      <c r="B97" s="8"/>
      <c r="C97" s="0" t="str">
        <f aca="false">IF(A97="","",SUBSTITUTE(SUBSTITUTE(SUBSTITUTE(SUBSTITUTE(SUBSTITUTE(SUBSTITUTE(TRIM(A97),"أ","ا"),"إ","ا"),"آ","ا"),"ة","ه"),"ى","ي"),"ـ",""))</f>
        <v/>
      </c>
      <c r="D97" s="0" t="str">
        <f aca="false">IF(A97="","",SUBSTITUTE(SUBSTITUTE(SUBSTITUTE(SUBSTITUTE(SUBSTITUTE(SUBSTITUTE(TRIM(A97&amp;" / "&amp;B97),"أ","ا"),"إ","ا"),"آ","ا"),"ة","ه"),"ى","ي"),"ـ",""))</f>
        <v/>
      </c>
    </row>
    <row r="98" customFormat="false" ht="15" hidden="false" customHeight="false" outlineLevel="0" collapsed="false">
      <c r="A98" s="8"/>
      <c r="B98" s="8"/>
      <c r="C98" s="0" t="str">
        <f aca="false">IF(A98="","",SUBSTITUTE(SUBSTITUTE(SUBSTITUTE(SUBSTITUTE(SUBSTITUTE(SUBSTITUTE(TRIM(A98),"أ","ا"),"إ","ا"),"آ","ا"),"ة","ه"),"ى","ي"),"ـ",""))</f>
        <v/>
      </c>
      <c r="D98" s="0" t="str">
        <f aca="false">IF(A98="","",SUBSTITUTE(SUBSTITUTE(SUBSTITUTE(SUBSTITUTE(SUBSTITUTE(SUBSTITUTE(TRIM(A98&amp;" / "&amp;B98),"أ","ا"),"إ","ا"),"آ","ا"),"ة","ه"),"ى","ي"),"ـ",""))</f>
        <v/>
      </c>
    </row>
    <row r="99" customFormat="false" ht="15" hidden="false" customHeight="false" outlineLevel="0" collapsed="false">
      <c r="A99" s="8"/>
      <c r="B99" s="8"/>
      <c r="C99" s="0" t="str">
        <f aca="false">IF(A99="","",SUBSTITUTE(SUBSTITUTE(SUBSTITUTE(SUBSTITUTE(SUBSTITUTE(SUBSTITUTE(TRIM(A99),"أ","ا"),"إ","ا"),"آ","ا"),"ة","ه"),"ى","ي"),"ـ",""))</f>
        <v/>
      </c>
      <c r="D99" s="0" t="str">
        <f aca="false">IF(A99="","",SUBSTITUTE(SUBSTITUTE(SUBSTITUTE(SUBSTITUTE(SUBSTITUTE(SUBSTITUTE(TRIM(A99&amp;" / "&amp;B99),"أ","ا"),"إ","ا"),"آ","ا"),"ة","ه"),"ى","ي"),"ـ",""))</f>
        <v/>
      </c>
    </row>
    <row r="100" customFormat="false" ht="15" hidden="false" customHeight="false" outlineLevel="0" collapsed="false">
      <c r="A100" s="8"/>
      <c r="B100" s="8"/>
      <c r="C100" s="0" t="str">
        <f aca="false">IF(A100="","",SUBSTITUTE(SUBSTITUTE(SUBSTITUTE(SUBSTITUTE(SUBSTITUTE(SUBSTITUTE(TRIM(A100),"أ","ا"),"إ","ا"),"آ","ا"),"ة","ه"),"ى","ي"),"ـ",""))</f>
        <v/>
      </c>
      <c r="D100" s="0" t="str">
        <f aca="false">IF(A100="","",SUBSTITUTE(SUBSTITUTE(SUBSTITUTE(SUBSTITUTE(SUBSTITUTE(SUBSTITUTE(TRIM(A100&amp;" / "&amp;B100),"أ","ا"),"إ","ا"),"آ","ا"),"ة","ه"),"ى","ي"),"ـ",""))</f>
        <v/>
      </c>
    </row>
    <row r="101" customFormat="false" ht="15" hidden="false" customHeight="false" outlineLevel="0" collapsed="false">
      <c r="A101" s="8"/>
      <c r="B101" s="8"/>
      <c r="C101" s="0" t="str">
        <f aca="false">IF(A101="","",SUBSTITUTE(SUBSTITUTE(SUBSTITUTE(SUBSTITUTE(SUBSTITUTE(SUBSTITUTE(TRIM(A101),"أ","ا"),"إ","ا"),"آ","ا"),"ة","ه"),"ى","ي"),"ـ",""))</f>
        <v/>
      </c>
      <c r="D101" s="0" t="str">
        <f aca="false">IF(A101="","",SUBSTITUTE(SUBSTITUTE(SUBSTITUTE(SUBSTITUTE(SUBSTITUTE(SUBSTITUTE(TRIM(A101&amp;" / "&amp;B101),"أ","ا"),"إ","ا"),"آ","ا"),"ة","ه"),"ى","ي"),"ـ",""))</f>
        <v/>
      </c>
    </row>
    <row r="102" customFormat="false" ht="15" hidden="false" customHeight="false" outlineLevel="0" collapsed="false">
      <c r="A102" s="8"/>
      <c r="B102" s="8"/>
      <c r="C102" s="0" t="str">
        <f aca="false">IF(A102="","",SUBSTITUTE(SUBSTITUTE(SUBSTITUTE(SUBSTITUTE(SUBSTITUTE(SUBSTITUTE(TRIM(A102),"أ","ا"),"إ","ا"),"آ","ا"),"ة","ه"),"ى","ي"),"ـ",""))</f>
        <v/>
      </c>
      <c r="D102" s="0" t="str">
        <f aca="false">IF(A102="","",SUBSTITUTE(SUBSTITUTE(SUBSTITUTE(SUBSTITUTE(SUBSTITUTE(SUBSTITUTE(TRIM(A102&amp;" / "&amp;B102),"أ","ا"),"إ","ا"),"آ","ا"),"ة","ه"),"ى","ي"),"ـ",""))</f>
        <v/>
      </c>
    </row>
    <row r="103" customFormat="false" ht="15" hidden="false" customHeight="false" outlineLevel="0" collapsed="false">
      <c r="A103" s="8"/>
      <c r="B103" s="8"/>
      <c r="C103" s="0" t="str">
        <f aca="false">IF(A103="","",SUBSTITUTE(SUBSTITUTE(SUBSTITUTE(SUBSTITUTE(SUBSTITUTE(SUBSTITUTE(TRIM(A103),"أ","ا"),"إ","ا"),"آ","ا"),"ة","ه"),"ى","ي"),"ـ",""))</f>
        <v/>
      </c>
      <c r="D103" s="0" t="str">
        <f aca="false">IF(A103="","",SUBSTITUTE(SUBSTITUTE(SUBSTITUTE(SUBSTITUTE(SUBSTITUTE(SUBSTITUTE(TRIM(A103&amp;" / "&amp;B103),"أ","ا"),"إ","ا"),"آ","ا"),"ة","ه"),"ى","ي"),"ـ",""))</f>
        <v/>
      </c>
    </row>
    <row r="104" customFormat="false" ht="15" hidden="false" customHeight="false" outlineLevel="0" collapsed="false">
      <c r="A104" s="8"/>
      <c r="B104" s="8"/>
      <c r="C104" s="0" t="str">
        <f aca="false">IF(A104="","",SUBSTITUTE(SUBSTITUTE(SUBSTITUTE(SUBSTITUTE(SUBSTITUTE(SUBSTITUTE(TRIM(A104),"أ","ا"),"إ","ا"),"آ","ا"),"ة","ه"),"ى","ي"),"ـ",""))</f>
        <v/>
      </c>
      <c r="D104" s="0" t="str">
        <f aca="false">IF(A104="","",SUBSTITUTE(SUBSTITUTE(SUBSTITUTE(SUBSTITUTE(SUBSTITUTE(SUBSTITUTE(TRIM(A104&amp;" / "&amp;B104),"أ","ا"),"إ","ا"),"آ","ا"),"ة","ه"),"ى","ي"),"ـ",""))</f>
        <v/>
      </c>
    </row>
    <row r="105" customFormat="false" ht="15" hidden="false" customHeight="false" outlineLevel="0" collapsed="false">
      <c r="A105" s="8"/>
      <c r="B105" s="8"/>
      <c r="C105" s="0" t="str">
        <f aca="false">IF(A105="","",SUBSTITUTE(SUBSTITUTE(SUBSTITUTE(SUBSTITUTE(SUBSTITUTE(SUBSTITUTE(TRIM(A105),"أ","ا"),"إ","ا"),"آ","ا"),"ة","ه"),"ى","ي"),"ـ",""))</f>
        <v/>
      </c>
      <c r="D105" s="0" t="str">
        <f aca="false">IF(A105="","",SUBSTITUTE(SUBSTITUTE(SUBSTITUTE(SUBSTITUTE(SUBSTITUTE(SUBSTITUTE(TRIM(A105&amp;" / "&amp;B105),"أ","ا"),"إ","ا"),"آ","ا"),"ة","ه"),"ى","ي"),"ـ",""))</f>
        <v/>
      </c>
    </row>
    <row r="106" customFormat="false" ht="15" hidden="false" customHeight="false" outlineLevel="0" collapsed="false">
      <c r="A106" s="8"/>
      <c r="B106" s="8"/>
      <c r="C106" s="0" t="str">
        <f aca="false">IF(A106="","",SUBSTITUTE(SUBSTITUTE(SUBSTITUTE(SUBSTITUTE(SUBSTITUTE(SUBSTITUTE(TRIM(A106),"أ","ا"),"إ","ا"),"آ","ا"),"ة","ه"),"ى","ي"),"ـ",""))</f>
        <v/>
      </c>
      <c r="D106" s="0" t="str">
        <f aca="false">IF(A106="","",SUBSTITUTE(SUBSTITUTE(SUBSTITUTE(SUBSTITUTE(SUBSTITUTE(SUBSTITUTE(TRIM(A106&amp;" / "&amp;B106),"أ","ا"),"إ","ا"),"آ","ا"),"ة","ه"),"ى","ي"),"ـ",""))</f>
        <v/>
      </c>
    </row>
    <row r="107" customFormat="false" ht="15" hidden="false" customHeight="false" outlineLevel="0" collapsed="false">
      <c r="A107" s="8"/>
      <c r="B107" s="8"/>
      <c r="C107" s="0" t="str">
        <f aca="false">IF(A107="","",SUBSTITUTE(SUBSTITUTE(SUBSTITUTE(SUBSTITUTE(SUBSTITUTE(SUBSTITUTE(TRIM(A107),"أ","ا"),"إ","ا"),"آ","ا"),"ة","ه"),"ى","ي"),"ـ",""))</f>
        <v/>
      </c>
      <c r="D107" s="0" t="str">
        <f aca="false">IF(A107="","",SUBSTITUTE(SUBSTITUTE(SUBSTITUTE(SUBSTITUTE(SUBSTITUTE(SUBSTITUTE(TRIM(A107&amp;" / "&amp;B107),"أ","ا"),"إ","ا"),"آ","ا"),"ة","ه"),"ى","ي"),"ـ",""))</f>
        <v/>
      </c>
    </row>
    <row r="108" customFormat="false" ht="15" hidden="false" customHeight="false" outlineLevel="0" collapsed="false">
      <c r="A108" s="8"/>
      <c r="B108" s="8"/>
      <c r="C108" s="0" t="str">
        <f aca="false">IF(A108="","",SUBSTITUTE(SUBSTITUTE(SUBSTITUTE(SUBSTITUTE(SUBSTITUTE(SUBSTITUTE(TRIM(A108),"أ","ا"),"إ","ا"),"آ","ا"),"ة","ه"),"ى","ي"),"ـ",""))</f>
        <v/>
      </c>
      <c r="D108" s="0" t="str">
        <f aca="false">IF(A108="","",SUBSTITUTE(SUBSTITUTE(SUBSTITUTE(SUBSTITUTE(SUBSTITUTE(SUBSTITUTE(TRIM(A108&amp;" / "&amp;B108),"أ","ا"),"إ","ا"),"آ","ا"),"ة","ه"),"ى","ي"),"ـ",""))</f>
        <v/>
      </c>
    </row>
    <row r="109" customFormat="false" ht="15" hidden="false" customHeight="false" outlineLevel="0" collapsed="false">
      <c r="A109" s="8"/>
      <c r="B109" s="8"/>
      <c r="C109" s="0" t="str">
        <f aca="false">IF(A109="","",SUBSTITUTE(SUBSTITUTE(SUBSTITUTE(SUBSTITUTE(SUBSTITUTE(SUBSTITUTE(TRIM(A109),"أ","ا"),"إ","ا"),"آ","ا"),"ة","ه"),"ى","ي"),"ـ",""))</f>
        <v/>
      </c>
      <c r="D109" s="0" t="str">
        <f aca="false">IF(A109="","",SUBSTITUTE(SUBSTITUTE(SUBSTITUTE(SUBSTITUTE(SUBSTITUTE(SUBSTITUTE(TRIM(A109&amp;" / "&amp;B109),"أ","ا"),"إ","ا"),"آ","ا"),"ة","ه"),"ى","ي"),"ـ",""))</f>
        <v/>
      </c>
    </row>
    <row r="110" customFormat="false" ht="15" hidden="false" customHeight="false" outlineLevel="0" collapsed="false">
      <c r="A110" s="8"/>
      <c r="B110" s="8"/>
      <c r="C110" s="0" t="str">
        <f aca="false">IF(A110="","",SUBSTITUTE(SUBSTITUTE(SUBSTITUTE(SUBSTITUTE(SUBSTITUTE(SUBSTITUTE(TRIM(A110),"أ","ا"),"إ","ا"),"آ","ا"),"ة","ه"),"ى","ي"),"ـ",""))</f>
        <v/>
      </c>
      <c r="D110" s="0" t="str">
        <f aca="false">IF(A110="","",SUBSTITUTE(SUBSTITUTE(SUBSTITUTE(SUBSTITUTE(SUBSTITUTE(SUBSTITUTE(TRIM(A110&amp;" / "&amp;B110),"أ","ا"),"إ","ا"),"آ","ا"),"ة","ه"),"ى","ي"),"ـ",""))</f>
        <v/>
      </c>
    </row>
    <row r="111" customFormat="false" ht="15" hidden="false" customHeight="false" outlineLevel="0" collapsed="false">
      <c r="A111" s="8"/>
      <c r="B111" s="8"/>
      <c r="C111" s="0" t="str">
        <f aca="false">IF(A111="","",SUBSTITUTE(SUBSTITUTE(SUBSTITUTE(SUBSTITUTE(SUBSTITUTE(SUBSTITUTE(TRIM(A111),"أ","ا"),"إ","ا"),"آ","ا"),"ة","ه"),"ى","ي"),"ـ",""))</f>
        <v/>
      </c>
      <c r="D111" s="0" t="str">
        <f aca="false">IF(A111="","",SUBSTITUTE(SUBSTITUTE(SUBSTITUTE(SUBSTITUTE(SUBSTITUTE(SUBSTITUTE(TRIM(A111&amp;" / "&amp;B111),"أ","ا"),"إ","ا"),"آ","ا"),"ة","ه"),"ى","ي"),"ـ",""))</f>
        <v/>
      </c>
    </row>
    <row r="112" customFormat="false" ht="15" hidden="false" customHeight="false" outlineLevel="0" collapsed="false">
      <c r="A112" s="8"/>
      <c r="B112" s="8"/>
      <c r="C112" s="0" t="str">
        <f aca="false">IF(A112="","",SUBSTITUTE(SUBSTITUTE(SUBSTITUTE(SUBSTITUTE(SUBSTITUTE(SUBSTITUTE(TRIM(A112),"أ","ا"),"إ","ا"),"آ","ا"),"ة","ه"),"ى","ي"),"ـ",""))</f>
        <v/>
      </c>
      <c r="D112" s="0" t="str">
        <f aca="false">IF(A112="","",SUBSTITUTE(SUBSTITUTE(SUBSTITUTE(SUBSTITUTE(SUBSTITUTE(SUBSTITUTE(TRIM(A112&amp;" / "&amp;B112),"أ","ا"),"إ","ا"),"آ","ا"),"ة","ه"),"ى","ي"),"ـ",""))</f>
        <v/>
      </c>
    </row>
    <row r="113" customFormat="false" ht="15" hidden="false" customHeight="false" outlineLevel="0" collapsed="false">
      <c r="A113" s="8"/>
      <c r="B113" s="8"/>
      <c r="C113" s="0" t="str">
        <f aca="false">IF(A113="","",SUBSTITUTE(SUBSTITUTE(SUBSTITUTE(SUBSTITUTE(SUBSTITUTE(SUBSTITUTE(TRIM(A113),"أ","ا"),"إ","ا"),"آ","ا"),"ة","ه"),"ى","ي"),"ـ",""))</f>
        <v/>
      </c>
      <c r="D113" s="0" t="str">
        <f aca="false">IF(A113="","",SUBSTITUTE(SUBSTITUTE(SUBSTITUTE(SUBSTITUTE(SUBSTITUTE(SUBSTITUTE(TRIM(A113&amp;" / "&amp;B113),"أ","ا"),"إ","ا"),"آ","ا"),"ة","ه"),"ى","ي"),"ـ",""))</f>
        <v/>
      </c>
    </row>
    <row r="114" customFormat="false" ht="15" hidden="false" customHeight="false" outlineLevel="0" collapsed="false">
      <c r="A114" s="8"/>
      <c r="B114" s="8"/>
      <c r="C114" s="0" t="str">
        <f aca="false">IF(A114="","",SUBSTITUTE(SUBSTITUTE(SUBSTITUTE(SUBSTITUTE(SUBSTITUTE(SUBSTITUTE(TRIM(A114),"أ","ا"),"إ","ا"),"آ","ا"),"ة","ه"),"ى","ي"),"ـ",""))</f>
        <v/>
      </c>
      <c r="D114" s="0" t="str">
        <f aca="false">IF(A114="","",SUBSTITUTE(SUBSTITUTE(SUBSTITUTE(SUBSTITUTE(SUBSTITUTE(SUBSTITUTE(TRIM(A114&amp;" / "&amp;B114),"أ","ا"),"إ","ا"),"آ","ا"),"ة","ه"),"ى","ي"),"ـ",""))</f>
        <v/>
      </c>
    </row>
    <row r="115" customFormat="false" ht="15" hidden="false" customHeight="false" outlineLevel="0" collapsed="false">
      <c r="A115" s="8"/>
      <c r="B115" s="8"/>
      <c r="C115" s="0" t="str">
        <f aca="false">IF(A115="","",SUBSTITUTE(SUBSTITUTE(SUBSTITUTE(SUBSTITUTE(SUBSTITUTE(SUBSTITUTE(TRIM(A115),"أ","ا"),"إ","ا"),"آ","ا"),"ة","ه"),"ى","ي"),"ـ",""))</f>
        <v/>
      </c>
      <c r="D115" s="0" t="str">
        <f aca="false">IF(A115="","",SUBSTITUTE(SUBSTITUTE(SUBSTITUTE(SUBSTITUTE(SUBSTITUTE(SUBSTITUTE(TRIM(A115&amp;" / "&amp;B115),"أ","ا"),"إ","ا"),"آ","ا"),"ة","ه"),"ى","ي"),"ـ",""))</f>
        <v/>
      </c>
    </row>
    <row r="116" customFormat="false" ht="15" hidden="false" customHeight="false" outlineLevel="0" collapsed="false">
      <c r="A116" s="8"/>
      <c r="B116" s="8"/>
      <c r="C116" s="0" t="str">
        <f aca="false">IF(A116="","",SUBSTITUTE(SUBSTITUTE(SUBSTITUTE(SUBSTITUTE(SUBSTITUTE(SUBSTITUTE(TRIM(A116),"أ","ا"),"إ","ا"),"آ","ا"),"ة","ه"),"ى","ي"),"ـ",""))</f>
        <v/>
      </c>
      <c r="D116" s="0" t="str">
        <f aca="false">IF(A116="","",SUBSTITUTE(SUBSTITUTE(SUBSTITUTE(SUBSTITUTE(SUBSTITUTE(SUBSTITUTE(TRIM(A116&amp;" / "&amp;B116),"أ","ا"),"إ","ا"),"آ","ا"),"ة","ه"),"ى","ي"),"ـ",""))</f>
        <v/>
      </c>
    </row>
    <row r="117" customFormat="false" ht="15" hidden="false" customHeight="false" outlineLevel="0" collapsed="false">
      <c r="A117" s="8"/>
      <c r="B117" s="8"/>
      <c r="C117" s="0" t="str">
        <f aca="false">IF(A117="","",SUBSTITUTE(SUBSTITUTE(SUBSTITUTE(SUBSTITUTE(SUBSTITUTE(SUBSTITUTE(TRIM(A117),"أ","ا"),"إ","ا"),"آ","ا"),"ة","ه"),"ى","ي"),"ـ",""))</f>
        <v/>
      </c>
      <c r="D117" s="0" t="str">
        <f aca="false">IF(A117="","",SUBSTITUTE(SUBSTITUTE(SUBSTITUTE(SUBSTITUTE(SUBSTITUTE(SUBSTITUTE(TRIM(A117&amp;" / "&amp;B117),"أ","ا"),"إ","ا"),"آ","ا"),"ة","ه"),"ى","ي"),"ـ",""))</f>
        <v/>
      </c>
    </row>
    <row r="118" customFormat="false" ht="15" hidden="false" customHeight="false" outlineLevel="0" collapsed="false">
      <c r="A118" s="8"/>
      <c r="B118" s="8"/>
      <c r="C118" s="0" t="str">
        <f aca="false">IF(A118="","",SUBSTITUTE(SUBSTITUTE(SUBSTITUTE(SUBSTITUTE(SUBSTITUTE(SUBSTITUTE(TRIM(A118),"أ","ا"),"إ","ا"),"آ","ا"),"ة","ه"),"ى","ي"),"ـ",""))</f>
        <v/>
      </c>
      <c r="D118" s="0" t="str">
        <f aca="false">IF(A118="","",SUBSTITUTE(SUBSTITUTE(SUBSTITUTE(SUBSTITUTE(SUBSTITUTE(SUBSTITUTE(TRIM(A118&amp;" / "&amp;B118),"أ","ا"),"إ","ا"),"آ","ا"),"ة","ه"),"ى","ي"),"ـ",""))</f>
        <v/>
      </c>
    </row>
    <row r="119" customFormat="false" ht="15" hidden="false" customHeight="false" outlineLevel="0" collapsed="false">
      <c r="A119" s="8"/>
      <c r="B119" s="8"/>
      <c r="C119" s="0" t="str">
        <f aca="false">IF(A119="","",SUBSTITUTE(SUBSTITUTE(SUBSTITUTE(SUBSTITUTE(SUBSTITUTE(SUBSTITUTE(TRIM(A119),"أ","ا"),"إ","ا"),"آ","ا"),"ة","ه"),"ى","ي"),"ـ",""))</f>
        <v/>
      </c>
      <c r="D119" s="0" t="str">
        <f aca="false">IF(A119="","",SUBSTITUTE(SUBSTITUTE(SUBSTITUTE(SUBSTITUTE(SUBSTITUTE(SUBSTITUTE(TRIM(A119&amp;" / "&amp;B119),"أ","ا"),"إ","ا"),"آ","ا"),"ة","ه"),"ى","ي"),"ـ",""))</f>
        <v/>
      </c>
    </row>
    <row r="120" customFormat="false" ht="15" hidden="false" customHeight="false" outlineLevel="0" collapsed="false">
      <c r="A120" s="8"/>
      <c r="B120" s="8"/>
      <c r="C120" s="0" t="str">
        <f aca="false">IF(A120="","",SUBSTITUTE(SUBSTITUTE(SUBSTITUTE(SUBSTITUTE(SUBSTITUTE(SUBSTITUTE(TRIM(A120),"أ","ا"),"إ","ا"),"آ","ا"),"ة","ه"),"ى","ي"),"ـ",""))</f>
        <v/>
      </c>
      <c r="D120" s="0" t="str">
        <f aca="false">IF(A120="","",SUBSTITUTE(SUBSTITUTE(SUBSTITUTE(SUBSTITUTE(SUBSTITUTE(SUBSTITUTE(TRIM(A120&amp;" / "&amp;B120),"أ","ا"),"إ","ا"),"آ","ا"),"ة","ه"),"ى","ي"),"ـ",""))</f>
        <v/>
      </c>
    </row>
    <row r="121" customFormat="false" ht="15" hidden="false" customHeight="false" outlineLevel="0" collapsed="false">
      <c r="A121" s="8"/>
      <c r="B121" s="8"/>
      <c r="C121" s="0" t="str">
        <f aca="false">IF(A121="","",SUBSTITUTE(SUBSTITUTE(SUBSTITUTE(SUBSTITUTE(SUBSTITUTE(SUBSTITUTE(TRIM(A121),"أ","ا"),"إ","ا"),"آ","ا"),"ة","ه"),"ى","ي"),"ـ",""))</f>
        <v/>
      </c>
      <c r="D121" s="0" t="str">
        <f aca="false">IF(A121="","",SUBSTITUTE(SUBSTITUTE(SUBSTITUTE(SUBSTITUTE(SUBSTITUTE(SUBSTITUTE(TRIM(A121&amp;" / "&amp;B121),"أ","ا"),"إ","ا"),"آ","ا"),"ة","ه"),"ى","ي"),"ـ",""))</f>
        <v/>
      </c>
    </row>
    <row r="122" customFormat="false" ht="15" hidden="false" customHeight="false" outlineLevel="0" collapsed="false">
      <c r="A122" s="8"/>
      <c r="B122" s="8"/>
      <c r="C122" s="0" t="str">
        <f aca="false">IF(A122="","",SUBSTITUTE(SUBSTITUTE(SUBSTITUTE(SUBSTITUTE(SUBSTITUTE(SUBSTITUTE(TRIM(A122),"أ","ا"),"إ","ا"),"آ","ا"),"ة","ه"),"ى","ي"),"ـ",""))</f>
        <v/>
      </c>
      <c r="D122" s="0" t="str">
        <f aca="false">IF(A122="","",SUBSTITUTE(SUBSTITUTE(SUBSTITUTE(SUBSTITUTE(SUBSTITUTE(SUBSTITUTE(TRIM(A122&amp;" / "&amp;B122),"أ","ا"),"إ","ا"),"آ","ا"),"ة","ه"),"ى","ي"),"ـ",""))</f>
        <v/>
      </c>
    </row>
    <row r="123" customFormat="false" ht="15" hidden="false" customHeight="false" outlineLevel="0" collapsed="false">
      <c r="A123" s="8"/>
      <c r="B123" s="8"/>
      <c r="C123" s="0" t="str">
        <f aca="false">IF(A123="","",SUBSTITUTE(SUBSTITUTE(SUBSTITUTE(SUBSTITUTE(SUBSTITUTE(SUBSTITUTE(TRIM(A123),"أ","ا"),"إ","ا"),"آ","ا"),"ة","ه"),"ى","ي"),"ـ",""))</f>
        <v/>
      </c>
      <c r="D123" s="0" t="str">
        <f aca="false">IF(A123="","",SUBSTITUTE(SUBSTITUTE(SUBSTITUTE(SUBSTITUTE(SUBSTITUTE(SUBSTITUTE(TRIM(A123&amp;" / "&amp;B123),"أ","ا"),"إ","ا"),"آ","ا"),"ة","ه"),"ى","ي"),"ـ",""))</f>
        <v/>
      </c>
    </row>
    <row r="124" customFormat="false" ht="15" hidden="false" customHeight="false" outlineLevel="0" collapsed="false">
      <c r="A124" s="8"/>
      <c r="B124" s="8"/>
      <c r="C124" s="0" t="str">
        <f aca="false">IF(A124="","",SUBSTITUTE(SUBSTITUTE(SUBSTITUTE(SUBSTITUTE(SUBSTITUTE(SUBSTITUTE(TRIM(A124),"أ","ا"),"إ","ا"),"آ","ا"),"ة","ه"),"ى","ي"),"ـ",""))</f>
        <v/>
      </c>
      <c r="D124" s="0" t="str">
        <f aca="false">IF(A124="","",SUBSTITUTE(SUBSTITUTE(SUBSTITUTE(SUBSTITUTE(SUBSTITUTE(SUBSTITUTE(TRIM(A124&amp;" / "&amp;B124),"أ","ا"),"إ","ا"),"آ","ا"),"ة","ه"),"ى","ي"),"ـ",""))</f>
        <v/>
      </c>
    </row>
    <row r="125" customFormat="false" ht="15" hidden="false" customHeight="false" outlineLevel="0" collapsed="false">
      <c r="A125" s="8"/>
      <c r="B125" s="8"/>
      <c r="C125" s="0" t="str">
        <f aca="false">IF(A125="","",SUBSTITUTE(SUBSTITUTE(SUBSTITUTE(SUBSTITUTE(SUBSTITUTE(SUBSTITUTE(TRIM(A125),"أ","ا"),"إ","ا"),"آ","ا"),"ة","ه"),"ى","ي"),"ـ",""))</f>
        <v/>
      </c>
      <c r="D125" s="0" t="str">
        <f aca="false">IF(A125="","",SUBSTITUTE(SUBSTITUTE(SUBSTITUTE(SUBSTITUTE(SUBSTITUTE(SUBSTITUTE(TRIM(A125&amp;" / "&amp;B125),"أ","ا"),"إ","ا"),"آ","ا"),"ة","ه"),"ى","ي"),"ـ",""))</f>
        <v/>
      </c>
    </row>
    <row r="126" customFormat="false" ht="15" hidden="false" customHeight="false" outlineLevel="0" collapsed="false">
      <c r="A126" s="8"/>
      <c r="B126" s="8"/>
      <c r="C126" s="0" t="str">
        <f aca="false">IF(A126="","",SUBSTITUTE(SUBSTITUTE(SUBSTITUTE(SUBSTITUTE(SUBSTITUTE(SUBSTITUTE(TRIM(A126),"أ","ا"),"إ","ا"),"آ","ا"),"ة","ه"),"ى","ي"),"ـ",""))</f>
        <v/>
      </c>
      <c r="D126" s="0" t="str">
        <f aca="false">IF(A126="","",SUBSTITUTE(SUBSTITUTE(SUBSTITUTE(SUBSTITUTE(SUBSTITUTE(SUBSTITUTE(TRIM(A126&amp;" / "&amp;B126),"أ","ا"),"إ","ا"),"آ","ا"),"ة","ه"),"ى","ي"),"ـ",""))</f>
        <v/>
      </c>
    </row>
    <row r="127" customFormat="false" ht="15" hidden="false" customHeight="false" outlineLevel="0" collapsed="false">
      <c r="A127" s="8"/>
      <c r="B127" s="8"/>
      <c r="C127" s="0" t="str">
        <f aca="false">IF(A127="","",SUBSTITUTE(SUBSTITUTE(SUBSTITUTE(SUBSTITUTE(SUBSTITUTE(SUBSTITUTE(TRIM(A127),"أ","ا"),"إ","ا"),"آ","ا"),"ة","ه"),"ى","ي"),"ـ",""))</f>
        <v/>
      </c>
      <c r="D127" s="0" t="str">
        <f aca="false">IF(A127="","",SUBSTITUTE(SUBSTITUTE(SUBSTITUTE(SUBSTITUTE(SUBSTITUTE(SUBSTITUTE(TRIM(A127&amp;" / "&amp;B127),"أ","ا"),"إ","ا"),"آ","ا"),"ة","ه"),"ى","ي"),"ـ",""))</f>
        <v/>
      </c>
    </row>
    <row r="128" customFormat="false" ht="15" hidden="false" customHeight="false" outlineLevel="0" collapsed="false">
      <c r="A128" s="8"/>
      <c r="B128" s="8"/>
      <c r="C128" s="0" t="str">
        <f aca="false">IF(A128="","",SUBSTITUTE(SUBSTITUTE(SUBSTITUTE(SUBSTITUTE(SUBSTITUTE(SUBSTITUTE(TRIM(A128),"أ","ا"),"إ","ا"),"آ","ا"),"ة","ه"),"ى","ي"),"ـ",""))</f>
        <v/>
      </c>
      <c r="D128" s="0" t="str">
        <f aca="false">IF(A128="","",SUBSTITUTE(SUBSTITUTE(SUBSTITUTE(SUBSTITUTE(SUBSTITUTE(SUBSTITUTE(TRIM(A128&amp;" / "&amp;B128),"أ","ا"),"إ","ا"),"آ","ا"),"ة","ه"),"ى","ي"),"ـ",""))</f>
        <v/>
      </c>
    </row>
    <row r="129" customFormat="false" ht="15" hidden="false" customHeight="false" outlineLevel="0" collapsed="false">
      <c r="A129" s="8"/>
      <c r="B129" s="8"/>
      <c r="C129" s="0" t="str">
        <f aca="false">IF(A129="","",SUBSTITUTE(SUBSTITUTE(SUBSTITUTE(SUBSTITUTE(SUBSTITUTE(SUBSTITUTE(TRIM(A129),"أ","ا"),"إ","ا"),"آ","ا"),"ة","ه"),"ى","ي"),"ـ",""))</f>
        <v/>
      </c>
      <c r="D129" s="0" t="str">
        <f aca="false">IF(A129="","",SUBSTITUTE(SUBSTITUTE(SUBSTITUTE(SUBSTITUTE(SUBSTITUTE(SUBSTITUTE(TRIM(A129&amp;" / "&amp;B129),"أ","ا"),"إ","ا"),"آ","ا"),"ة","ه"),"ى","ي"),"ـ",""))</f>
        <v/>
      </c>
    </row>
    <row r="130" customFormat="false" ht="15" hidden="false" customHeight="false" outlineLevel="0" collapsed="false">
      <c r="A130" s="8"/>
      <c r="B130" s="8"/>
      <c r="C130" s="0" t="str">
        <f aca="false">IF(A130="","",SUBSTITUTE(SUBSTITUTE(SUBSTITUTE(SUBSTITUTE(SUBSTITUTE(SUBSTITUTE(TRIM(A130),"أ","ا"),"إ","ا"),"آ","ا"),"ة","ه"),"ى","ي"),"ـ",""))</f>
        <v/>
      </c>
      <c r="D130" s="0" t="str">
        <f aca="false">IF(A130="","",SUBSTITUTE(SUBSTITUTE(SUBSTITUTE(SUBSTITUTE(SUBSTITUTE(SUBSTITUTE(TRIM(A130&amp;" / "&amp;B130),"أ","ا"),"إ","ا"),"آ","ا"),"ة","ه"),"ى","ي"),"ـ",""))</f>
        <v/>
      </c>
    </row>
    <row r="131" customFormat="false" ht="15" hidden="false" customHeight="false" outlineLevel="0" collapsed="false">
      <c r="A131" s="8"/>
      <c r="B131" s="8"/>
      <c r="C131" s="0" t="str">
        <f aca="false">IF(A131="","",SUBSTITUTE(SUBSTITUTE(SUBSTITUTE(SUBSTITUTE(SUBSTITUTE(SUBSTITUTE(TRIM(A131),"أ","ا"),"إ","ا"),"آ","ا"),"ة","ه"),"ى","ي"),"ـ",""))</f>
        <v/>
      </c>
      <c r="D131" s="0" t="str">
        <f aca="false">IF(A131="","",SUBSTITUTE(SUBSTITUTE(SUBSTITUTE(SUBSTITUTE(SUBSTITUTE(SUBSTITUTE(TRIM(A131&amp;" / "&amp;B131),"أ","ا"),"إ","ا"),"آ","ا"),"ة","ه"),"ى","ي"),"ـ",""))</f>
        <v/>
      </c>
    </row>
    <row r="132" customFormat="false" ht="15" hidden="false" customHeight="false" outlineLevel="0" collapsed="false">
      <c r="A132" s="8"/>
      <c r="B132" s="8"/>
      <c r="C132" s="0" t="str">
        <f aca="false">IF(A132="","",SUBSTITUTE(SUBSTITUTE(SUBSTITUTE(SUBSTITUTE(SUBSTITUTE(SUBSTITUTE(TRIM(A132),"أ","ا"),"إ","ا"),"آ","ا"),"ة","ه"),"ى","ي"),"ـ",""))</f>
        <v/>
      </c>
      <c r="D132" s="0" t="str">
        <f aca="false">IF(A132="","",SUBSTITUTE(SUBSTITUTE(SUBSTITUTE(SUBSTITUTE(SUBSTITUTE(SUBSTITUTE(TRIM(A132&amp;" / "&amp;B132),"أ","ا"),"إ","ا"),"آ","ا"),"ة","ه"),"ى","ي"),"ـ",""))</f>
        <v/>
      </c>
    </row>
    <row r="133" customFormat="false" ht="15" hidden="false" customHeight="false" outlineLevel="0" collapsed="false">
      <c r="A133" s="8"/>
      <c r="B133" s="8"/>
      <c r="C133" s="0" t="str">
        <f aca="false">IF(A133="","",SUBSTITUTE(SUBSTITUTE(SUBSTITUTE(SUBSTITUTE(SUBSTITUTE(SUBSTITUTE(TRIM(A133),"أ","ا"),"إ","ا"),"آ","ا"),"ة","ه"),"ى","ي"),"ـ",""))</f>
        <v/>
      </c>
      <c r="D133" s="0" t="str">
        <f aca="false">IF(A133="","",SUBSTITUTE(SUBSTITUTE(SUBSTITUTE(SUBSTITUTE(SUBSTITUTE(SUBSTITUTE(TRIM(A133&amp;" / "&amp;B133),"أ","ا"),"إ","ا"),"آ","ا"),"ة","ه"),"ى","ي"),"ـ",""))</f>
        <v/>
      </c>
    </row>
    <row r="134" customFormat="false" ht="15" hidden="false" customHeight="false" outlineLevel="0" collapsed="false">
      <c r="A134" s="8"/>
      <c r="B134" s="8"/>
      <c r="C134" s="0" t="str">
        <f aca="false">IF(A134="","",SUBSTITUTE(SUBSTITUTE(SUBSTITUTE(SUBSTITUTE(SUBSTITUTE(SUBSTITUTE(TRIM(A134),"أ","ا"),"إ","ا"),"آ","ا"),"ة","ه"),"ى","ي"),"ـ",""))</f>
        <v/>
      </c>
      <c r="D134" s="0" t="str">
        <f aca="false">IF(A134="","",SUBSTITUTE(SUBSTITUTE(SUBSTITUTE(SUBSTITUTE(SUBSTITUTE(SUBSTITUTE(TRIM(A134&amp;" / "&amp;B134),"أ","ا"),"إ","ا"),"آ","ا"),"ة","ه"),"ى","ي"),"ـ",""))</f>
        <v/>
      </c>
    </row>
    <row r="135" customFormat="false" ht="15" hidden="false" customHeight="false" outlineLevel="0" collapsed="false">
      <c r="A135" s="8"/>
      <c r="B135" s="8"/>
      <c r="C135" s="0" t="str">
        <f aca="false">IF(A135="","",SUBSTITUTE(SUBSTITUTE(SUBSTITUTE(SUBSTITUTE(SUBSTITUTE(SUBSTITUTE(TRIM(A135),"أ","ا"),"إ","ا"),"آ","ا"),"ة","ه"),"ى","ي"),"ـ",""))</f>
        <v/>
      </c>
      <c r="D135" s="0" t="str">
        <f aca="false">IF(A135="","",SUBSTITUTE(SUBSTITUTE(SUBSTITUTE(SUBSTITUTE(SUBSTITUTE(SUBSTITUTE(TRIM(A135&amp;" / "&amp;B135),"أ","ا"),"إ","ا"),"آ","ا"),"ة","ه"),"ى","ي"),"ـ",""))</f>
        <v/>
      </c>
    </row>
    <row r="136" customFormat="false" ht="15" hidden="false" customHeight="false" outlineLevel="0" collapsed="false">
      <c r="A136" s="8"/>
      <c r="B136" s="8"/>
      <c r="C136" s="0" t="str">
        <f aca="false">IF(A136="","",SUBSTITUTE(SUBSTITUTE(SUBSTITUTE(SUBSTITUTE(SUBSTITUTE(SUBSTITUTE(TRIM(A136),"أ","ا"),"إ","ا"),"آ","ا"),"ة","ه"),"ى","ي"),"ـ",""))</f>
        <v/>
      </c>
      <c r="D136" s="0" t="str">
        <f aca="false">IF(A136="","",SUBSTITUTE(SUBSTITUTE(SUBSTITUTE(SUBSTITUTE(SUBSTITUTE(SUBSTITUTE(TRIM(A136&amp;" / "&amp;B136),"أ","ا"),"إ","ا"),"آ","ا"),"ة","ه"),"ى","ي"),"ـ",""))</f>
        <v/>
      </c>
    </row>
    <row r="137" customFormat="false" ht="15" hidden="false" customHeight="false" outlineLevel="0" collapsed="false">
      <c r="A137" s="8"/>
      <c r="B137" s="8"/>
      <c r="C137" s="0" t="str">
        <f aca="false">IF(A137="","",SUBSTITUTE(SUBSTITUTE(SUBSTITUTE(SUBSTITUTE(SUBSTITUTE(SUBSTITUTE(TRIM(A137),"أ","ا"),"إ","ا"),"آ","ا"),"ة","ه"),"ى","ي"),"ـ",""))</f>
        <v/>
      </c>
      <c r="D137" s="0" t="str">
        <f aca="false">IF(A137="","",SUBSTITUTE(SUBSTITUTE(SUBSTITUTE(SUBSTITUTE(SUBSTITUTE(SUBSTITUTE(TRIM(A137&amp;" / "&amp;B137),"أ","ا"),"إ","ا"),"آ","ا"),"ة","ه"),"ى","ي"),"ـ",""))</f>
        <v/>
      </c>
    </row>
    <row r="138" customFormat="false" ht="15" hidden="false" customHeight="false" outlineLevel="0" collapsed="false">
      <c r="A138" s="8"/>
      <c r="B138" s="8"/>
      <c r="C138" s="0" t="str">
        <f aca="false">IF(A138="","",SUBSTITUTE(SUBSTITUTE(SUBSTITUTE(SUBSTITUTE(SUBSTITUTE(SUBSTITUTE(TRIM(A138),"أ","ا"),"إ","ا"),"آ","ا"),"ة","ه"),"ى","ي"),"ـ",""))</f>
        <v/>
      </c>
      <c r="D138" s="0" t="str">
        <f aca="false">IF(A138="","",SUBSTITUTE(SUBSTITUTE(SUBSTITUTE(SUBSTITUTE(SUBSTITUTE(SUBSTITUTE(TRIM(A138&amp;" / "&amp;B138),"أ","ا"),"إ","ا"),"آ","ا"),"ة","ه"),"ى","ي"),"ـ",""))</f>
        <v/>
      </c>
    </row>
    <row r="139" customFormat="false" ht="15" hidden="false" customHeight="false" outlineLevel="0" collapsed="false">
      <c r="A139" s="8"/>
      <c r="B139" s="8"/>
      <c r="C139" s="0" t="str">
        <f aca="false">IF(A139="","",SUBSTITUTE(SUBSTITUTE(SUBSTITUTE(SUBSTITUTE(SUBSTITUTE(SUBSTITUTE(TRIM(A139),"أ","ا"),"إ","ا"),"آ","ا"),"ة","ه"),"ى","ي"),"ـ",""))</f>
        <v/>
      </c>
      <c r="D139" s="0" t="str">
        <f aca="false">IF(A139="","",SUBSTITUTE(SUBSTITUTE(SUBSTITUTE(SUBSTITUTE(SUBSTITUTE(SUBSTITUTE(TRIM(A139&amp;" / "&amp;B139),"أ","ا"),"إ","ا"),"آ","ا"),"ة","ه"),"ى","ي"),"ـ",""))</f>
        <v/>
      </c>
    </row>
    <row r="140" customFormat="false" ht="15" hidden="false" customHeight="false" outlineLevel="0" collapsed="false">
      <c r="A140" s="8"/>
      <c r="B140" s="8"/>
      <c r="C140" s="0" t="str">
        <f aca="false">IF(A140="","",SUBSTITUTE(SUBSTITUTE(SUBSTITUTE(SUBSTITUTE(SUBSTITUTE(SUBSTITUTE(TRIM(A140),"أ","ا"),"إ","ا"),"آ","ا"),"ة","ه"),"ى","ي"),"ـ",""))</f>
        <v/>
      </c>
      <c r="D140" s="0" t="str">
        <f aca="false">IF(A140="","",SUBSTITUTE(SUBSTITUTE(SUBSTITUTE(SUBSTITUTE(SUBSTITUTE(SUBSTITUTE(TRIM(A140&amp;" / "&amp;B140),"أ","ا"),"إ","ا"),"آ","ا"),"ة","ه"),"ى","ي"),"ـ",""))</f>
        <v/>
      </c>
    </row>
    <row r="141" customFormat="false" ht="15" hidden="false" customHeight="false" outlineLevel="0" collapsed="false">
      <c r="A141" s="8"/>
      <c r="B141" s="8"/>
      <c r="C141" s="0" t="str">
        <f aca="false">IF(A141="","",SUBSTITUTE(SUBSTITUTE(SUBSTITUTE(SUBSTITUTE(SUBSTITUTE(SUBSTITUTE(TRIM(A141),"أ","ا"),"إ","ا"),"آ","ا"),"ة","ه"),"ى","ي"),"ـ",""))</f>
        <v/>
      </c>
      <c r="D141" s="0" t="str">
        <f aca="false">IF(A141="","",SUBSTITUTE(SUBSTITUTE(SUBSTITUTE(SUBSTITUTE(SUBSTITUTE(SUBSTITUTE(TRIM(A141&amp;" / "&amp;B141),"أ","ا"),"إ","ا"),"آ","ا"),"ة","ه"),"ى","ي"),"ـ",""))</f>
        <v/>
      </c>
    </row>
    <row r="142" customFormat="false" ht="15" hidden="false" customHeight="false" outlineLevel="0" collapsed="false">
      <c r="A142" s="8"/>
      <c r="B142" s="8"/>
      <c r="C142" s="0" t="str">
        <f aca="false">IF(A142="","",SUBSTITUTE(SUBSTITUTE(SUBSTITUTE(SUBSTITUTE(SUBSTITUTE(SUBSTITUTE(TRIM(A142),"أ","ا"),"إ","ا"),"آ","ا"),"ة","ه"),"ى","ي"),"ـ",""))</f>
        <v/>
      </c>
      <c r="D142" s="0" t="str">
        <f aca="false">IF(A142="","",SUBSTITUTE(SUBSTITUTE(SUBSTITUTE(SUBSTITUTE(SUBSTITUTE(SUBSTITUTE(TRIM(A142&amp;" / "&amp;B142),"أ","ا"),"إ","ا"),"آ","ا"),"ة","ه"),"ى","ي"),"ـ",""))</f>
        <v/>
      </c>
    </row>
    <row r="143" customFormat="false" ht="15" hidden="false" customHeight="false" outlineLevel="0" collapsed="false">
      <c r="A143" s="8"/>
      <c r="B143" s="8"/>
      <c r="C143" s="0" t="str">
        <f aca="false">IF(A143="","",SUBSTITUTE(SUBSTITUTE(SUBSTITUTE(SUBSTITUTE(SUBSTITUTE(SUBSTITUTE(TRIM(A143),"أ","ا"),"إ","ا"),"آ","ا"),"ة","ه"),"ى","ي"),"ـ",""))</f>
        <v/>
      </c>
      <c r="D143" s="0" t="str">
        <f aca="false">IF(A143="","",SUBSTITUTE(SUBSTITUTE(SUBSTITUTE(SUBSTITUTE(SUBSTITUTE(SUBSTITUTE(TRIM(A143&amp;" / "&amp;B143),"أ","ا"),"إ","ا"),"آ","ا"),"ة","ه"),"ى","ي"),"ـ",""))</f>
        <v/>
      </c>
    </row>
    <row r="144" customFormat="false" ht="15" hidden="false" customHeight="false" outlineLevel="0" collapsed="false">
      <c r="A144" s="8"/>
      <c r="B144" s="8"/>
      <c r="C144" s="0" t="str">
        <f aca="false">IF(A144="","",SUBSTITUTE(SUBSTITUTE(SUBSTITUTE(SUBSTITUTE(SUBSTITUTE(SUBSTITUTE(TRIM(A144),"أ","ا"),"إ","ا"),"آ","ا"),"ة","ه"),"ى","ي"),"ـ",""))</f>
        <v/>
      </c>
      <c r="D144" s="0" t="str">
        <f aca="false">IF(A144="","",SUBSTITUTE(SUBSTITUTE(SUBSTITUTE(SUBSTITUTE(SUBSTITUTE(SUBSTITUTE(TRIM(A144&amp;" / "&amp;B144),"أ","ا"),"إ","ا"),"آ","ا"),"ة","ه"),"ى","ي"),"ـ",""))</f>
        <v/>
      </c>
    </row>
    <row r="145" customFormat="false" ht="15" hidden="false" customHeight="false" outlineLevel="0" collapsed="false">
      <c r="A145" s="8"/>
      <c r="B145" s="8"/>
      <c r="C145" s="0" t="str">
        <f aca="false">IF(A145="","",SUBSTITUTE(SUBSTITUTE(SUBSTITUTE(SUBSTITUTE(SUBSTITUTE(SUBSTITUTE(TRIM(A145),"أ","ا"),"إ","ا"),"آ","ا"),"ة","ه"),"ى","ي"),"ـ",""))</f>
        <v/>
      </c>
      <c r="D145" s="0" t="str">
        <f aca="false">IF(A145="","",SUBSTITUTE(SUBSTITUTE(SUBSTITUTE(SUBSTITUTE(SUBSTITUTE(SUBSTITUTE(TRIM(A145&amp;" / "&amp;B145),"أ","ا"),"إ","ا"),"آ","ا"),"ة","ه"),"ى","ي"),"ـ",""))</f>
        <v/>
      </c>
    </row>
    <row r="146" customFormat="false" ht="15" hidden="false" customHeight="false" outlineLevel="0" collapsed="false">
      <c r="A146" s="8"/>
      <c r="B146" s="8"/>
      <c r="C146" s="0" t="str">
        <f aca="false">IF(A146="","",SUBSTITUTE(SUBSTITUTE(SUBSTITUTE(SUBSTITUTE(SUBSTITUTE(SUBSTITUTE(TRIM(A146),"أ","ا"),"إ","ا"),"آ","ا"),"ة","ه"),"ى","ي"),"ـ",""))</f>
        <v/>
      </c>
      <c r="D146" s="0" t="str">
        <f aca="false">IF(A146="","",SUBSTITUTE(SUBSTITUTE(SUBSTITUTE(SUBSTITUTE(SUBSTITUTE(SUBSTITUTE(TRIM(A146&amp;" / "&amp;B146),"أ","ا"),"إ","ا"),"آ","ا"),"ة","ه"),"ى","ي"),"ـ",""))</f>
        <v/>
      </c>
    </row>
    <row r="147" customFormat="false" ht="15" hidden="false" customHeight="false" outlineLevel="0" collapsed="false">
      <c r="A147" s="8"/>
      <c r="B147" s="8"/>
      <c r="C147" s="0" t="str">
        <f aca="false">IF(A147="","",SUBSTITUTE(SUBSTITUTE(SUBSTITUTE(SUBSTITUTE(SUBSTITUTE(SUBSTITUTE(TRIM(A147),"أ","ا"),"إ","ا"),"آ","ا"),"ة","ه"),"ى","ي"),"ـ",""))</f>
        <v/>
      </c>
      <c r="D147" s="0" t="str">
        <f aca="false">IF(A147="","",SUBSTITUTE(SUBSTITUTE(SUBSTITUTE(SUBSTITUTE(SUBSTITUTE(SUBSTITUTE(TRIM(A147&amp;" / "&amp;B147),"أ","ا"),"إ","ا"),"آ","ا"),"ة","ه"),"ى","ي"),"ـ",""))</f>
        <v/>
      </c>
    </row>
    <row r="148" customFormat="false" ht="15" hidden="false" customHeight="false" outlineLevel="0" collapsed="false">
      <c r="A148" s="8"/>
      <c r="B148" s="8"/>
      <c r="C148" s="0" t="str">
        <f aca="false">IF(A148="","",SUBSTITUTE(SUBSTITUTE(SUBSTITUTE(SUBSTITUTE(SUBSTITUTE(SUBSTITUTE(TRIM(A148),"أ","ا"),"إ","ا"),"آ","ا"),"ة","ه"),"ى","ي"),"ـ",""))</f>
        <v/>
      </c>
      <c r="D148" s="0" t="str">
        <f aca="false">IF(A148="","",SUBSTITUTE(SUBSTITUTE(SUBSTITUTE(SUBSTITUTE(SUBSTITUTE(SUBSTITUTE(TRIM(A148&amp;" / "&amp;B148),"أ","ا"),"إ","ا"),"آ","ا"),"ة","ه"),"ى","ي"),"ـ",""))</f>
        <v/>
      </c>
    </row>
    <row r="149" customFormat="false" ht="15" hidden="false" customHeight="false" outlineLevel="0" collapsed="false">
      <c r="A149" s="8"/>
      <c r="B149" s="8"/>
      <c r="C149" s="0" t="str">
        <f aca="false">IF(A149="","",SUBSTITUTE(SUBSTITUTE(SUBSTITUTE(SUBSTITUTE(SUBSTITUTE(SUBSTITUTE(TRIM(A149),"أ","ا"),"إ","ا"),"آ","ا"),"ة","ه"),"ى","ي"),"ـ",""))</f>
        <v/>
      </c>
      <c r="D149" s="0" t="str">
        <f aca="false">IF(A149="","",SUBSTITUTE(SUBSTITUTE(SUBSTITUTE(SUBSTITUTE(SUBSTITUTE(SUBSTITUTE(TRIM(A149&amp;" / "&amp;B149),"أ","ا"),"إ","ا"),"آ","ا"),"ة","ه"),"ى","ي"),"ـ",""))</f>
        <v/>
      </c>
    </row>
    <row r="150" customFormat="false" ht="15" hidden="false" customHeight="false" outlineLevel="0" collapsed="false">
      <c r="A150" s="8"/>
      <c r="B150" s="8"/>
      <c r="C150" s="0" t="str">
        <f aca="false">IF(A150="","",SUBSTITUTE(SUBSTITUTE(SUBSTITUTE(SUBSTITUTE(SUBSTITUTE(SUBSTITUTE(TRIM(A150),"أ","ا"),"إ","ا"),"آ","ا"),"ة","ه"),"ى","ي"),"ـ",""))</f>
        <v/>
      </c>
      <c r="D150" s="0" t="str">
        <f aca="false">IF(A150="","",SUBSTITUTE(SUBSTITUTE(SUBSTITUTE(SUBSTITUTE(SUBSTITUTE(SUBSTITUTE(TRIM(A150&amp;" / "&amp;B150),"أ","ا"),"إ","ا"),"آ","ا"),"ة","ه"),"ى","ي"),"ـ",""))</f>
        <v/>
      </c>
    </row>
    <row r="151" customFormat="false" ht="15" hidden="false" customHeight="false" outlineLevel="0" collapsed="false">
      <c r="A151" s="8"/>
      <c r="B151" s="8"/>
      <c r="C151" s="0" t="str">
        <f aca="false">IF(A151="","",SUBSTITUTE(SUBSTITUTE(SUBSTITUTE(SUBSTITUTE(SUBSTITUTE(SUBSTITUTE(TRIM(A151),"أ","ا"),"إ","ا"),"آ","ا"),"ة","ه"),"ى","ي"),"ـ",""))</f>
        <v/>
      </c>
      <c r="D151" s="0" t="str">
        <f aca="false">IF(A151="","",SUBSTITUTE(SUBSTITUTE(SUBSTITUTE(SUBSTITUTE(SUBSTITUTE(SUBSTITUTE(TRIM(A151&amp;" / "&amp;B151),"أ","ا"),"إ","ا"),"آ","ا"),"ة","ه"),"ى","ي"),"ـ",""))</f>
        <v/>
      </c>
    </row>
    <row r="152" customFormat="false" ht="15" hidden="false" customHeight="false" outlineLevel="0" collapsed="false">
      <c r="A152" s="8"/>
      <c r="B152" s="8"/>
      <c r="C152" s="0" t="str">
        <f aca="false">IF(A152="","",SUBSTITUTE(SUBSTITUTE(SUBSTITUTE(SUBSTITUTE(SUBSTITUTE(SUBSTITUTE(TRIM(A152),"أ","ا"),"إ","ا"),"آ","ا"),"ة","ه"),"ى","ي"),"ـ",""))</f>
        <v/>
      </c>
      <c r="D152" s="0" t="str">
        <f aca="false">IF(A152="","",SUBSTITUTE(SUBSTITUTE(SUBSTITUTE(SUBSTITUTE(SUBSTITUTE(SUBSTITUTE(TRIM(A152&amp;" / "&amp;B152),"أ","ا"),"إ","ا"),"آ","ا"),"ة","ه"),"ى","ي"),"ـ",""))</f>
        <v/>
      </c>
    </row>
    <row r="153" customFormat="false" ht="15" hidden="false" customHeight="false" outlineLevel="0" collapsed="false">
      <c r="A153" s="8"/>
      <c r="B153" s="8"/>
      <c r="C153" s="0" t="str">
        <f aca="false">IF(A153="","",SUBSTITUTE(SUBSTITUTE(SUBSTITUTE(SUBSTITUTE(SUBSTITUTE(SUBSTITUTE(TRIM(A153),"أ","ا"),"إ","ا"),"آ","ا"),"ة","ه"),"ى","ي"),"ـ",""))</f>
        <v/>
      </c>
      <c r="D153" s="0" t="str">
        <f aca="false">IF(A153="","",SUBSTITUTE(SUBSTITUTE(SUBSTITUTE(SUBSTITUTE(SUBSTITUTE(SUBSTITUTE(TRIM(A153&amp;" / "&amp;B153),"أ","ا"),"إ","ا"),"آ","ا"),"ة","ه"),"ى","ي"),"ـ",""))</f>
        <v/>
      </c>
    </row>
    <row r="154" customFormat="false" ht="15" hidden="false" customHeight="false" outlineLevel="0" collapsed="false">
      <c r="A154" s="8"/>
      <c r="B154" s="8"/>
      <c r="C154" s="0" t="str">
        <f aca="false">IF(A154="","",SUBSTITUTE(SUBSTITUTE(SUBSTITUTE(SUBSTITUTE(SUBSTITUTE(SUBSTITUTE(TRIM(A154),"أ","ا"),"إ","ا"),"آ","ا"),"ة","ه"),"ى","ي"),"ـ",""))</f>
        <v/>
      </c>
      <c r="D154" s="0" t="str">
        <f aca="false">IF(A154="","",SUBSTITUTE(SUBSTITUTE(SUBSTITUTE(SUBSTITUTE(SUBSTITUTE(SUBSTITUTE(TRIM(A154&amp;" / "&amp;B154),"أ","ا"),"إ","ا"),"آ","ا"),"ة","ه"),"ى","ي"),"ـ",""))</f>
        <v/>
      </c>
    </row>
    <row r="155" customFormat="false" ht="15" hidden="false" customHeight="false" outlineLevel="0" collapsed="false">
      <c r="A155" s="8"/>
      <c r="B155" s="8"/>
      <c r="C155" s="0" t="str">
        <f aca="false">IF(A155="","",SUBSTITUTE(SUBSTITUTE(SUBSTITUTE(SUBSTITUTE(SUBSTITUTE(SUBSTITUTE(TRIM(A155),"أ","ا"),"إ","ا"),"آ","ا"),"ة","ه"),"ى","ي"),"ـ",""))</f>
        <v/>
      </c>
      <c r="D155" s="0" t="str">
        <f aca="false">IF(A155="","",SUBSTITUTE(SUBSTITUTE(SUBSTITUTE(SUBSTITUTE(SUBSTITUTE(SUBSTITUTE(TRIM(A155&amp;" / "&amp;B155),"أ","ا"),"إ","ا"),"آ","ا"),"ة","ه"),"ى","ي"),"ـ",""))</f>
        <v/>
      </c>
    </row>
    <row r="156" customFormat="false" ht="15" hidden="false" customHeight="false" outlineLevel="0" collapsed="false">
      <c r="A156" s="8"/>
      <c r="B156" s="8"/>
      <c r="C156" s="0" t="str">
        <f aca="false">IF(A156="","",SUBSTITUTE(SUBSTITUTE(SUBSTITUTE(SUBSTITUTE(SUBSTITUTE(SUBSTITUTE(TRIM(A156),"أ","ا"),"إ","ا"),"آ","ا"),"ة","ه"),"ى","ي"),"ـ",""))</f>
        <v/>
      </c>
      <c r="D156" s="0" t="str">
        <f aca="false">IF(A156="","",SUBSTITUTE(SUBSTITUTE(SUBSTITUTE(SUBSTITUTE(SUBSTITUTE(SUBSTITUTE(TRIM(A156&amp;" / "&amp;B156),"أ","ا"),"إ","ا"),"آ","ا"),"ة","ه"),"ى","ي"),"ـ",""))</f>
        <v/>
      </c>
    </row>
    <row r="157" customFormat="false" ht="15" hidden="false" customHeight="false" outlineLevel="0" collapsed="false">
      <c r="A157" s="8"/>
      <c r="B157" s="8"/>
      <c r="C157" s="0" t="str">
        <f aca="false">IF(A157="","",SUBSTITUTE(SUBSTITUTE(SUBSTITUTE(SUBSTITUTE(SUBSTITUTE(SUBSTITUTE(TRIM(A157),"أ","ا"),"إ","ا"),"آ","ا"),"ة","ه"),"ى","ي"),"ـ",""))</f>
        <v/>
      </c>
      <c r="D157" s="0" t="str">
        <f aca="false">IF(A157="","",SUBSTITUTE(SUBSTITUTE(SUBSTITUTE(SUBSTITUTE(SUBSTITUTE(SUBSTITUTE(TRIM(A157&amp;" / "&amp;B157),"أ","ا"),"إ","ا"),"آ","ا"),"ة","ه"),"ى","ي"),"ـ",""))</f>
        <v/>
      </c>
    </row>
    <row r="158" customFormat="false" ht="15" hidden="false" customHeight="false" outlineLevel="0" collapsed="false">
      <c r="A158" s="8"/>
      <c r="B158" s="8"/>
      <c r="C158" s="0" t="str">
        <f aca="false">IF(A158="","",SUBSTITUTE(SUBSTITUTE(SUBSTITUTE(SUBSTITUTE(SUBSTITUTE(SUBSTITUTE(TRIM(A158),"أ","ا"),"إ","ا"),"آ","ا"),"ة","ه"),"ى","ي"),"ـ",""))</f>
        <v/>
      </c>
      <c r="D158" s="0" t="str">
        <f aca="false">IF(A158="","",SUBSTITUTE(SUBSTITUTE(SUBSTITUTE(SUBSTITUTE(SUBSTITUTE(SUBSTITUTE(TRIM(A158&amp;" / "&amp;B158),"أ","ا"),"إ","ا"),"آ","ا"),"ة","ه"),"ى","ي"),"ـ",""))</f>
        <v/>
      </c>
    </row>
    <row r="159" customFormat="false" ht="15" hidden="false" customHeight="false" outlineLevel="0" collapsed="false">
      <c r="A159" s="8"/>
      <c r="B159" s="8"/>
      <c r="C159" s="0" t="str">
        <f aca="false">IF(A159="","",SUBSTITUTE(SUBSTITUTE(SUBSTITUTE(SUBSTITUTE(SUBSTITUTE(SUBSTITUTE(TRIM(A159),"أ","ا"),"إ","ا"),"آ","ا"),"ة","ه"),"ى","ي"),"ـ",""))</f>
        <v/>
      </c>
      <c r="D159" s="0" t="str">
        <f aca="false">IF(A159="","",SUBSTITUTE(SUBSTITUTE(SUBSTITUTE(SUBSTITUTE(SUBSTITUTE(SUBSTITUTE(TRIM(A159&amp;" / "&amp;B159),"أ","ا"),"إ","ا"),"آ","ا"),"ة","ه"),"ى","ي"),"ـ",""))</f>
        <v/>
      </c>
    </row>
    <row r="160" customFormat="false" ht="15" hidden="false" customHeight="false" outlineLevel="0" collapsed="false">
      <c r="A160" s="8"/>
      <c r="B160" s="8"/>
      <c r="C160" s="0" t="str">
        <f aca="false">IF(A160="","",SUBSTITUTE(SUBSTITUTE(SUBSTITUTE(SUBSTITUTE(SUBSTITUTE(SUBSTITUTE(TRIM(A160),"أ","ا"),"إ","ا"),"آ","ا"),"ة","ه"),"ى","ي"),"ـ",""))</f>
        <v/>
      </c>
      <c r="D160" s="0" t="str">
        <f aca="false">IF(A160="","",SUBSTITUTE(SUBSTITUTE(SUBSTITUTE(SUBSTITUTE(SUBSTITUTE(SUBSTITUTE(TRIM(A160&amp;" / "&amp;B160),"أ","ا"),"إ","ا"),"آ","ا"),"ة","ه"),"ى","ي"),"ـ",""))</f>
        <v/>
      </c>
    </row>
    <row r="161" customFormat="false" ht="15" hidden="false" customHeight="false" outlineLevel="0" collapsed="false">
      <c r="A161" s="8"/>
      <c r="B161" s="8"/>
      <c r="C161" s="0" t="str">
        <f aca="false">IF(A161="","",SUBSTITUTE(SUBSTITUTE(SUBSTITUTE(SUBSTITUTE(SUBSTITUTE(SUBSTITUTE(TRIM(A161),"أ","ا"),"إ","ا"),"آ","ا"),"ة","ه"),"ى","ي"),"ـ",""))</f>
        <v/>
      </c>
      <c r="D161" s="0" t="str">
        <f aca="false">IF(A161="","",SUBSTITUTE(SUBSTITUTE(SUBSTITUTE(SUBSTITUTE(SUBSTITUTE(SUBSTITUTE(TRIM(A161&amp;" / "&amp;B161),"أ","ا"),"إ","ا"),"آ","ا"),"ة","ه"),"ى","ي"),"ـ",""))</f>
        <v/>
      </c>
    </row>
    <row r="162" customFormat="false" ht="15" hidden="false" customHeight="false" outlineLevel="0" collapsed="false">
      <c r="A162" s="8"/>
      <c r="B162" s="8"/>
      <c r="C162" s="0" t="str">
        <f aca="false">IF(A162="","",SUBSTITUTE(SUBSTITUTE(SUBSTITUTE(SUBSTITUTE(SUBSTITUTE(SUBSTITUTE(TRIM(A162),"أ","ا"),"إ","ا"),"آ","ا"),"ة","ه"),"ى","ي"),"ـ",""))</f>
        <v/>
      </c>
      <c r="D162" s="0" t="str">
        <f aca="false">IF(A162="","",SUBSTITUTE(SUBSTITUTE(SUBSTITUTE(SUBSTITUTE(SUBSTITUTE(SUBSTITUTE(TRIM(A162&amp;" / "&amp;B162),"أ","ا"),"إ","ا"),"آ","ا"),"ة","ه"),"ى","ي"),"ـ",""))</f>
        <v/>
      </c>
    </row>
    <row r="163" customFormat="false" ht="15" hidden="false" customHeight="false" outlineLevel="0" collapsed="false">
      <c r="A163" s="8"/>
      <c r="B163" s="8"/>
      <c r="C163" s="0" t="str">
        <f aca="false">IF(A163="","",SUBSTITUTE(SUBSTITUTE(SUBSTITUTE(SUBSTITUTE(SUBSTITUTE(SUBSTITUTE(TRIM(A163),"أ","ا"),"إ","ا"),"آ","ا"),"ة","ه"),"ى","ي"),"ـ",""))</f>
        <v/>
      </c>
      <c r="D163" s="0" t="str">
        <f aca="false">IF(A163="","",SUBSTITUTE(SUBSTITUTE(SUBSTITUTE(SUBSTITUTE(SUBSTITUTE(SUBSTITUTE(TRIM(A163&amp;" / "&amp;B163),"أ","ا"),"إ","ا"),"آ","ا"),"ة","ه"),"ى","ي"),"ـ",""))</f>
        <v/>
      </c>
    </row>
    <row r="164" customFormat="false" ht="15" hidden="false" customHeight="false" outlineLevel="0" collapsed="false">
      <c r="A164" s="8"/>
      <c r="B164" s="8"/>
      <c r="C164" s="0" t="str">
        <f aca="false">IF(A164="","",SUBSTITUTE(SUBSTITUTE(SUBSTITUTE(SUBSTITUTE(SUBSTITUTE(SUBSTITUTE(TRIM(A164),"أ","ا"),"إ","ا"),"آ","ا"),"ة","ه"),"ى","ي"),"ـ",""))</f>
        <v/>
      </c>
      <c r="D164" s="0" t="str">
        <f aca="false">IF(A164="","",SUBSTITUTE(SUBSTITUTE(SUBSTITUTE(SUBSTITUTE(SUBSTITUTE(SUBSTITUTE(TRIM(A164&amp;" / "&amp;B164),"أ","ا"),"إ","ا"),"آ","ا"),"ة","ه"),"ى","ي"),"ـ",""))</f>
        <v/>
      </c>
    </row>
    <row r="165" customFormat="false" ht="15" hidden="false" customHeight="false" outlineLevel="0" collapsed="false">
      <c r="A165" s="8"/>
      <c r="B165" s="8"/>
      <c r="C165" s="0" t="str">
        <f aca="false">IF(A165="","",SUBSTITUTE(SUBSTITUTE(SUBSTITUTE(SUBSTITUTE(SUBSTITUTE(SUBSTITUTE(TRIM(A165),"أ","ا"),"إ","ا"),"آ","ا"),"ة","ه"),"ى","ي"),"ـ",""))</f>
        <v/>
      </c>
      <c r="D165" s="0" t="str">
        <f aca="false">IF(A165="","",SUBSTITUTE(SUBSTITUTE(SUBSTITUTE(SUBSTITUTE(SUBSTITUTE(SUBSTITUTE(TRIM(A165&amp;" / "&amp;B165),"أ","ا"),"إ","ا"),"آ","ا"),"ة","ه"),"ى","ي"),"ـ",""))</f>
        <v/>
      </c>
    </row>
    <row r="166" customFormat="false" ht="15" hidden="false" customHeight="false" outlineLevel="0" collapsed="false">
      <c r="A166" s="8"/>
      <c r="B166" s="8"/>
      <c r="C166" s="0" t="str">
        <f aca="false">IF(A166="","",SUBSTITUTE(SUBSTITUTE(SUBSTITUTE(SUBSTITUTE(SUBSTITUTE(SUBSTITUTE(TRIM(A166),"أ","ا"),"إ","ا"),"آ","ا"),"ة","ه"),"ى","ي"),"ـ",""))</f>
        <v/>
      </c>
      <c r="D166" s="0" t="str">
        <f aca="false">IF(A166="","",SUBSTITUTE(SUBSTITUTE(SUBSTITUTE(SUBSTITUTE(SUBSTITUTE(SUBSTITUTE(TRIM(A166&amp;" / "&amp;B166),"أ","ا"),"إ","ا"),"آ","ا"),"ة","ه"),"ى","ي"),"ـ",""))</f>
        <v/>
      </c>
    </row>
    <row r="167" customFormat="false" ht="15" hidden="false" customHeight="false" outlineLevel="0" collapsed="false">
      <c r="A167" s="8"/>
      <c r="B167" s="8"/>
      <c r="C167" s="0" t="str">
        <f aca="false">IF(A167="","",SUBSTITUTE(SUBSTITUTE(SUBSTITUTE(SUBSTITUTE(SUBSTITUTE(SUBSTITUTE(TRIM(A167),"أ","ا"),"إ","ا"),"آ","ا"),"ة","ه"),"ى","ي"),"ـ",""))</f>
        <v/>
      </c>
      <c r="D167" s="0" t="str">
        <f aca="false">IF(A167="","",SUBSTITUTE(SUBSTITUTE(SUBSTITUTE(SUBSTITUTE(SUBSTITUTE(SUBSTITUTE(TRIM(A167&amp;" / "&amp;B167),"أ","ا"),"إ","ا"),"آ","ا"),"ة","ه"),"ى","ي"),"ـ",""))</f>
        <v/>
      </c>
    </row>
    <row r="168" customFormat="false" ht="15" hidden="false" customHeight="false" outlineLevel="0" collapsed="false">
      <c r="A168" s="8"/>
      <c r="B168" s="8"/>
      <c r="C168" s="0" t="str">
        <f aca="false">IF(A168="","",SUBSTITUTE(SUBSTITUTE(SUBSTITUTE(SUBSTITUTE(SUBSTITUTE(SUBSTITUTE(TRIM(A168),"أ","ا"),"إ","ا"),"آ","ا"),"ة","ه"),"ى","ي"),"ـ",""))</f>
        <v/>
      </c>
      <c r="D168" s="0" t="str">
        <f aca="false">IF(A168="","",SUBSTITUTE(SUBSTITUTE(SUBSTITUTE(SUBSTITUTE(SUBSTITUTE(SUBSTITUTE(TRIM(A168&amp;" / "&amp;B168),"أ","ا"),"إ","ا"),"آ","ا"),"ة","ه"),"ى","ي"),"ـ",""))</f>
        <v/>
      </c>
    </row>
    <row r="169" customFormat="false" ht="15" hidden="false" customHeight="false" outlineLevel="0" collapsed="false">
      <c r="A169" s="8"/>
      <c r="B169" s="8"/>
      <c r="C169" s="0" t="str">
        <f aca="false">IF(A169="","",SUBSTITUTE(SUBSTITUTE(SUBSTITUTE(SUBSTITUTE(SUBSTITUTE(SUBSTITUTE(TRIM(A169),"أ","ا"),"إ","ا"),"آ","ا"),"ة","ه"),"ى","ي"),"ـ",""))</f>
        <v/>
      </c>
      <c r="D169" s="0" t="str">
        <f aca="false">IF(A169="","",SUBSTITUTE(SUBSTITUTE(SUBSTITUTE(SUBSTITUTE(SUBSTITUTE(SUBSTITUTE(TRIM(A169&amp;" / "&amp;B169),"أ","ا"),"إ","ا"),"آ","ا"),"ة","ه"),"ى","ي"),"ـ",""))</f>
        <v/>
      </c>
    </row>
    <row r="170" customFormat="false" ht="15" hidden="false" customHeight="false" outlineLevel="0" collapsed="false">
      <c r="A170" s="8"/>
      <c r="B170" s="8"/>
      <c r="C170" s="0" t="str">
        <f aca="false">IF(A170="","",SUBSTITUTE(SUBSTITUTE(SUBSTITUTE(SUBSTITUTE(SUBSTITUTE(SUBSTITUTE(TRIM(A170),"أ","ا"),"إ","ا"),"آ","ا"),"ة","ه"),"ى","ي"),"ـ",""))</f>
        <v/>
      </c>
      <c r="D170" s="0" t="str">
        <f aca="false">IF(A170="","",SUBSTITUTE(SUBSTITUTE(SUBSTITUTE(SUBSTITUTE(SUBSTITUTE(SUBSTITUTE(TRIM(A170&amp;" / "&amp;B170),"أ","ا"),"إ","ا"),"آ","ا"),"ة","ه"),"ى","ي"),"ـ",""))</f>
        <v/>
      </c>
    </row>
    <row r="171" customFormat="false" ht="15" hidden="false" customHeight="false" outlineLevel="0" collapsed="false">
      <c r="A171" s="8"/>
      <c r="B171" s="8"/>
      <c r="C171" s="0" t="str">
        <f aca="false">IF(A171="","",SUBSTITUTE(SUBSTITUTE(SUBSTITUTE(SUBSTITUTE(SUBSTITUTE(SUBSTITUTE(TRIM(A171),"أ","ا"),"إ","ا"),"آ","ا"),"ة","ه"),"ى","ي"),"ـ",""))</f>
        <v/>
      </c>
      <c r="D171" s="0" t="str">
        <f aca="false">IF(A171="","",SUBSTITUTE(SUBSTITUTE(SUBSTITUTE(SUBSTITUTE(SUBSTITUTE(SUBSTITUTE(TRIM(A171&amp;" / "&amp;B171),"أ","ا"),"إ","ا"),"آ","ا"),"ة","ه"),"ى","ي"),"ـ",""))</f>
        <v/>
      </c>
    </row>
    <row r="172" customFormat="false" ht="15" hidden="false" customHeight="false" outlineLevel="0" collapsed="false">
      <c r="A172" s="8"/>
      <c r="B172" s="8"/>
      <c r="C172" s="0" t="str">
        <f aca="false">IF(A172="","",SUBSTITUTE(SUBSTITUTE(SUBSTITUTE(SUBSTITUTE(SUBSTITUTE(SUBSTITUTE(TRIM(A172),"أ","ا"),"إ","ا"),"آ","ا"),"ة","ه"),"ى","ي"),"ـ",""))</f>
        <v/>
      </c>
      <c r="D172" s="0" t="str">
        <f aca="false">IF(A172="","",SUBSTITUTE(SUBSTITUTE(SUBSTITUTE(SUBSTITUTE(SUBSTITUTE(SUBSTITUTE(TRIM(A172&amp;" / "&amp;B172),"أ","ا"),"إ","ا"),"آ","ا"),"ة","ه"),"ى","ي"),"ـ",""))</f>
        <v/>
      </c>
    </row>
    <row r="173" customFormat="false" ht="15" hidden="false" customHeight="false" outlineLevel="0" collapsed="false">
      <c r="A173" s="8"/>
      <c r="B173" s="8"/>
      <c r="C173" s="0" t="str">
        <f aca="false">IF(A173="","",SUBSTITUTE(SUBSTITUTE(SUBSTITUTE(SUBSTITUTE(SUBSTITUTE(SUBSTITUTE(TRIM(A173),"أ","ا"),"إ","ا"),"آ","ا"),"ة","ه"),"ى","ي"),"ـ",""))</f>
        <v/>
      </c>
      <c r="D173" s="0" t="str">
        <f aca="false">IF(A173="","",SUBSTITUTE(SUBSTITUTE(SUBSTITUTE(SUBSTITUTE(SUBSTITUTE(SUBSTITUTE(TRIM(A173&amp;" / "&amp;B173),"أ","ا"),"إ","ا"),"آ","ا"),"ة","ه"),"ى","ي"),"ـ",""))</f>
        <v/>
      </c>
    </row>
    <row r="174" customFormat="false" ht="15" hidden="false" customHeight="false" outlineLevel="0" collapsed="false">
      <c r="A174" s="8"/>
      <c r="B174" s="8"/>
      <c r="C174" s="0" t="str">
        <f aca="false">IF(A174="","",SUBSTITUTE(SUBSTITUTE(SUBSTITUTE(SUBSTITUTE(SUBSTITUTE(SUBSTITUTE(TRIM(A174),"أ","ا"),"إ","ا"),"آ","ا"),"ة","ه"),"ى","ي"),"ـ",""))</f>
        <v/>
      </c>
      <c r="D174" s="0" t="str">
        <f aca="false">IF(A174="","",SUBSTITUTE(SUBSTITUTE(SUBSTITUTE(SUBSTITUTE(SUBSTITUTE(SUBSTITUTE(TRIM(A174&amp;" / "&amp;B174),"أ","ا"),"إ","ا"),"آ","ا"),"ة","ه"),"ى","ي"),"ـ",""))</f>
        <v/>
      </c>
    </row>
    <row r="175" customFormat="false" ht="15" hidden="false" customHeight="false" outlineLevel="0" collapsed="false">
      <c r="A175" s="8"/>
      <c r="B175" s="8"/>
      <c r="C175" s="0" t="str">
        <f aca="false">IF(A175="","",SUBSTITUTE(SUBSTITUTE(SUBSTITUTE(SUBSTITUTE(SUBSTITUTE(SUBSTITUTE(TRIM(A175),"أ","ا"),"إ","ا"),"آ","ا"),"ة","ه"),"ى","ي"),"ـ",""))</f>
        <v/>
      </c>
      <c r="D175" s="0" t="str">
        <f aca="false">IF(A175="","",SUBSTITUTE(SUBSTITUTE(SUBSTITUTE(SUBSTITUTE(SUBSTITUTE(SUBSTITUTE(TRIM(A175&amp;" / "&amp;B175),"أ","ا"),"إ","ا"),"آ","ا"),"ة","ه"),"ى","ي"),"ـ",""))</f>
        <v/>
      </c>
    </row>
    <row r="176" customFormat="false" ht="15" hidden="false" customHeight="false" outlineLevel="0" collapsed="false">
      <c r="A176" s="8"/>
      <c r="B176" s="8"/>
      <c r="C176" s="0" t="str">
        <f aca="false">IF(A176="","",SUBSTITUTE(SUBSTITUTE(SUBSTITUTE(SUBSTITUTE(SUBSTITUTE(SUBSTITUTE(TRIM(A176),"أ","ا"),"إ","ا"),"آ","ا"),"ة","ه"),"ى","ي"),"ـ",""))</f>
        <v/>
      </c>
      <c r="D176" s="0" t="str">
        <f aca="false">IF(A176="","",SUBSTITUTE(SUBSTITUTE(SUBSTITUTE(SUBSTITUTE(SUBSTITUTE(SUBSTITUTE(TRIM(A176&amp;" / "&amp;B176),"أ","ا"),"إ","ا"),"آ","ا"),"ة","ه"),"ى","ي"),"ـ",""))</f>
        <v/>
      </c>
    </row>
    <row r="177" customFormat="false" ht="15" hidden="false" customHeight="false" outlineLevel="0" collapsed="false">
      <c r="A177" s="8"/>
      <c r="B177" s="8"/>
      <c r="C177" s="0" t="str">
        <f aca="false">IF(A177="","",SUBSTITUTE(SUBSTITUTE(SUBSTITUTE(SUBSTITUTE(SUBSTITUTE(SUBSTITUTE(TRIM(A177),"أ","ا"),"إ","ا"),"آ","ا"),"ة","ه"),"ى","ي"),"ـ",""))</f>
        <v/>
      </c>
      <c r="D177" s="0" t="str">
        <f aca="false">IF(A177="","",SUBSTITUTE(SUBSTITUTE(SUBSTITUTE(SUBSTITUTE(SUBSTITUTE(SUBSTITUTE(TRIM(A177&amp;" / "&amp;B177),"أ","ا"),"إ","ا"),"آ","ا"),"ة","ه"),"ى","ي"),"ـ",""))</f>
        <v/>
      </c>
    </row>
    <row r="178" customFormat="false" ht="15" hidden="false" customHeight="false" outlineLevel="0" collapsed="false">
      <c r="A178" s="8"/>
      <c r="B178" s="8"/>
      <c r="C178" s="0" t="str">
        <f aca="false">IF(A178="","",SUBSTITUTE(SUBSTITUTE(SUBSTITUTE(SUBSTITUTE(SUBSTITUTE(SUBSTITUTE(TRIM(A178),"أ","ا"),"إ","ا"),"آ","ا"),"ة","ه"),"ى","ي"),"ـ",""))</f>
        <v/>
      </c>
      <c r="D178" s="0" t="str">
        <f aca="false">IF(A178="","",SUBSTITUTE(SUBSTITUTE(SUBSTITUTE(SUBSTITUTE(SUBSTITUTE(SUBSTITUTE(TRIM(A178&amp;" / "&amp;B178),"أ","ا"),"إ","ا"),"آ","ا"),"ة","ه"),"ى","ي"),"ـ",""))</f>
        <v/>
      </c>
    </row>
    <row r="179" customFormat="false" ht="15" hidden="false" customHeight="false" outlineLevel="0" collapsed="false">
      <c r="A179" s="8"/>
      <c r="B179" s="8"/>
      <c r="C179" s="0" t="str">
        <f aca="false">IF(A179="","",SUBSTITUTE(SUBSTITUTE(SUBSTITUTE(SUBSTITUTE(SUBSTITUTE(SUBSTITUTE(TRIM(A179),"أ","ا"),"إ","ا"),"آ","ا"),"ة","ه"),"ى","ي"),"ـ",""))</f>
        <v/>
      </c>
      <c r="D179" s="0" t="str">
        <f aca="false">IF(A179="","",SUBSTITUTE(SUBSTITUTE(SUBSTITUTE(SUBSTITUTE(SUBSTITUTE(SUBSTITUTE(TRIM(A179&amp;" / "&amp;B179),"أ","ا"),"إ","ا"),"آ","ا"),"ة","ه"),"ى","ي"),"ـ",""))</f>
        <v/>
      </c>
    </row>
    <row r="180" customFormat="false" ht="15" hidden="false" customHeight="false" outlineLevel="0" collapsed="false">
      <c r="A180" s="8"/>
      <c r="B180" s="8"/>
      <c r="C180" s="0" t="str">
        <f aca="false">IF(A180="","",SUBSTITUTE(SUBSTITUTE(SUBSTITUTE(SUBSTITUTE(SUBSTITUTE(SUBSTITUTE(TRIM(A180),"أ","ا"),"إ","ا"),"آ","ا"),"ة","ه"),"ى","ي"),"ـ",""))</f>
        <v/>
      </c>
      <c r="D180" s="0" t="str">
        <f aca="false">IF(A180="","",SUBSTITUTE(SUBSTITUTE(SUBSTITUTE(SUBSTITUTE(SUBSTITUTE(SUBSTITUTE(TRIM(A180&amp;" / "&amp;B180),"أ","ا"),"إ","ا"),"آ","ا"),"ة","ه"),"ى","ي"),"ـ",""))</f>
        <v/>
      </c>
    </row>
    <row r="181" customFormat="false" ht="15" hidden="false" customHeight="false" outlineLevel="0" collapsed="false">
      <c r="A181" s="8"/>
      <c r="B181" s="8"/>
      <c r="C181" s="0" t="str">
        <f aca="false">IF(A181="","",SUBSTITUTE(SUBSTITUTE(SUBSTITUTE(SUBSTITUTE(SUBSTITUTE(SUBSTITUTE(TRIM(A181),"أ","ا"),"إ","ا"),"آ","ا"),"ة","ه"),"ى","ي"),"ـ",""))</f>
        <v/>
      </c>
      <c r="D181" s="0" t="str">
        <f aca="false">IF(A181="","",SUBSTITUTE(SUBSTITUTE(SUBSTITUTE(SUBSTITUTE(SUBSTITUTE(SUBSTITUTE(TRIM(A181&amp;" / "&amp;B181),"أ","ا"),"إ","ا"),"آ","ا"),"ة","ه"),"ى","ي"),"ـ",""))</f>
        <v/>
      </c>
    </row>
    <row r="182" customFormat="false" ht="15" hidden="false" customHeight="false" outlineLevel="0" collapsed="false">
      <c r="A182" s="8"/>
      <c r="B182" s="8"/>
      <c r="C182" s="0" t="str">
        <f aca="false">IF(A182="","",SUBSTITUTE(SUBSTITUTE(SUBSTITUTE(SUBSTITUTE(SUBSTITUTE(SUBSTITUTE(TRIM(A182),"أ","ا"),"إ","ا"),"آ","ا"),"ة","ه"),"ى","ي"),"ـ",""))</f>
        <v/>
      </c>
      <c r="D182" s="0" t="str">
        <f aca="false">IF(A182="","",SUBSTITUTE(SUBSTITUTE(SUBSTITUTE(SUBSTITUTE(SUBSTITUTE(SUBSTITUTE(TRIM(A182&amp;" / "&amp;B182),"أ","ا"),"إ","ا"),"آ","ا"),"ة","ه"),"ى","ي"),"ـ",""))</f>
        <v/>
      </c>
    </row>
    <row r="183" customFormat="false" ht="15" hidden="false" customHeight="false" outlineLevel="0" collapsed="false">
      <c r="A183" s="8"/>
      <c r="B183" s="8"/>
      <c r="C183" s="0" t="str">
        <f aca="false">IF(A183="","",SUBSTITUTE(SUBSTITUTE(SUBSTITUTE(SUBSTITUTE(SUBSTITUTE(SUBSTITUTE(TRIM(A183),"أ","ا"),"إ","ا"),"آ","ا"),"ة","ه"),"ى","ي"),"ـ",""))</f>
        <v/>
      </c>
      <c r="D183" s="0" t="str">
        <f aca="false">IF(A183="","",SUBSTITUTE(SUBSTITUTE(SUBSTITUTE(SUBSTITUTE(SUBSTITUTE(SUBSTITUTE(TRIM(A183&amp;" / "&amp;B183),"أ","ا"),"إ","ا"),"آ","ا"),"ة","ه"),"ى","ي"),"ـ",""))</f>
        <v/>
      </c>
    </row>
    <row r="184" customFormat="false" ht="15" hidden="false" customHeight="false" outlineLevel="0" collapsed="false">
      <c r="A184" s="8"/>
      <c r="B184" s="8"/>
      <c r="C184" s="0" t="str">
        <f aca="false">IF(A184="","",SUBSTITUTE(SUBSTITUTE(SUBSTITUTE(SUBSTITUTE(SUBSTITUTE(SUBSTITUTE(TRIM(A184),"أ","ا"),"إ","ا"),"آ","ا"),"ة","ه"),"ى","ي"),"ـ",""))</f>
        <v/>
      </c>
      <c r="D184" s="0" t="str">
        <f aca="false">IF(A184="","",SUBSTITUTE(SUBSTITUTE(SUBSTITUTE(SUBSTITUTE(SUBSTITUTE(SUBSTITUTE(TRIM(A184&amp;" / "&amp;B184),"أ","ا"),"إ","ا"),"آ","ا"),"ة","ه"),"ى","ي"),"ـ",""))</f>
        <v/>
      </c>
    </row>
    <row r="185" customFormat="false" ht="15" hidden="false" customHeight="false" outlineLevel="0" collapsed="false">
      <c r="A185" s="8"/>
      <c r="B185" s="8"/>
      <c r="C185" s="0" t="str">
        <f aca="false">IF(A185="","",SUBSTITUTE(SUBSTITUTE(SUBSTITUTE(SUBSTITUTE(SUBSTITUTE(SUBSTITUTE(TRIM(A185),"أ","ا"),"إ","ا"),"آ","ا"),"ة","ه"),"ى","ي"),"ـ",""))</f>
        <v/>
      </c>
      <c r="D185" s="0" t="str">
        <f aca="false">IF(A185="","",SUBSTITUTE(SUBSTITUTE(SUBSTITUTE(SUBSTITUTE(SUBSTITUTE(SUBSTITUTE(TRIM(A185&amp;" / "&amp;B185),"أ","ا"),"إ","ا"),"آ","ا"),"ة","ه"),"ى","ي"),"ـ",""))</f>
        <v/>
      </c>
    </row>
    <row r="186" customFormat="false" ht="15" hidden="false" customHeight="false" outlineLevel="0" collapsed="false">
      <c r="A186" s="8"/>
      <c r="B186" s="8"/>
      <c r="C186" s="0" t="str">
        <f aca="false">IF(A186="","",SUBSTITUTE(SUBSTITUTE(SUBSTITUTE(SUBSTITUTE(SUBSTITUTE(SUBSTITUTE(TRIM(A186),"أ","ا"),"إ","ا"),"آ","ا"),"ة","ه"),"ى","ي"),"ـ",""))</f>
        <v/>
      </c>
      <c r="D186" s="0" t="str">
        <f aca="false">IF(A186="","",SUBSTITUTE(SUBSTITUTE(SUBSTITUTE(SUBSTITUTE(SUBSTITUTE(SUBSTITUTE(TRIM(A186&amp;" / "&amp;B186),"أ","ا"),"إ","ا"),"آ","ا"),"ة","ه"),"ى","ي"),"ـ",""))</f>
        <v/>
      </c>
    </row>
    <row r="187" customFormat="false" ht="15" hidden="false" customHeight="false" outlineLevel="0" collapsed="false">
      <c r="A187" s="8"/>
      <c r="B187" s="8"/>
      <c r="C187" s="0" t="str">
        <f aca="false">IF(A187="","",SUBSTITUTE(SUBSTITUTE(SUBSTITUTE(SUBSTITUTE(SUBSTITUTE(SUBSTITUTE(TRIM(A187),"أ","ا"),"إ","ا"),"آ","ا"),"ة","ه"),"ى","ي"),"ـ",""))</f>
        <v/>
      </c>
      <c r="D187" s="0" t="str">
        <f aca="false">IF(A187="","",SUBSTITUTE(SUBSTITUTE(SUBSTITUTE(SUBSTITUTE(SUBSTITUTE(SUBSTITUTE(TRIM(A187&amp;" / "&amp;B187),"أ","ا"),"إ","ا"),"آ","ا"),"ة","ه"),"ى","ي"),"ـ",""))</f>
        <v/>
      </c>
    </row>
    <row r="188" customFormat="false" ht="15" hidden="false" customHeight="false" outlineLevel="0" collapsed="false">
      <c r="A188" s="8"/>
      <c r="B188" s="8"/>
      <c r="C188" s="0" t="str">
        <f aca="false">IF(A188="","",SUBSTITUTE(SUBSTITUTE(SUBSTITUTE(SUBSTITUTE(SUBSTITUTE(SUBSTITUTE(TRIM(A188),"أ","ا"),"إ","ا"),"آ","ا"),"ة","ه"),"ى","ي"),"ـ",""))</f>
        <v/>
      </c>
      <c r="D188" s="0" t="str">
        <f aca="false">IF(A188="","",SUBSTITUTE(SUBSTITUTE(SUBSTITUTE(SUBSTITUTE(SUBSTITUTE(SUBSTITUTE(TRIM(A188&amp;" / "&amp;B188),"أ","ا"),"إ","ا"),"آ","ا"),"ة","ه"),"ى","ي"),"ـ",""))</f>
        <v/>
      </c>
    </row>
    <row r="189" customFormat="false" ht="15" hidden="false" customHeight="false" outlineLevel="0" collapsed="false">
      <c r="A189" s="8"/>
      <c r="B189" s="8"/>
      <c r="C189" s="0" t="str">
        <f aca="false">IF(A189="","",SUBSTITUTE(SUBSTITUTE(SUBSTITUTE(SUBSTITUTE(SUBSTITUTE(SUBSTITUTE(TRIM(A189),"أ","ا"),"إ","ا"),"آ","ا"),"ة","ه"),"ى","ي"),"ـ",""))</f>
        <v/>
      </c>
      <c r="D189" s="0" t="str">
        <f aca="false">IF(A189="","",SUBSTITUTE(SUBSTITUTE(SUBSTITUTE(SUBSTITUTE(SUBSTITUTE(SUBSTITUTE(TRIM(A189&amp;" / "&amp;B189),"أ","ا"),"إ","ا"),"آ","ا"),"ة","ه"),"ى","ي"),"ـ",""))</f>
        <v/>
      </c>
    </row>
    <row r="190" customFormat="false" ht="15" hidden="false" customHeight="false" outlineLevel="0" collapsed="false">
      <c r="A190" s="8"/>
      <c r="B190" s="8"/>
      <c r="C190" s="0" t="str">
        <f aca="false">IF(A190="","",SUBSTITUTE(SUBSTITUTE(SUBSTITUTE(SUBSTITUTE(SUBSTITUTE(SUBSTITUTE(TRIM(A190),"أ","ا"),"إ","ا"),"آ","ا"),"ة","ه"),"ى","ي"),"ـ",""))</f>
        <v/>
      </c>
      <c r="D190" s="0" t="str">
        <f aca="false">IF(A190="","",SUBSTITUTE(SUBSTITUTE(SUBSTITUTE(SUBSTITUTE(SUBSTITUTE(SUBSTITUTE(TRIM(A190&amp;" / "&amp;B190),"أ","ا"),"إ","ا"),"آ","ا"),"ة","ه"),"ى","ي"),"ـ",""))</f>
        <v/>
      </c>
    </row>
    <row r="191" customFormat="false" ht="15" hidden="false" customHeight="false" outlineLevel="0" collapsed="false">
      <c r="A191" s="8"/>
      <c r="B191" s="8"/>
      <c r="C191" s="0" t="str">
        <f aca="false">IF(A191="","",SUBSTITUTE(SUBSTITUTE(SUBSTITUTE(SUBSTITUTE(SUBSTITUTE(SUBSTITUTE(TRIM(A191),"أ","ا"),"إ","ا"),"آ","ا"),"ة","ه"),"ى","ي"),"ـ",""))</f>
        <v/>
      </c>
      <c r="D191" s="0" t="str">
        <f aca="false">IF(A191="","",SUBSTITUTE(SUBSTITUTE(SUBSTITUTE(SUBSTITUTE(SUBSTITUTE(SUBSTITUTE(TRIM(A191&amp;" / "&amp;B191),"أ","ا"),"إ","ا"),"آ","ا"),"ة","ه"),"ى","ي"),"ـ",""))</f>
        <v/>
      </c>
    </row>
    <row r="192" customFormat="false" ht="15" hidden="false" customHeight="false" outlineLevel="0" collapsed="false">
      <c r="A192" s="8"/>
      <c r="B192" s="8"/>
      <c r="C192" s="0" t="str">
        <f aca="false">IF(A192="","",SUBSTITUTE(SUBSTITUTE(SUBSTITUTE(SUBSTITUTE(SUBSTITUTE(SUBSTITUTE(TRIM(A192),"أ","ا"),"إ","ا"),"آ","ا"),"ة","ه"),"ى","ي"),"ـ",""))</f>
        <v/>
      </c>
      <c r="D192" s="0" t="str">
        <f aca="false">IF(A192="","",SUBSTITUTE(SUBSTITUTE(SUBSTITUTE(SUBSTITUTE(SUBSTITUTE(SUBSTITUTE(TRIM(A192&amp;" / "&amp;B192),"أ","ا"),"إ","ا"),"آ","ا"),"ة","ه"),"ى","ي"),"ـ",""))</f>
        <v/>
      </c>
    </row>
    <row r="193" customFormat="false" ht="15" hidden="false" customHeight="false" outlineLevel="0" collapsed="false">
      <c r="A193" s="8"/>
      <c r="B193" s="8"/>
      <c r="C193" s="0" t="str">
        <f aca="false">IF(A193="","",SUBSTITUTE(SUBSTITUTE(SUBSTITUTE(SUBSTITUTE(SUBSTITUTE(SUBSTITUTE(TRIM(A193),"أ","ا"),"إ","ا"),"آ","ا"),"ة","ه"),"ى","ي"),"ـ",""))</f>
        <v/>
      </c>
      <c r="D193" s="0" t="str">
        <f aca="false">IF(A193="","",SUBSTITUTE(SUBSTITUTE(SUBSTITUTE(SUBSTITUTE(SUBSTITUTE(SUBSTITUTE(TRIM(A193&amp;" / "&amp;B193),"أ","ا"),"إ","ا"),"آ","ا"),"ة","ه"),"ى","ي"),"ـ",""))</f>
        <v/>
      </c>
    </row>
    <row r="194" customFormat="false" ht="15" hidden="false" customHeight="false" outlineLevel="0" collapsed="false">
      <c r="A194" s="8"/>
      <c r="B194" s="8"/>
      <c r="C194" s="0" t="str">
        <f aca="false">IF(A194="","",SUBSTITUTE(SUBSTITUTE(SUBSTITUTE(SUBSTITUTE(SUBSTITUTE(SUBSTITUTE(TRIM(A194),"أ","ا"),"إ","ا"),"آ","ا"),"ة","ه"),"ى","ي"),"ـ",""))</f>
        <v/>
      </c>
      <c r="D194" s="0" t="str">
        <f aca="false">IF(A194="","",SUBSTITUTE(SUBSTITUTE(SUBSTITUTE(SUBSTITUTE(SUBSTITUTE(SUBSTITUTE(TRIM(A194&amp;" / "&amp;B194),"أ","ا"),"إ","ا"),"آ","ا"),"ة","ه"),"ى","ي"),"ـ",""))</f>
        <v/>
      </c>
    </row>
    <row r="195" customFormat="false" ht="15" hidden="false" customHeight="false" outlineLevel="0" collapsed="false">
      <c r="A195" s="8"/>
      <c r="B195" s="8"/>
      <c r="C195" s="0" t="str">
        <f aca="false">IF(A195="","",SUBSTITUTE(SUBSTITUTE(SUBSTITUTE(SUBSTITUTE(SUBSTITUTE(SUBSTITUTE(TRIM(A195),"أ","ا"),"إ","ا"),"آ","ا"),"ة","ه"),"ى","ي"),"ـ",""))</f>
        <v/>
      </c>
      <c r="D195" s="0" t="str">
        <f aca="false">IF(A195="","",SUBSTITUTE(SUBSTITUTE(SUBSTITUTE(SUBSTITUTE(SUBSTITUTE(SUBSTITUTE(TRIM(A195&amp;" / "&amp;B195),"أ","ا"),"إ","ا"),"آ","ا"),"ة","ه"),"ى","ي"),"ـ",""))</f>
        <v/>
      </c>
    </row>
    <row r="196" customFormat="false" ht="15" hidden="false" customHeight="false" outlineLevel="0" collapsed="false">
      <c r="A196" s="8"/>
      <c r="B196" s="8"/>
      <c r="C196" s="0" t="str">
        <f aca="false">IF(A196="","",SUBSTITUTE(SUBSTITUTE(SUBSTITUTE(SUBSTITUTE(SUBSTITUTE(SUBSTITUTE(TRIM(A196),"أ","ا"),"إ","ا"),"آ","ا"),"ة","ه"),"ى","ي"),"ـ",""))</f>
        <v/>
      </c>
      <c r="D196" s="0" t="str">
        <f aca="false">IF(A196="","",SUBSTITUTE(SUBSTITUTE(SUBSTITUTE(SUBSTITUTE(SUBSTITUTE(SUBSTITUTE(TRIM(A196&amp;" / "&amp;B196),"أ","ا"),"إ","ا"),"آ","ا"),"ة","ه"),"ى","ي"),"ـ",""))</f>
        <v/>
      </c>
    </row>
    <row r="197" customFormat="false" ht="15" hidden="false" customHeight="false" outlineLevel="0" collapsed="false">
      <c r="A197" s="8"/>
      <c r="B197" s="8"/>
      <c r="C197" s="0" t="str">
        <f aca="false">IF(A197="","",SUBSTITUTE(SUBSTITUTE(SUBSTITUTE(SUBSTITUTE(SUBSTITUTE(SUBSTITUTE(TRIM(A197),"أ","ا"),"إ","ا"),"آ","ا"),"ة","ه"),"ى","ي"),"ـ",""))</f>
        <v/>
      </c>
      <c r="D197" s="0" t="str">
        <f aca="false">IF(A197="","",SUBSTITUTE(SUBSTITUTE(SUBSTITUTE(SUBSTITUTE(SUBSTITUTE(SUBSTITUTE(TRIM(A197&amp;" / "&amp;B197),"أ","ا"),"إ","ا"),"آ","ا"),"ة","ه"),"ى","ي"),"ـ",""))</f>
        <v/>
      </c>
    </row>
    <row r="198" customFormat="false" ht="15" hidden="false" customHeight="false" outlineLevel="0" collapsed="false">
      <c r="A198" s="8"/>
      <c r="B198" s="8"/>
      <c r="C198" s="0" t="str">
        <f aca="false">IF(A198="","",SUBSTITUTE(SUBSTITUTE(SUBSTITUTE(SUBSTITUTE(SUBSTITUTE(SUBSTITUTE(TRIM(A198),"أ","ا"),"إ","ا"),"آ","ا"),"ة","ه"),"ى","ي"),"ـ",""))</f>
        <v/>
      </c>
      <c r="D198" s="0" t="str">
        <f aca="false">IF(A198="","",SUBSTITUTE(SUBSTITUTE(SUBSTITUTE(SUBSTITUTE(SUBSTITUTE(SUBSTITUTE(TRIM(A198&amp;" / "&amp;B198),"أ","ا"),"إ","ا"),"آ","ا"),"ة","ه"),"ى","ي"),"ـ",""))</f>
        <v/>
      </c>
    </row>
    <row r="199" customFormat="false" ht="15" hidden="false" customHeight="false" outlineLevel="0" collapsed="false">
      <c r="A199" s="8"/>
      <c r="B199" s="8"/>
      <c r="C199" s="0" t="str">
        <f aca="false">IF(A199="","",SUBSTITUTE(SUBSTITUTE(SUBSTITUTE(SUBSTITUTE(SUBSTITUTE(SUBSTITUTE(TRIM(A199),"أ","ا"),"إ","ا"),"آ","ا"),"ة","ه"),"ى","ي"),"ـ",""))</f>
        <v/>
      </c>
      <c r="D199" s="0" t="str">
        <f aca="false">IF(A199="","",SUBSTITUTE(SUBSTITUTE(SUBSTITUTE(SUBSTITUTE(SUBSTITUTE(SUBSTITUTE(TRIM(A199&amp;" / "&amp;B199),"أ","ا"),"إ","ا"),"آ","ا"),"ة","ه"),"ى","ي"),"ـ",""))</f>
        <v/>
      </c>
    </row>
    <row r="200" customFormat="false" ht="15" hidden="false" customHeight="false" outlineLevel="0" collapsed="false">
      <c r="A200" s="8"/>
      <c r="B200" s="8"/>
      <c r="C200" s="0" t="str">
        <f aca="false">IF(A200="","",SUBSTITUTE(SUBSTITUTE(SUBSTITUTE(SUBSTITUTE(SUBSTITUTE(SUBSTITUTE(TRIM(A200),"أ","ا"),"إ","ا"),"آ","ا"),"ة","ه"),"ى","ي"),"ـ",""))</f>
        <v/>
      </c>
      <c r="D200" s="0" t="str">
        <f aca="false">IF(A200="","",SUBSTITUTE(SUBSTITUTE(SUBSTITUTE(SUBSTITUTE(SUBSTITUTE(SUBSTITUTE(TRIM(A200&amp;" / "&amp;B200),"أ","ا"),"إ","ا"),"آ","ا"),"ة","ه"),"ى","ي"),"ـ",""))</f>
        <v/>
      </c>
    </row>
    <row r="201" customFormat="false" ht="15" hidden="false" customHeight="false" outlineLevel="0" collapsed="false">
      <c r="A201" s="8"/>
      <c r="B201" s="8"/>
      <c r="C201" s="0" t="str">
        <f aca="false">IF(A201="","",SUBSTITUTE(SUBSTITUTE(SUBSTITUTE(SUBSTITUTE(SUBSTITUTE(SUBSTITUTE(TRIM(A201),"أ","ا"),"إ","ا"),"آ","ا"),"ة","ه"),"ى","ي"),"ـ",""))</f>
        <v/>
      </c>
      <c r="D201" s="0" t="str">
        <f aca="false">IF(A201="","",SUBSTITUTE(SUBSTITUTE(SUBSTITUTE(SUBSTITUTE(SUBSTITUTE(SUBSTITUTE(TRIM(A201&amp;" / "&amp;B201),"أ","ا"),"إ","ا"),"آ","ا"),"ة","ه"),"ى","ي"),"ـ",""))</f>
        <v/>
      </c>
    </row>
    <row r="202" customFormat="false" ht="15" hidden="false" customHeight="false" outlineLevel="0" collapsed="false">
      <c r="A202" s="8"/>
      <c r="B202" s="8"/>
      <c r="C202" s="0" t="str">
        <f aca="false">IF(A202="","",SUBSTITUTE(SUBSTITUTE(SUBSTITUTE(SUBSTITUTE(SUBSTITUTE(SUBSTITUTE(TRIM(A202),"أ","ا"),"إ","ا"),"آ","ا"),"ة","ه"),"ى","ي"),"ـ",""))</f>
        <v/>
      </c>
      <c r="D202" s="0" t="str">
        <f aca="false">IF(A202="","",SUBSTITUTE(SUBSTITUTE(SUBSTITUTE(SUBSTITUTE(SUBSTITUTE(SUBSTITUTE(TRIM(A202&amp;" / "&amp;B202),"أ","ا"),"إ","ا"),"آ","ا"),"ة","ه"),"ى","ي"),"ـ",""))</f>
        <v/>
      </c>
    </row>
    <row r="203" customFormat="false" ht="15" hidden="false" customHeight="false" outlineLevel="0" collapsed="false">
      <c r="A203" s="8"/>
      <c r="B203" s="8"/>
      <c r="C203" s="0" t="str">
        <f aca="false">IF(A203="","",SUBSTITUTE(SUBSTITUTE(SUBSTITUTE(SUBSTITUTE(SUBSTITUTE(SUBSTITUTE(TRIM(A203),"أ","ا"),"إ","ا"),"آ","ا"),"ة","ه"),"ى","ي"),"ـ",""))</f>
        <v/>
      </c>
      <c r="D203" s="0" t="str">
        <f aca="false">IF(A203="","",SUBSTITUTE(SUBSTITUTE(SUBSTITUTE(SUBSTITUTE(SUBSTITUTE(SUBSTITUTE(TRIM(A203&amp;" / "&amp;B203),"أ","ا"),"إ","ا"),"آ","ا"),"ة","ه"),"ى","ي"),"ـ",""))</f>
        <v/>
      </c>
    </row>
  </sheetData>
  <mergeCells count="2">
    <mergeCell ref="A1:B1"/>
    <mergeCell ref="A2:B2"/>
  </mergeCells>
  <conditionalFormatting sqref="A4:A203">
    <cfRule type="expression" priority="2" aboveAverage="0" equalAverage="0" bottom="0" percent="0" rank="0" text="" dxfId="0">
      <formula>AND(A4&lt;&gt;"",COUNTIF($A$4:$A$203,A4)&gt;1)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D20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true" outlineLevel="0" max="3" min="3" style="0" width="30"/>
    <col collapsed="false" customWidth="true" hidden="true" outlineLevel="0" max="4" min="4" style="0" width="50"/>
  </cols>
  <sheetData>
    <row r="1" customFormat="false" ht="36" hidden="false" customHeight="true" outlineLevel="0" collapsed="false">
      <c r="A1" s="1" t="s">
        <v>70</v>
      </c>
      <c r="B1" s="1"/>
    </row>
    <row r="2" customFormat="false" ht="30" hidden="false" customHeight="true" outlineLevel="0" collapsed="false">
      <c r="A2" s="18" t="s">
        <v>52</v>
      </c>
      <c r="B2" s="18"/>
    </row>
    <row r="3" customFormat="false" ht="39.75" hidden="false" customHeight="true" outlineLevel="0" collapsed="false">
      <c r="A3" s="7" t="s">
        <v>71</v>
      </c>
      <c r="B3" s="7" t="s">
        <v>53</v>
      </c>
      <c r="C3" s="7" t="s">
        <v>54</v>
      </c>
      <c r="D3" s="7" t="s">
        <v>55</v>
      </c>
    </row>
    <row r="4" customFormat="false" ht="15" hidden="false" customHeight="false" outlineLevel="0" collapsed="false">
      <c r="A4" s="8" t="s">
        <v>19</v>
      </c>
      <c r="B4" s="8"/>
      <c r="C4" s="0" t="str">
        <f aca="false">IF(A4="","",SUBSTITUTE(SUBSTITUTE(SUBSTITUTE(SUBSTITUTE(SUBSTITUTE(SUBSTITUTE(TRIM(A4),"أ","ا"),"إ","ا"),"آ","ا"),"ة","ه"),"ى","ي"),"ـ",""))</f>
        <v>بصل كبير</v>
      </c>
      <c r="D4" s="0" t="str">
        <f aca="false">IF(A4="","",SUBSTITUTE(SUBSTITUTE(SUBSTITUTE(SUBSTITUTE(SUBSTITUTE(SUBSTITUTE(TRIM(A4&amp;" / "&amp;B4),"أ","ا"),"إ","ا"),"آ","ا"),"ة","ه"),"ى","ي"),"ـ",""))</f>
        <v>بصل كبير /</v>
      </c>
    </row>
    <row r="5" customFormat="false" ht="15" hidden="false" customHeight="false" outlineLevel="0" collapsed="false">
      <c r="A5" s="8" t="s">
        <v>72</v>
      </c>
      <c r="B5" s="8"/>
      <c r="C5" s="0" t="str">
        <f aca="false">IF(A5="","",SUBSTITUTE(SUBSTITUTE(SUBSTITUTE(SUBSTITUTE(SUBSTITUTE(SUBSTITUTE(TRIM(A5),"أ","ا"),"إ","ا"),"آ","ا"),"ة","ه"),"ى","ي"),"ـ",""))</f>
        <v>بصل صغير</v>
      </c>
      <c r="D5" s="0" t="str">
        <f aca="false">IF(A5="","",SUBSTITUTE(SUBSTITUTE(SUBSTITUTE(SUBSTITUTE(SUBSTITUTE(SUBSTITUTE(TRIM(A5&amp;" / "&amp;B5),"أ","ا"),"إ","ا"),"آ","ا"),"ة","ه"),"ى","ي"),"ـ",""))</f>
        <v>بصل صغير /</v>
      </c>
    </row>
    <row r="6" customFormat="false" ht="15" hidden="false" customHeight="false" outlineLevel="0" collapsed="false">
      <c r="A6" s="8" t="s">
        <v>23</v>
      </c>
      <c r="B6" s="8"/>
      <c r="C6" s="0" t="str">
        <f aca="false">IF(A6="","",SUBSTITUTE(SUBSTITUTE(SUBSTITUTE(SUBSTITUTE(SUBSTITUTE(SUBSTITUTE(TRIM(A6),"أ","ا"),"إ","ا"),"آ","ا"),"ة","ه"),"ى","ي"),"ـ",""))</f>
        <v>بطاطس كبير</v>
      </c>
      <c r="D6" s="0" t="str">
        <f aca="false">IF(A6="","",SUBSTITUTE(SUBSTITUTE(SUBSTITUTE(SUBSTITUTE(SUBSTITUTE(SUBSTITUTE(TRIM(A6&amp;" / "&amp;B6),"أ","ا"),"إ","ا"),"آ","ا"),"ة","ه"),"ى","ي"),"ـ",""))</f>
        <v>بطاطس كبير /</v>
      </c>
    </row>
    <row r="7" customFormat="false" ht="15" hidden="false" customHeight="false" outlineLevel="0" collapsed="false">
      <c r="A7" s="8" t="s">
        <v>73</v>
      </c>
      <c r="B7" s="8" t="s">
        <v>74</v>
      </c>
      <c r="C7" s="0" t="str">
        <f aca="false">IF(A7="","",SUBSTITUTE(SUBSTITUTE(SUBSTITUTE(SUBSTITUTE(SUBSTITUTE(SUBSTITUTE(TRIM(A7),"أ","ا"),"إ","ا"),"آ","ا"),"ة","ه"),"ى","ي"),"ـ",""))</f>
        <v>بطاطس 2 K</v>
      </c>
      <c r="D7" s="0" t="str">
        <f aca="false">IF(A7="","",SUBSTITUTE(SUBSTITUTE(SUBSTITUTE(SUBSTITUTE(SUBSTITUTE(SUBSTITUTE(TRIM(A7&amp;" / "&amp;B7),"أ","ا"),"إ","ا"),"آ","ا"),"ة","ه"),"ى","ي"),"ـ",""))</f>
        <v>بطاطس 2 K / بطاطس 2 كيلو</v>
      </c>
    </row>
    <row r="8" customFormat="false" ht="15" hidden="false" customHeight="false" outlineLevel="0" collapsed="false">
      <c r="A8" s="8" t="s">
        <v>27</v>
      </c>
      <c r="B8" s="8"/>
      <c r="C8" s="0" t="str">
        <f aca="false">IF(A8="","",SUBSTITUTE(SUBSTITUTE(SUBSTITUTE(SUBSTITUTE(SUBSTITUTE(SUBSTITUTE(TRIM(A8),"أ","ا"),"إ","ا"),"آ","ا"),"ة","ه"),"ى","ي"),"ـ",""))</f>
        <v>بصل ابيض</v>
      </c>
      <c r="D8" s="0" t="str">
        <f aca="false">IF(A8="","",SUBSTITUTE(SUBSTITUTE(SUBSTITUTE(SUBSTITUTE(SUBSTITUTE(SUBSTITUTE(TRIM(A8&amp;" / "&amp;B8),"أ","ا"),"إ","ا"),"آ","ا"),"ة","ه"),"ى","ي"),"ـ",""))</f>
        <v>بصل ابيض /</v>
      </c>
    </row>
    <row r="9" customFormat="false" ht="15" hidden="false" customHeight="false" outlineLevel="0" collapsed="false">
      <c r="A9" s="8" t="s">
        <v>75</v>
      </c>
      <c r="B9" s="8"/>
      <c r="C9" s="0" t="str">
        <f aca="false">IF(A9="","",SUBSTITUTE(SUBSTITUTE(SUBSTITUTE(SUBSTITUTE(SUBSTITUTE(SUBSTITUTE(TRIM(A9),"أ","ا"),"إ","ا"),"آ","ا"),"ة","ه"),"ى","ي"),"ـ",""))</f>
        <v>طماطم محميه</v>
      </c>
      <c r="D9" s="0" t="str">
        <f aca="false">IF(A9="","",SUBSTITUTE(SUBSTITUTE(SUBSTITUTE(SUBSTITUTE(SUBSTITUTE(SUBSTITUTE(TRIM(A9&amp;" / "&amp;B9),"أ","ا"),"إ","ا"),"آ","ا"),"ة","ه"),"ى","ي"),"ـ",""))</f>
        <v>طماطم محميه /</v>
      </c>
    </row>
    <row r="10" customFormat="false" ht="15" hidden="false" customHeight="false" outlineLevel="0" collapsed="false">
      <c r="A10" s="8" t="s">
        <v>76</v>
      </c>
      <c r="B10" s="8"/>
      <c r="C10" s="0" t="str">
        <f aca="false">IF(A10="","",SUBSTITUTE(SUBSTITUTE(SUBSTITUTE(SUBSTITUTE(SUBSTITUTE(SUBSTITUTE(TRIM(A10),"أ","ا"),"إ","ا"),"آ","ا"),"ة","ه"),"ى","ي"),"ـ",""))</f>
        <v>خيار بلدي</v>
      </c>
      <c r="D10" s="0" t="str">
        <f aca="false">IF(A10="","",SUBSTITUTE(SUBSTITUTE(SUBSTITUTE(SUBSTITUTE(SUBSTITUTE(SUBSTITUTE(TRIM(A10&amp;" / "&amp;B10),"أ","ا"),"إ","ا"),"آ","ا"),"ة","ه"),"ى","ي"),"ـ",""))</f>
        <v>خيار بلدي /</v>
      </c>
    </row>
    <row r="11" customFormat="false" ht="15" hidden="false" customHeight="false" outlineLevel="0" collapsed="false">
      <c r="A11" s="8" t="s">
        <v>77</v>
      </c>
      <c r="B11" s="8"/>
      <c r="C11" s="0" t="str">
        <f aca="false">IF(A11="","",SUBSTITUTE(SUBSTITUTE(SUBSTITUTE(SUBSTITUTE(SUBSTITUTE(SUBSTITUTE(TRIM(A11),"أ","ا"),"إ","ا"),"آ","ا"),"ة","ه"),"ى","ي"),"ـ",""))</f>
        <v>كوسه طازجه</v>
      </c>
      <c r="D11" s="0" t="str">
        <f aca="false">IF(A11="","",SUBSTITUTE(SUBSTITUTE(SUBSTITUTE(SUBSTITUTE(SUBSTITUTE(SUBSTITUTE(TRIM(A11&amp;" / "&amp;B11),"أ","ا"),"إ","ا"),"آ","ا"),"ة","ه"),"ى","ي"),"ـ",""))</f>
        <v>كوسه طازجه /</v>
      </c>
    </row>
    <row r="12" customFormat="false" ht="15" hidden="false" customHeight="false" outlineLevel="0" collapsed="false">
      <c r="A12" s="8" t="s">
        <v>78</v>
      </c>
      <c r="B12" s="8" t="s">
        <v>79</v>
      </c>
      <c r="C12" s="0" t="str">
        <f aca="false">IF(A12="","",SUBSTITUTE(SUBSTITUTE(SUBSTITUTE(SUBSTITUTE(SUBSTITUTE(SUBSTITUTE(TRIM(A12),"أ","ا"),"إ","ا"),"آ","ا"),"ة","ه"),"ى","ي"),"ـ",""))</f>
        <v>جزر استرالي</v>
      </c>
      <c r="D12" s="0" t="str">
        <f aca="false">IF(A12="","",SUBSTITUTE(SUBSTITUTE(SUBSTITUTE(SUBSTITUTE(SUBSTITUTE(SUBSTITUTE(TRIM(A12&amp;" / "&amp;B12),"أ","ا"),"إ","ا"),"آ","ا"),"ة","ه"),"ى","ي"),"ـ",""))</f>
        <v>جزر استرالي / جزر</v>
      </c>
    </row>
    <row r="13" customFormat="false" ht="15" hidden="false" customHeight="false" outlineLevel="0" collapsed="false">
      <c r="A13" s="8" t="s">
        <v>36</v>
      </c>
      <c r="B13" s="8"/>
      <c r="C13" s="0" t="str">
        <f aca="false">IF(A13="","",SUBSTITUTE(SUBSTITUTE(SUBSTITUTE(SUBSTITUTE(SUBSTITUTE(SUBSTITUTE(TRIM(A13),"أ","ا"),"إ","ا"),"آ","ا"),"ة","ه"),"ى","ي"),"ـ",""))</f>
        <v>عنب ابيض</v>
      </c>
      <c r="D13" s="0" t="str">
        <f aca="false">IF(A13="","",SUBSTITUTE(SUBSTITUTE(SUBSTITUTE(SUBSTITUTE(SUBSTITUTE(SUBSTITUTE(TRIM(A13&amp;" / "&amp;B13),"أ","ا"),"إ","ا"),"آ","ا"),"ة","ه"),"ى","ي"),"ـ",""))</f>
        <v>عنب ابيض /</v>
      </c>
    </row>
    <row r="14" customFormat="false" ht="15" hidden="false" customHeight="false" outlineLevel="0" collapsed="false">
      <c r="A14" s="8" t="s">
        <v>80</v>
      </c>
      <c r="B14" s="8"/>
      <c r="C14" s="0" t="str">
        <f aca="false">IF(A14="","",SUBSTITUTE(SUBSTITUTE(SUBSTITUTE(SUBSTITUTE(SUBSTITUTE(SUBSTITUTE(TRIM(A14),"أ","ا"),"إ","ا"),"آ","ا"),"ة","ه"),"ى","ي"),"ـ",""))</f>
        <v>كيوي</v>
      </c>
      <c r="D14" s="0" t="str">
        <f aca="false">IF(A14="","",SUBSTITUTE(SUBSTITUTE(SUBSTITUTE(SUBSTITUTE(SUBSTITUTE(SUBSTITUTE(TRIM(A14&amp;" / "&amp;B14),"أ","ا"),"إ","ا"),"آ","ا"),"ة","ه"),"ى","ي"),"ـ",""))</f>
        <v>كيوي /</v>
      </c>
    </row>
    <row r="15" customFormat="false" ht="15" hidden="false" customHeight="false" outlineLevel="0" collapsed="false">
      <c r="A15" s="8" t="s">
        <v>81</v>
      </c>
      <c r="B15" s="8"/>
      <c r="C15" s="0" t="str">
        <f aca="false">IF(A15="","",SUBSTITUTE(SUBSTITUTE(SUBSTITUTE(SUBSTITUTE(SUBSTITUTE(SUBSTITUTE(TRIM(A15),"أ","ا"),"إ","ا"),"آ","ا"),"ة","ه"),"ى","ي"),"ـ",""))</f>
        <v>ليمون</v>
      </c>
      <c r="D15" s="0" t="str">
        <f aca="false">IF(A15="","",SUBSTITUTE(SUBSTITUTE(SUBSTITUTE(SUBSTITUTE(SUBSTITUTE(SUBSTITUTE(TRIM(A15&amp;" / "&amp;B15),"أ","ا"),"إ","ا"),"آ","ا"),"ة","ه"),"ى","ي"),"ـ",""))</f>
        <v>ليمون /</v>
      </c>
    </row>
    <row r="16" customFormat="false" ht="15" hidden="false" customHeight="false" outlineLevel="0" collapsed="false">
      <c r="A16" s="8" t="s">
        <v>39</v>
      </c>
      <c r="B16" s="8"/>
      <c r="C16" s="0" t="str">
        <f aca="false">IF(A16="","",SUBSTITUTE(SUBSTITUTE(SUBSTITUTE(SUBSTITUTE(SUBSTITUTE(SUBSTITUTE(TRIM(A16),"أ","ا"),"إ","ا"),"آ","ا"),"ة","ه"),"ى","ي"),"ـ",""))</f>
        <v>برتقال عصير</v>
      </c>
      <c r="D16" s="0" t="str">
        <f aca="false">IF(A16="","",SUBSTITUTE(SUBSTITUTE(SUBSTITUTE(SUBSTITUTE(SUBSTITUTE(SUBSTITUTE(TRIM(A16&amp;" / "&amp;B16),"أ","ا"),"إ","ا"),"آ","ا"),"ة","ه"),"ى","ي"),"ـ",""))</f>
        <v>برتقال عصير /</v>
      </c>
    </row>
    <row r="17" customFormat="false" ht="15" hidden="false" customHeight="false" outlineLevel="0" collapsed="false">
      <c r="A17" s="8" t="s">
        <v>82</v>
      </c>
      <c r="B17" s="8" t="s">
        <v>83</v>
      </c>
      <c r="C17" s="0" t="str">
        <f aca="false">IF(A17="","",SUBSTITUTE(SUBSTITUTE(SUBSTITUTE(SUBSTITUTE(SUBSTITUTE(SUBSTITUTE(TRIM(A17),"أ","ا"),"إ","ا"),"آ","ا"),"ة","ه"),"ى","ي"),"ـ",""))</f>
        <v>برتقال ابو صره</v>
      </c>
      <c r="D17" s="0" t="str">
        <f aca="false">IF(A17="","",SUBSTITUTE(SUBSTITUTE(SUBSTITUTE(SUBSTITUTE(SUBSTITUTE(SUBSTITUTE(TRIM(A17&amp;" / "&amp;B17),"أ","ا"),"إ","ا"),"آ","ا"),"ة","ه"),"ى","ي"),"ـ",""))</f>
        <v>برتقال ابو صره / ابو صره</v>
      </c>
    </row>
    <row r="18" customFormat="false" ht="15" hidden="false" customHeight="false" outlineLevel="0" collapsed="false">
      <c r="A18" s="8" t="s">
        <v>84</v>
      </c>
      <c r="B18" s="8" t="s">
        <v>85</v>
      </c>
      <c r="C18" s="0" t="str">
        <f aca="false">IF(A18="","",SUBSTITUTE(SUBSTITUTE(SUBSTITUTE(SUBSTITUTE(SUBSTITUTE(SUBSTITUTE(TRIM(A18),"أ","ا"),"إ","ا"),"آ","ا"),"ة","ه"),"ى","ي"),"ـ",""))</f>
        <v>كاكا</v>
      </c>
      <c r="D18" s="0" t="str">
        <f aca="false">IF(A18="","",SUBSTITUTE(SUBSTITUTE(SUBSTITUTE(SUBSTITUTE(SUBSTITUTE(SUBSTITUTE(TRIM(A18&amp;" / "&amp;B18),"أ","ا"),"إ","ا"),"آ","ا"),"ة","ه"),"ى","ي"),"ـ",""))</f>
        <v>كاكا / كاكي</v>
      </c>
    </row>
    <row r="19" customFormat="false" ht="15" hidden="false" customHeight="false" outlineLevel="0" collapsed="false">
      <c r="A19" s="8" t="s">
        <v>42</v>
      </c>
      <c r="B19" s="8" t="s">
        <v>86</v>
      </c>
      <c r="C19" s="0" t="str">
        <f aca="false">IF(A19="","",SUBSTITUTE(SUBSTITUTE(SUBSTITUTE(SUBSTITUTE(SUBSTITUTE(SUBSTITUTE(TRIM(A19),"أ","ا"),"إ","ا"),"آ","ا"),"ة","ه"),"ى","ي"),"ـ",""))</f>
        <v>فراوله</v>
      </c>
      <c r="D19" s="0" t="str">
        <f aca="false">IF(A19="","",SUBSTITUTE(SUBSTITUTE(SUBSTITUTE(SUBSTITUTE(SUBSTITUTE(SUBSTITUTE(TRIM(A19&amp;" / "&amp;B19),"أ","ا"),"إ","ا"),"آ","ا"),"ة","ه"),"ى","ي"),"ـ",""))</f>
        <v>فراوله / فراوله</v>
      </c>
    </row>
    <row r="20" customFormat="false" ht="15" hidden="false" customHeight="false" outlineLevel="0" collapsed="false">
      <c r="A20" s="8" t="s">
        <v>33</v>
      </c>
      <c r="B20" s="8"/>
      <c r="C20" s="0" t="str">
        <f aca="false">IF(A20="","",SUBSTITUTE(SUBSTITUTE(SUBSTITUTE(SUBSTITUTE(SUBSTITUTE(SUBSTITUTE(TRIM(A20),"أ","ا"),"إ","ا"),"آ","ا"),"ة","ه"),"ى","ي"),"ـ",""))</f>
        <v>تفاح احمر</v>
      </c>
      <c r="D20" s="0" t="str">
        <f aca="false">IF(A20="","",SUBSTITUTE(SUBSTITUTE(SUBSTITUTE(SUBSTITUTE(SUBSTITUTE(SUBSTITUTE(TRIM(A20&amp;" / "&amp;B20),"أ","ا"),"إ","ا"),"آ","ا"),"ة","ه"),"ى","ي"),"ـ",""))</f>
        <v>تفاح احمر /</v>
      </c>
    </row>
    <row r="21" customFormat="false" ht="15" hidden="false" customHeight="false" outlineLevel="0" collapsed="false">
      <c r="A21" s="8" t="s">
        <v>87</v>
      </c>
      <c r="B21" s="8"/>
      <c r="C21" s="0" t="str">
        <f aca="false">IF(A21="","",SUBSTITUTE(SUBSTITUTE(SUBSTITUTE(SUBSTITUTE(SUBSTITUTE(SUBSTITUTE(TRIM(A21),"أ","ا"),"إ","ا"),"آ","ا"),"ة","ه"),"ى","ي"),"ـ",""))</f>
        <v>تفاح ابيض</v>
      </c>
      <c r="D21" s="0" t="str">
        <f aca="false">IF(A21="","",SUBSTITUTE(SUBSTITUTE(SUBSTITUTE(SUBSTITUTE(SUBSTITUTE(SUBSTITUTE(TRIM(A21&amp;" / "&amp;B21),"أ","ا"),"إ","ا"),"آ","ا"),"ة","ه"),"ى","ي"),"ـ",""))</f>
        <v>تفاح ابيض /</v>
      </c>
    </row>
    <row r="22" customFormat="false" ht="15" hidden="false" customHeight="false" outlineLevel="0" collapsed="false">
      <c r="A22" s="8" t="s">
        <v>30</v>
      </c>
      <c r="B22" s="8"/>
      <c r="C22" s="0" t="str">
        <f aca="false">IF(A22="","",SUBSTITUTE(SUBSTITUTE(SUBSTITUTE(SUBSTITUTE(SUBSTITUTE(SUBSTITUTE(TRIM(A22),"أ","ا"),"إ","ا"),"آ","ا"),"ة","ه"),"ى","ي"),"ـ",""))</f>
        <v>رمان</v>
      </c>
      <c r="D22" s="0" t="str">
        <f aca="false">IF(A22="","",SUBSTITUTE(SUBSTITUTE(SUBSTITUTE(SUBSTITUTE(SUBSTITUTE(SUBSTITUTE(TRIM(A22&amp;" / "&amp;B22),"أ","ا"),"إ","ا"),"آ","ا"),"ة","ه"),"ى","ي"),"ـ",""))</f>
        <v>رمان /</v>
      </c>
    </row>
    <row r="23" customFormat="false" ht="15" hidden="false" customHeight="false" outlineLevel="0" collapsed="false">
      <c r="A23" s="8" t="s">
        <v>88</v>
      </c>
      <c r="B23" s="8" t="s">
        <v>89</v>
      </c>
      <c r="C23" s="0" t="str">
        <f aca="false">IF(A23="","",SUBSTITUTE(SUBSTITUTE(SUBSTITUTE(SUBSTITUTE(SUBSTITUTE(SUBSTITUTE(TRIM(A23),"أ","ا"),"إ","ا"),"آ","ا"),"ة","ه"),"ى","ي"),"ـ",""))</f>
        <v>افندي</v>
      </c>
      <c r="D23" s="0" t="str">
        <f aca="false">IF(A23="","",SUBSTITUTE(SUBSTITUTE(SUBSTITUTE(SUBSTITUTE(SUBSTITUTE(SUBSTITUTE(TRIM(A23&amp;" / "&amp;B23),"أ","ا"),"إ","ا"),"آ","ا"),"ة","ه"),"ى","ي"),"ـ",""))</f>
        <v>افندي / يوسفي / يوسف افندي</v>
      </c>
    </row>
    <row r="24" customFormat="false" ht="15" hidden="false" customHeight="false" outlineLevel="0" collapsed="false">
      <c r="A24" s="8"/>
      <c r="B24" s="8"/>
      <c r="C24" s="0" t="str">
        <f aca="false">IF(A24="","",SUBSTITUTE(SUBSTITUTE(SUBSTITUTE(SUBSTITUTE(SUBSTITUTE(SUBSTITUTE(TRIM(A24),"أ","ا"),"إ","ا"),"آ","ا"),"ة","ه"),"ى","ي"),"ـ",""))</f>
        <v/>
      </c>
      <c r="D24" s="0" t="str">
        <f aca="false">IF(A24="","",SUBSTITUTE(SUBSTITUTE(SUBSTITUTE(SUBSTITUTE(SUBSTITUTE(SUBSTITUTE(TRIM(A24&amp;" / "&amp;B24),"أ","ا"),"إ","ا"),"آ","ا"),"ة","ه"),"ى","ي"),"ـ",""))</f>
        <v/>
      </c>
    </row>
    <row r="25" customFormat="false" ht="15" hidden="false" customHeight="false" outlineLevel="0" collapsed="false">
      <c r="A25" s="8"/>
      <c r="B25" s="8"/>
      <c r="C25" s="0" t="str">
        <f aca="false">IF(A25="","",SUBSTITUTE(SUBSTITUTE(SUBSTITUTE(SUBSTITUTE(SUBSTITUTE(SUBSTITUTE(TRIM(A25),"أ","ا"),"إ","ا"),"آ","ا"),"ة","ه"),"ى","ي"),"ـ",""))</f>
        <v/>
      </c>
      <c r="D25" s="0" t="str">
        <f aca="false">IF(A25="","",SUBSTITUTE(SUBSTITUTE(SUBSTITUTE(SUBSTITUTE(SUBSTITUTE(SUBSTITUTE(TRIM(A25&amp;" / "&amp;B25),"أ","ا"),"إ","ا"),"آ","ا"),"ة","ه"),"ى","ي"),"ـ",""))</f>
        <v/>
      </c>
    </row>
    <row r="26" customFormat="false" ht="15" hidden="false" customHeight="false" outlineLevel="0" collapsed="false">
      <c r="A26" s="8"/>
      <c r="B26" s="8"/>
      <c r="C26" s="0" t="str">
        <f aca="false">IF(A26="","",SUBSTITUTE(SUBSTITUTE(SUBSTITUTE(SUBSTITUTE(SUBSTITUTE(SUBSTITUTE(TRIM(A26),"أ","ا"),"إ","ا"),"آ","ا"),"ة","ه"),"ى","ي"),"ـ",""))</f>
        <v/>
      </c>
      <c r="D26" s="0" t="str">
        <f aca="false">IF(A26="","",SUBSTITUTE(SUBSTITUTE(SUBSTITUTE(SUBSTITUTE(SUBSTITUTE(SUBSTITUTE(TRIM(A26&amp;" / "&amp;B26),"أ","ا"),"إ","ا"),"آ","ا"),"ة","ه"),"ى","ي"),"ـ",""))</f>
        <v/>
      </c>
    </row>
    <row r="27" customFormat="false" ht="15" hidden="false" customHeight="false" outlineLevel="0" collapsed="false">
      <c r="A27" s="8"/>
      <c r="B27" s="8"/>
      <c r="C27" s="0" t="str">
        <f aca="false">IF(A27="","",SUBSTITUTE(SUBSTITUTE(SUBSTITUTE(SUBSTITUTE(SUBSTITUTE(SUBSTITUTE(TRIM(A27),"أ","ا"),"إ","ا"),"آ","ا"),"ة","ه"),"ى","ي"),"ـ",""))</f>
        <v/>
      </c>
      <c r="D27" s="0" t="str">
        <f aca="false">IF(A27="","",SUBSTITUTE(SUBSTITUTE(SUBSTITUTE(SUBSTITUTE(SUBSTITUTE(SUBSTITUTE(TRIM(A27&amp;" / "&amp;B27),"أ","ا"),"إ","ا"),"آ","ا"),"ة","ه"),"ى","ي"),"ـ",""))</f>
        <v/>
      </c>
    </row>
    <row r="28" customFormat="false" ht="15" hidden="false" customHeight="false" outlineLevel="0" collapsed="false">
      <c r="A28" s="8"/>
      <c r="B28" s="8"/>
      <c r="C28" s="0" t="str">
        <f aca="false">IF(A28="","",SUBSTITUTE(SUBSTITUTE(SUBSTITUTE(SUBSTITUTE(SUBSTITUTE(SUBSTITUTE(TRIM(A28),"أ","ا"),"إ","ا"),"آ","ا"),"ة","ه"),"ى","ي"),"ـ",""))</f>
        <v/>
      </c>
      <c r="D28" s="0" t="str">
        <f aca="false">IF(A28="","",SUBSTITUTE(SUBSTITUTE(SUBSTITUTE(SUBSTITUTE(SUBSTITUTE(SUBSTITUTE(TRIM(A28&amp;" / "&amp;B28),"أ","ا"),"إ","ا"),"آ","ا"),"ة","ه"),"ى","ي"),"ـ",""))</f>
        <v/>
      </c>
    </row>
    <row r="29" customFormat="false" ht="15" hidden="false" customHeight="false" outlineLevel="0" collapsed="false">
      <c r="A29" s="8"/>
      <c r="B29" s="8"/>
      <c r="C29" s="0" t="str">
        <f aca="false">IF(A29="","",SUBSTITUTE(SUBSTITUTE(SUBSTITUTE(SUBSTITUTE(SUBSTITUTE(SUBSTITUTE(TRIM(A29),"أ","ا"),"إ","ا"),"آ","ا"),"ة","ه"),"ى","ي"),"ـ",""))</f>
        <v/>
      </c>
      <c r="D29" s="0" t="str">
        <f aca="false">IF(A29="","",SUBSTITUTE(SUBSTITUTE(SUBSTITUTE(SUBSTITUTE(SUBSTITUTE(SUBSTITUTE(TRIM(A29&amp;" / "&amp;B29),"أ","ا"),"إ","ا"),"آ","ا"),"ة","ه"),"ى","ي"),"ـ",""))</f>
        <v/>
      </c>
    </row>
    <row r="30" customFormat="false" ht="15" hidden="false" customHeight="false" outlineLevel="0" collapsed="false">
      <c r="A30" s="8"/>
      <c r="B30" s="8"/>
      <c r="C30" s="0" t="str">
        <f aca="false">IF(A30="","",SUBSTITUTE(SUBSTITUTE(SUBSTITUTE(SUBSTITUTE(SUBSTITUTE(SUBSTITUTE(TRIM(A30),"أ","ا"),"إ","ا"),"آ","ا"),"ة","ه"),"ى","ي"),"ـ",""))</f>
        <v/>
      </c>
      <c r="D30" s="0" t="str">
        <f aca="false">IF(A30="","",SUBSTITUTE(SUBSTITUTE(SUBSTITUTE(SUBSTITUTE(SUBSTITUTE(SUBSTITUTE(TRIM(A30&amp;" / "&amp;B30),"أ","ا"),"إ","ا"),"آ","ا"),"ة","ه"),"ى","ي"),"ـ",""))</f>
        <v/>
      </c>
    </row>
    <row r="31" customFormat="false" ht="15" hidden="false" customHeight="false" outlineLevel="0" collapsed="false">
      <c r="A31" s="8"/>
      <c r="B31" s="8"/>
      <c r="C31" s="0" t="str">
        <f aca="false">IF(A31="","",SUBSTITUTE(SUBSTITUTE(SUBSTITUTE(SUBSTITUTE(SUBSTITUTE(SUBSTITUTE(TRIM(A31),"أ","ا"),"إ","ا"),"آ","ا"),"ة","ه"),"ى","ي"),"ـ",""))</f>
        <v/>
      </c>
      <c r="D31" s="0" t="str">
        <f aca="false">IF(A31="","",SUBSTITUTE(SUBSTITUTE(SUBSTITUTE(SUBSTITUTE(SUBSTITUTE(SUBSTITUTE(TRIM(A31&amp;" / "&amp;B31),"أ","ا"),"إ","ا"),"آ","ا"),"ة","ه"),"ى","ي"),"ـ",""))</f>
        <v/>
      </c>
    </row>
    <row r="32" customFormat="false" ht="15" hidden="false" customHeight="false" outlineLevel="0" collapsed="false">
      <c r="A32" s="8"/>
      <c r="B32" s="8"/>
      <c r="C32" s="0" t="str">
        <f aca="false">IF(A32="","",SUBSTITUTE(SUBSTITUTE(SUBSTITUTE(SUBSTITUTE(SUBSTITUTE(SUBSTITUTE(TRIM(A32),"أ","ا"),"إ","ا"),"آ","ا"),"ة","ه"),"ى","ي"),"ـ",""))</f>
        <v/>
      </c>
      <c r="D32" s="0" t="str">
        <f aca="false">IF(A32="","",SUBSTITUTE(SUBSTITUTE(SUBSTITUTE(SUBSTITUTE(SUBSTITUTE(SUBSTITUTE(TRIM(A32&amp;" / "&amp;B32),"أ","ا"),"إ","ا"),"آ","ا"),"ة","ه"),"ى","ي"),"ـ",""))</f>
        <v/>
      </c>
    </row>
    <row r="33" customFormat="false" ht="15" hidden="false" customHeight="false" outlineLevel="0" collapsed="false">
      <c r="A33" s="8"/>
      <c r="B33" s="8"/>
      <c r="C33" s="0" t="str">
        <f aca="false">IF(A33="","",SUBSTITUTE(SUBSTITUTE(SUBSTITUTE(SUBSTITUTE(SUBSTITUTE(SUBSTITUTE(TRIM(A33),"أ","ا"),"إ","ا"),"آ","ا"),"ة","ه"),"ى","ي"),"ـ",""))</f>
        <v/>
      </c>
      <c r="D33" s="0" t="str">
        <f aca="false">IF(A33="","",SUBSTITUTE(SUBSTITUTE(SUBSTITUTE(SUBSTITUTE(SUBSTITUTE(SUBSTITUTE(TRIM(A33&amp;" / "&amp;B33),"أ","ا"),"إ","ا"),"آ","ا"),"ة","ه"),"ى","ي"),"ـ",""))</f>
        <v/>
      </c>
    </row>
    <row r="34" customFormat="false" ht="15" hidden="false" customHeight="false" outlineLevel="0" collapsed="false">
      <c r="A34" s="8"/>
      <c r="B34" s="8"/>
      <c r="C34" s="0" t="str">
        <f aca="false">IF(A34="","",SUBSTITUTE(SUBSTITUTE(SUBSTITUTE(SUBSTITUTE(SUBSTITUTE(SUBSTITUTE(TRIM(A34),"أ","ا"),"إ","ا"),"آ","ا"),"ة","ه"),"ى","ي"),"ـ",""))</f>
        <v/>
      </c>
      <c r="D34" s="0" t="str">
        <f aca="false">IF(A34="","",SUBSTITUTE(SUBSTITUTE(SUBSTITUTE(SUBSTITUTE(SUBSTITUTE(SUBSTITUTE(TRIM(A34&amp;" / "&amp;B34),"أ","ا"),"إ","ا"),"آ","ا"),"ة","ه"),"ى","ي"),"ـ",""))</f>
        <v/>
      </c>
    </row>
    <row r="35" customFormat="false" ht="15" hidden="false" customHeight="false" outlineLevel="0" collapsed="false">
      <c r="A35" s="8"/>
      <c r="B35" s="8"/>
      <c r="C35" s="0" t="str">
        <f aca="false">IF(A35="","",SUBSTITUTE(SUBSTITUTE(SUBSTITUTE(SUBSTITUTE(SUBSTITUTE(SUBSTITUTE(TRIM(A35),"أ","ا"),"إ","ا"),"آ","ا"),"ة","ه"),"ى","ي"),"ـ",""))</f>
        <v/>
      </c>
      <c r="D35" s="0" t="str">
        <f aca="false">IF(A35="","",SUBSTITUTE(SUBSTITUTE(SUBSTITUTE(SUBSTITUTE(SUBSTITUTE(SUBSTITUTE(TRIM(A35&amp;" / "&amp;B35),"أ","ا"),"إ","ا"),"آ","ا"),"ة","ه"),"ى","ي"),"ـ",""))</f>
        <v/>
      </c>
    </row>
    <row r="36" customFormat="false" ht="15" hidden="false" customHeight="false" outlineLevel="0" collapsed="false">
      <c r="A36" s="8"/>
      <c r="B36" s="8"/>
      <c r="C36" s="0" t="str">
        <f aca="false">IF(A36="","",SUBSTITUTE(SUBSTITUTE(SUBSTITUTE(SUBSTITUTE(SUBSTITUTE(SUBSTITUTE(TRIM(A36),"أ","ا"),"إ","ا"),"آ","ا"),"ة","ه"),"ى","ي"),"ـ",""))</f>
        <v/>
      </c>
      <c r="D36" s="0" t="str">
        <f aca="false">IF(A36="","",SUBSTITUTE(SUBSTITUTE(SUBSTITUTE(SUBSTITUTE(SUBSTITUTE(SUBSTITUTE(TRIM(A36&amp;" / "&amp;B36),"أ","ا"),"إ","ا"),"آ","ا"),"ة","ه"),"ى","ي"),"ـ",""))</f>
        <v/>
      </c>
    </row>
    <row r="37" customFormat="false" ht="15" hidden="false" customHeight="false" outlineLevel="0" collapsed="false">
      <c r="A37" s="8"/>
      <c r="B37" s="8"/>
      <c r="C37" s="0" t="str">
        <f aca="false">IF(A37="","",SUBSTITUTE(SUBSTITUTE(SUBSTITUTE(SUBSTITUTE(SUBSTITUTE(SUBSTITUTE(TRIM(A37),"أ","ا"),"إ","ا"),"آ","ا"),"ة","ه"),"ى","ي"),"ـ",""))</f>
        <v/>
      </c>
      <c r="D37" s="0" t="str">
        <f aca="false">IF(A37="","",SUBSTITUTE(SUBSTITUTE(SUBSTITUTE(SUBSTITUTE(SUBSTITUTE(SUBSTITUTE(TRIM(A37&amp;" / "&amp;B37),"أ","ا"),"إ","ا"),"آ","ا"),"ة","ه"),"ى","ي"),"ـ",""))</f>
        <v/>
      </c>
    </row>
    <row r="38" customFormat="false" ht="15" hidden="false" customHeight="false" outlineLevel="0" collapsed="false">
      <c r="A38" s="8"/>
      <c r="B38" s="8"/>
      <c r="C38" s="0" t="str">
        <f aca="false">IF(A38="","",SUBSTITUTE(SUBSTITUTE(SUBSTITUTE(SUBSTITUTE(SUBSTITUTE(SUBSTITUTE(TRIM(A38),"أ","ا"),"إ","ا"),"آ","ا"),"ة","ه"),"ى","ي"),"ـ",""))</f>
        <v/>
      </c>
      <c r="D38" s="0" t="str">
        <f aca="false">IF(A38="","",SUBSTITUTE(SUBSTITUTE(SUBSTITUTE(SUBSTITUTE(SUBSTITUTE(SUBSTITUTE(TRIM(A38&amp;" / "&amp;B38),"أ","ا"),"إ","ا"),"آ","ا"),"ة","ه"),"ى","ي"),"ـ",""))</f>
        <v/>
      </c>
    </row>
    <row r="39" customFormat="false" ht="15" hidden="false" customHeight="false" outlineLevel="0" collapsed="false">
      <c r="A39" s="8"/>
      <c r="B39" s="8"/>
      <c r="C39" s="0" t="str">
        <f aca="false">IF(A39="","",SUBSTITUTE(SUBSTITUTE(SUBSTITUTE(SUBSTITUTE(SUBSTITUTE(SUBSTITUTE(TRIM(A39),"أ","ا"),"إ","ا"),"آ","ا"),"ة","ه"),"ى","ي"),"ـ",""))</f>
        <v/>
      </c>
      <c r="D39" s="0" t="str">
        <f aca="false">IF(A39="","",SUBSTITUTE(SUBSTITUTE(SUBSTITUTE(SUBSTITUTE(SUBSTITUTE(SUBSTITUTE(TRIM(A39&amp;" / "&amp;B39),"أ","ا"),"إ","ا"),"آ","ا"),"ة","ه"),"ى","ي"),"ـ",""))</f>
        <v/>
      </c>
    </row>
    <row r="40" customFormat="false" ht="15" hidden="false" customHeight="false" outlineLevel="0" collapsed="false">
      <c r="A40" s="8"/>
      <c r="B40" s="8"/>
      <c r="C40" s="0" t="str">
        <f aca="false">IF(A40="","",SUBSTITUTE(SUBSTITUTE(SUBSTITUTE(SUBSTITUTE(SUBSTITUTE(SUBSTITUTE(TRIM(A40),"أ","ا"),"إ","ا"),"آ","ا"),"ة","ه"),"ى","ي"),"ـ",""))</f>
        <v/>
      </c>
      <c r="D40" s="0" t="str">
        <f aca="false">IF(A40="","",SUBSTITUTE(SUBSTITUTE(SUBSTITUTE(SUBSTITUTE(SUBSTITUTE(SUBSTITUTE(TRIM(A40&amp;" / "&amp;B40),"أ","ا"),"إ","ا"),"آ","ا"),"ة","ه"),"ى","ي"),"ـ",""))</f>
        <v/>
      </c>
    </row>
    <row r="41" customFormat="false" ht="15" hidden="false" customHeight="false" outlineLevel="0" collapsed="false">
      <c r="A41" s="8"/>
      <c r="B41" s="8"/>
      <c r="C41" s="0" t="str">
        <f aca="false">IF(A41="","",SUBSTITUTE(SUBSTITUTE(SUBSTITUTE(SUBSTITUTE(SUBSTITUTE(SUBSTITUTE(TRIM(A41),"أ","ا"),"إ","ا"),"آ","ا"),"ة","ه"),"ى","ي"),"ـ",""))</f>
        <v/>
      </c>
      <c r="D41" s="0" t="str">
        <f aca="false">IF(A41="","",SUBSTITUTE(SUBSTITUTE(SUBSTITUTE(SUBSTITUTE(SUBSTITUTE(SUBSTITUTE(TRIM(A41&amp;" / "&amp;B41),"أ","ا"),"إ","ا"),"آ","ا"),"ة","ه"),"ى","ي"),"ـ",""))</f>
        <v/>
      </c>
    </row>
    <row r="42" customFormat="false" ht="15" hidden="false" customHeight="false" outlineLevel="0" collapsed="false">
      <c r="A42" s="8"/>
      <c r="B42" s="8"/>
      <c r="C42" s="0" t="str">
        <f aca="false">IF(A42="","",SUBSTITUTE(SUBSTITUTE(SUBSTITUTE(SUBSTITUTE(SUBSTITUTE(SUBSTITUTE(TRIM(A42),"أ","ا"),"إ","ا"),"آ","ا"),"ة","ه"),"ى","ي"),"ـ",""))</f>
        <v/>
      </c>
      <c r="D42" s="0" t="str">
        <f aca="false">IF(A42="","",SUBSTITUTE(SUBSTITUTE(SUBSTITUTE(SUBSTITUTE(SUBSTITUTE(SUBSTITUTE(TRIM(A42&amp;" / "&amp;B42),"أ","ا"),"إ","ا"),"آ","ا"),"ة","ه"),"ى","ي"),"ـ",""))</f>
        <v/>
      </c>
    </row>
    <row r="43" customFormat="false" ht="15" hidden="false" customHeight="false" outlineLevel="0" collapsed="false">
      <c r="A43" s="8"/>
      <c r="B43" s="8"/>
      <c r="C43" s="0" t="str">
        <f aca="false">IF(A43="","",SUBSTITUTE(SUBSTITUTE(SUBSTITUTE(SUBSTITUTE(SUBSTITUTE(SUBSTITUTE(TRIM(A43),"أ","ا"),"إ","ا"),"آ","ا"),"ة","ه"),"ى","ي"),"ـ",""))</f>
        <v/>
      </c>
      <c r="D43" s="0" t="str">
        <f aca="false">IF(A43="","",SUBSTITUTE(SUBSTITUTE(SUBSTITUTE(SUBSTITUTE(SUBSTITUTE(SUBSTITUTE(TRIM(A43&amp;" / "&amp;B43),"أ","ا"),"إ","ا"),"آ","ا"),"ة","ه"),"ى","ي"),"ـ",""))</f>
        <v/>
      </c>
    </row>
    <row r="44" customFormat="false" ht="15" hidden="false" customHeight="false" outlineLevel="0" collapsed="false">
      <c r="A44" s="8"/>
      <c r="B44" s="8"/>
      <c r="C44" s="0" t="str">
        <f aca="false">IF(A44="","",SUBSTITUTE(SUBSTITUTE(SUBSTITUTE(SUBSTITUTE(SUBSTITUTE(SUBSTITUTE(TRIM(A44),"أ","ا"),"إ","ا"),"آ","ا"),"ة","ه"),"ى","ي"),"ـ",""))</f>
        <v/>
      </c>
      <c r="D44" s="0" t="str">
        <f aca="false">IF(A44="","",SUBSTITUTE(SUBSTITUTE(SUBSTITUTE(SUBSTITUTE(SUBSTITUTE(SUBSTITUTE(TRIM(A44&amp;" / "&amp;B44),"أ","ا"),"إ","ا"),"آ","ا"),"ة","ه"),"ى","ي"),"ـ",""))</f>
        <v/>
      </c>
    </row>
    <row r="45" customFormat="false" ht="15" hidden="false" customHeight="false" outlineLevel="0" collapsed="false">
      <c r="A45" s="8"/>
      <c r="B45" s="8"/>
      <c r="C45" s="0" t="str">
        <f aca="false">IF(A45="","",SUBSTITUTE(SUBSTITUTE(SUBSTITUTE(SUBSTITUTE(SUBSTITUTE(SUBSTITUTE(TRIM(A45),"أ","ا"),"إ","ا"),"آ","ا"),"ة","ه"),"ى","ي"),"ـ",""))</f>
        <v/>
      </c>
      <c r="D45" s="0" t="str">
        <f aca="false">IF(A45="","",SUBSTITUTE(SUBSTITUTE(SUBSTITUTE(SUBSTITUTE(SUBSTITUTE(SUBSTITUTE(TRIM(A45&amp;" / "&amp;B45),"أ","ا"),"إ","ا"),"آ","ا"),"ة","ه"),"ى","ي"),"ـ",""))</f>
        <v/>
      </c>
    </row>
    <row r="46" customFormat="false" ht="15" hidden="false" customHeight="false" outlineLevel="0" collapsed="false">
      <c r="A46" s="8"/>
      <c r="B46" s="8"/>
      <c r="C46" s="0" t="str">
        <f aca="false">IF(A46="","",SUBSTITUTE(SUBSTITUTE(SUBSTITUTE(SUBSTITUTE(SUBSTITUTE(SUBSTITUTE(TRIM(A46),"أ","ا"),"إ","ا"),"آ","ا"),"ة","ه"),"ى","ي"),"ـ",""))</f>
        <v/>
      </c>
      <c r="D46" s="0" t="str">
        <f aca="false">IF(A46="","",SUBSTITUTE(SUBSTITUTE(SUBSTITUTE(SUBSTITUTE(SUBSTITUTE(SUBSTITUTE(TRIM(A46&amp;" / "&amp;B46),"أ","ا"),"إ","ا"),"آ","ا"),"ة","ه"),"ى","ي"),"ـ",""))</f>
        <v/>
      </c>
    </row>
    <row r="47" customFormat="false" ht="15" hidden="false" customHeight="false" outlineLevel="0" collapsed="false">
      <c r="A47" s="8"/>
      <c r="B47" s="8"/>
      <c r="C47" s="0" t="str">
        <f aca="false">IF(A47="","",SUBSTITUTE(SUBSTITUTE(SUBSTITUTE(SUBSTITUTE(SUBSTITUTE(SUBSTITUTE(TRIM(A47),"أ","ا"),"إ","ا"),"آ","ا"),"ة","ه"),"ى","ي"),"ـ",""))</f>
        <v/>
      </c>
      <c r="D47" s="0" t="str">
        <f aca="false">IF(A47="","",SUBSTITUTE(SUBSTITUTE(SUBSTITUTE(SUBSTITUTE(SUBSTITUTE(SUBSTITUTE(TRIM(A47&amp;" / "&amp;B47),"أ","ا"),"إ","ا"),"آ","ا"),"ة","ه"),"ى","ي"),"ـ",""))</f>
        <v/>
      </c>
    </row>
    <row r="48" customFormat="false" ht="15" hidden="false" customHeight="false" outlineLevel="0" collapsed="false">
      <c r="A48" s="8"/>
      <c r="B48" s="8"/>
      <c r="C48" s="0" t="str">
        <f aca="false">IF(A48="","",SUBSTITUTE(SUBSTITUTE(SUBSTITUTE(SUBSTITUTE(SUBSTITUTE(SUBSTITUTE(TRIM(A48),"أ","ا"),"إ","ا"),"آ","ا"),"ة","ه"),"ى","ي"),"ـ",""))</f>
        <v/>
      </c>
      <c r="D48" s="0" t="str">
        <f aca="false">IF(A48="","",SUBSTITUTE(SUBSTITUTE(SUBSTITUTE(SUBSTITUTE(SUBSTITUTE(SUBSTITUTE(TRIM(A48&amp;" / "&amp;B48),"أ","ا"),"إ","ا"),"آ","ا"),"ة","ه"),"ى","ي"),"ـ",""))</f>
        <v/>
      </c>
    </row>
    <row r="49" customFormat="false" ht="15" hidden="false" customHeight="false" outlineLevel="0" collapsed="false">
      <c r="A49" s="8"/>
      <c r="B49" s="8"/>
      <c r="C49" s="0" t="str">
        <f aca="false">IF(A49="","",SUBSTITUTE(SUBSTITUTE(SUBSTITUTE(SUBSTITUTE(SUBSTITUTE(SUBSTITUTE(TRIM(A49),"أ","ا"),"إ","ا"),"آ","ا"),"ة","ه"),"ى","ي"),"ـ",""))</f>
        <v/>
      </c>
      <c r="D49" s="0" t="str">
        <f aca="false">IF(A49="","",SUBSTITUTE(SUBSTITUTE(SUBSTITUTE(SUBSTITUTE(SUBSTITUTE(SUBSTITUTE(TRIM(A49&amp;" / "&amp;B49),"أ","ا"),"إ","ا"),"آ","ا"),"ة","ه"),"ى","ي"),"ـ",""))</f>
        <v/>
      </c>
    </row>
    <row r="50" customFormat="false" ht="15" hidden="false" customHeight="false" outlineLevel="0" collapsed="false">
      <c r="A50" s="8"/>
      <c r="B50" s="8"/>
      <c r="C50" s="0" t="str">
        <f aca="false">IF(A50="","",SUBSTITUTE(SUBSTITUTE(SUBSTITUTE(SUBSTITUTE(SUBSTITUTE(SUBSTITUTE(TRIM(A50),"أ","ا"),"إ","ا"),"آ","ا"),"ة","ه"),"ى","ي"),"ـ",""))</f>
        <v/>
      </c>
      <c r="D50" s="0" t="str">
        <f aca="false">IF(A50="","",SUBSTITUTE(SUBSTITUTE(SUBSTITUTE(SUBSTITUTE(SUBSTITUTE(SUBSTITUTE(TRIM(A50&amp;" / "&amp;B50),"أ","ا"),"إ","ا"),"آ","ا"),"ة","ه"),"ى","ي"),"ـ",""))</f>
        <v/>
      </c>
    </row>
    <row r="51" customFormat="false" ht="15" hidden="false" customHeight="false" outlineLevel="0" collapsed="false">
      <c r="A51" s="8"/>
      <c r="B51" s="8"/>
      <c r="C51" s="0" t="str">
        <f aca="false">IF(A51="","",SUBSTITUTE(SUBSTITUTE(SUBSTITUTE(SUBSTITUTE(SUBSTITUTE(SUBSTITUTE(TRIM(A51),"أ","ا"),"إ","ا"),"آ","ا"),"ة","ه"),"ى","ي"),"ـ",""))</f>
        <v/>
      </c>
      <c r="D51" s="0" t="str">
        <f aca="false">IF(A51="","",SUBSTITUTE(SUBSTITUTE(SUBSTITUTE(SUBSTITUTE(SUBSTITUTE(SUBSTITUTE(TRIM(A51&amp;" / "&amp;B51),"أ","ا"),"إ","ا"),"آ","ا"),"ة","ه"),"ى","ي"),"ـ",""))</f>
        <v/>
      </c>
    </row>
    <row r="52" customFormat="false" ht="15" hidden="false" customHeight="false" outlineLevel="0" collapsed="false">
      <c r="A52" s="8"/>
      <c r="B52" s="8"/>
      <c r="C52" s="0" t="str">
        <f aca="false">IF(A52="","",SUBSTITUTE(SUBSTITUTE(SUBSTITUTE(SUBSTITUTE(SUBSTITUTE(SUBSTITUTE(TRIM(A52),"أ","ا"),"إ","ا"),"آ","ا"),"ة","ه"),"ى","ي"),"ـ",""))</f>
        <v/>
      </c>
      <c r="D52" s="0" t="str">
        <f aca="false">IF(A52="","",SUBSTITUTE(SUBSTITUTE(SUBSTITUTE(SUBSTITUTE(SUBSTITUTE(SUBSTITUTE(TRIM(A52&amp;" / "&amp;B52),"أ","ا"),"إ","ا"),"آ","ا"),"ة","ه"),"ى","ي"),"ـ",""))</f>
        <v/>
      </c>
    </row>
    <row r="53" customFormat="false" ht="15" hidden="false" customHeight="false" outlineLevel="0" collapsed="false">
      <c r="A53" s="8"/>
      <c r="B53" s="8"/>
      <c r="C53" s="0" t="str">
        <f aca="false">IF(A53="","",SUBSTITUTE(SUBSTITUTE(SUBSTITUTE(SUBSTITUTE(SUBSTITUTE(SUBSTITUTE(TRIM(A53),"أ","ا"),"إ","ا"),"آ","ا"),"ة","ه"),"ى","ي"),"ـ",""))</f>
        <v/>
      </c>
      <c r="D53" s="0" t="str">
        <f aca="false">IF(A53="","",SUBSTITUTE(SUBSTITUTE(SUBSTITUTE(SUBSTITUTE(SUBSTITUTE(SUBSTITUTE(TRIM(A53&amp;" / "&amp;B53),"أ","ا"),"إ","ا"),"آ","ا"),"ة","ه"),"ى","ي"),"ـ",""))</f>
        <v/>
      </c>
    </row>
    <row r="54" customFormat="false" ht="15" hidden="false" customHeight="false" outlineLevel="0" collapsed="false">
      <c r="A54" s="8"/>
      <c r="B54" s="8"/>
      <c r="C54" s="0" t="str">
        <f aca="false">IF(A54="","",SUBSTITUTE(SUBSTITUTE(SUBSTITUTE(SUBSTITUTE(SUBSTITUTE(SUBSTITUTE(TRIM(A54),"أ","ا"),"إ","ا"),"آ","ا"),"ة","ه"),"ى","ي"),"ـ",""))</f>
        <v/>
      </c>
      <c r="D54" s="0" t="str">
        <f aca="false">IF(A54="","",SUBSTITUTE(SUBSTITUTE(SUBSTITUTE(SUBSTITUTE(SUBSTITUTE(SUBSTITUTE(TRIM(A54&amp;" / "&amp;B54),"أ","ا"),"إ","ا"),"آ","ا"),"ة","ه"),"ى","ي"),"ـ",""))</f>
        <v/>
      </c>
    </row>
    <row r="55" customFormat="false" ht="15" hidden="false" customHeight="false" outlineLevel="0" collapsed="false">
      <c r="A55" s="8"/>
      <c r="B55" s="8"/>
      <c r="C55" s="0" t="str">
        <f aca="false">IF(A55="","",SUBSTITUTE(SUBSTITUTE(SUBSTITUTE(SUBSTITUTE(SUBSTITUTE(SUBSTITUTE(TRIM(A55),"أ","ا"),"إ","ا"),"آ","ا"),"ة","ه"),"ى","ي"),"ـ",""))</f>
        <v/>
      </c>
      <c r="D55" s="0" t="str">
        <f aca="false">IF(A55="","",SUBSTITUTE(SUBSTITUTE(SUBSTITUTE(SUBSTITUTE(SUBSTITUTE(SUBSTITUTE(TRIM(A55&amp;" / "&amp;B55),"أ","ا"),"إ","ا"),"آ","ا"),"ة","ه"),"ى","ي"),"ـ",""))</f>
        <v/>
      </c>
    </row>
    <row r="56" customFormat="false" ht="15" hidden="false" customHeight="false" outlineLevel="0" collapsed="false">
      <c r="A56" s="8"/>
      <c r="B56" s="8"/>
      <c r="C56" s="0" t="str">
        <f aca="false">IF(A56="","",SUBSTITUTE(SUBSTITUTE(SUBSTITUTE(SUBSTITUTE(SUBSTITUTE(SUBSTITUTE(TRIM(A56),"أ","ا"),"إ","ا"),"آ","ا"),"ة","ه"),"ى","ي"),"ـ",""))</f>
        <v/>
      </c>
      <c r="D56" s="0" t="str">
        <f aca="false">IF(A56="","",SUBSTITUTE(SUBSTITUTE(SUBSTITUTE(SUBSTITUTE(SUBSTITUTE(SUBSTITUTE(TRIM(A56&amp;" / "&amp;B56),"أ","ا"),"إ","ا"),"آ","ا"),"ة","ه"),"ى","ي"),"ـ",""))</f>
        <v/>
      </c>
    </row>
    <row r="57" customFormat="false" ht="15" hidden="false" customHeight="false" outlineLevel="0" collapsed="false">
      <c r="A57" s="8"/>
      <c r="B57" s="8"/>
      <c r="C57" s="0" t="str">
        <f aca="false">IF(A57="","",SUBSTITUTE(SUBSTITUTE(SUBSTITUTE(SUBSTITUTE(SUBSTITUTE(SUBSTITUTE(TRIM(A57),"أ","ا"),"إ","ا"),"آ","ا"),"ة","ه"),"ى","ي"),"ـ",""))</f>
        <v/>
      </c>
      <c r="D57" s="0" t="str">
        <f aca="false">IF(A57="","",SUBSTITUTE(SUBSTITUTE(SUBSTITUTE(SUBSTITUTE(SUBSTITUTE(SUBSTITUTE(TRIM(A57&amp;" / "&amp;B57),"أ","ا"),"إ","ا"),"آ","ا"),"ة","ه"),"ى","ي"),"ـ",""))</f>
        <v/>
      </c>
    </row>
    <row r="58" customFormat="false" ht="15" hidden="false" customHeight="false" outlineLevel="0" collapsed="false">
      <c r="A58" s="8"/>
      <c r="B58" s="8"/>
      <c r="C58" s="0" t="str">
        <f aca="false">IF(A58="","",SUBSTITUTE(SUBSTITUTE(SUBSTITUTE(SUBSTITUTE(SUBSTITUTE(SUBSTITUTE(TRIM(A58),"أ","ا"),"إ","ا"),"آ","ا"),"ة","ه"),"ى","ي"),"ـ",""))</f>
        <v/>
      </c>
      <c r="D58" s="0" t="str">
        <f aca="false">IF(A58="","",SUBSTITUTE(SUBSTITUTE(SUBSTITUTE(SUBSTITUTE(SUBSTITUTE(SUBSTITUTE(TRIM(A58&amp;" / "&amp;B58),"أ","ا"),"إ","ا"),"آ","ا"),"ة","ه"),"ى","ي"),"ـ",""))</f>
        <v/>
      </c>
    </row>
    <row r="59" customFormat="false" ht="15" hidden="false" customHeight="false" outlineLevel="0" collapsed="false">
      <c r="A59" s="8"/>
      <c r="B59" s="8"/>
      <c r="C59" s="0" t="str">
        <f aca="false">IF(A59="","",SUBSTITUTE(SUBSTITUTE(SUBSTITUTE(SUBSTITUTE(SUBSTITUTE(SUBSTITUTE(TRIM(A59),"أ","ا"),"إ","ا"),"آ","ا"),"ة","ه"),"ى","ي"),"ـ",""))</f>
        <v/>
      </c>
      <c r="D59" s="0" t="str">
        <f aca="false">IF(A59="","",SUBSTITUTE(SUBSTITUTE(SUBSTITUTE(SUBSTITUTE(SUBSTITUTE(SUBSTITUTE(TRIM(A59&amp;" / "&amp;B59),"أ","ا"),"إ","ا"),"آ","ا"),"ة","ه"),"ى","ي"),"ـ",""))</f>
        <v/>
      </c>
    </row>
    <row r="60" customFormat="false" ht="15" hidden="false" customHeight="false" outlineLevel="0" collapsed="false">
      <c r="A60" s="8"/>
      <c r="B60" s="8"/>
      <c r="C60" s="0" t="str">
        <f aca="false">IF(A60="","",SUBSTITUTE(SUBSTITUTE(SUBSTITUTE(SUBSTITUTE(SUBSTITUTE(SUBSTITUTE(TRIM(A60),"أ","ا"),"إ","ا"),"آ","ا"),"ة","ه"),"ى","ي"),"ـ",""))</f>
        <v/>
      </c>
      <c r="D60" s="0" t="str">
        <f aca="false">IF(A60="","",SUBSTITUTE(SUBSTITUTE(SUBSTITUTE(SUBSTITUTE(SUBSTITUTE(SUBSTITUTE(TRIM(A60&amp;" / "&amp;B60),"أ","ا"),"إ","ا"),"آ","ا"),"ة","ه"),"ى","ي"),"ـ",""))</f>
        <v/>
      </c>
    </row>
    <row r="61" customFormat="false" ht="15" hidden="false" customHeight="false" outlineLevel="0" collapsed="false">
      <c r="A61" s="8"/>
      <c r="B61" s="8"/>
      <c r="C61" s="0" t="str">
        <f aca="false">IF(A61="","",SUBSTITUTE(SUBSTITUTE(SUBSTITUTE(SUBSTITUTE(SUBSTITUTE(SUBSTITUTE(TRIM(A61),"أ","ا"),"إ","ا"),"آ","ا"),"ة","ه"),"ى","ي"),"ـ",""))</f>
        <v/>
      </c>
      <c r="D61" s="0" t="str">
        <f aca="false">IF(A61="","",SUBSTITUTE(SUBSTITUTE(SUBSTITUTE(SUBSTITUTE(SUBSTITUTE(SUBSTITUTE(TRIM(A61&amp;" / "&amp;B61),"أ","ا"),"إ","ا"),"آ","ا"),"ة","ه"),"ى","ي"),"ـ",""))</f>
        <v/>
      </c>
    </row>
    <row r="62" customFormat="false" ht="15" hidden="false" customHeight="false" outlineLevel="0" collapsed="false">
      <c r="A62" s="8"/>
      <c r="B62" s="8"/>
      <c r="C62" s="0" t="str">
        <f aca="false">IF(A62="","",SUBSTITUTE(SUBSTITUTE(SUBSTITUTE(SUBSTITUTE(SUBSTITUTE(SUBSTITUTE(TRIM(A62),"أ","ا"),"إ","ا"),"آ","ا"),"ة","ه"),"ى","ي"),"ـ",""))</f>
        <v/>
      </c>
      <c r="D62" s="0" t="str">
        <f aca="false">IF(A62="","",SUBSTITUTE(SUBSTITUTE(SUBSTITUTE(SUBSTITUTE(SUBSTITUTE(SUBSTITUTE(TRIM(A62&amp;" / "&amp;B62),"أ","ا"),"إ","ا"),"آ","ا"),"ة","ه"),"ى","ي"),"ـ",""))</f>
        <v/>
      </c>
    </row>
    <row r="63" customFormat="false" ht="15" hidden="false" customHeight="false" outlineLevel="0" collapsed="false">
      <c r="A63" s="8"/>
      <c r="B63" s="8"/>
      <c r="C63" s="0" t="str">
        <f aca="false">IF(A63="","",SUBSTITUTE(SUBSTITUTE(SUBSTITUTE(SUBSTITUTE(SUBSTITUTE(SUBSTITUTE(TRIM(A63),"أ","ا"),"إ","ا"),"آ","ا"),"ة","ه"),"ى","ي"),"ـ",""))</f>
        <v/>
      </c>
      <c r="D63" s="0" t="str">
        <f aca="false">IF(A63="","",SUBSTITUTE(SUBSTITUTE(SUBSTITUTE(SUBSTITUTE(SUBSTITUTE(SUBSTITUTE(TRIM(A63&amp;" / "&amp;B63),"أ","ا"),"إ","ا"),"آ","ا"),"ة","ه"),"ى","ي"),"ـ",""))</f>
        <v/>
      </c>
    </row>
    <row r="64" customFormat="false" ht="15" hidden="false" customHeight="false" outlineLevel="0" collapsed="false">
      <c r="A64" s="8"/>
      <c r="B64" s="8"/>
      <c r="C64" s="0" t="str">
        <f aca="false">IF(A64="","",SUBSTITUTE(SUBSTITUTE(SUBSTITUTE(SUBSTITUTE(SUBSTITUTE(SUBSTITUTE(TRIM(A64),"أ","ا"),"إ","ا"),"آ","ا"),"ة","ه"),"ى","ي"),"ـ",""))</f>
        <v/>
      </c>
      <c r="D64" s="0" t="str">
        <f aca="false">IF(A64="","",SUBSTITUTE(SUBSTITUTE(SUBSTITUTE(SUBSTITUTE(SUBSTITUTE(SUBSTITUTE(TRIM(A64&amp;" / "&amp;B64),"أ","ا"),"إ","ا"),"آ","ا"),"ة","ه"),"ى","ي"),"ـ",""))</f>
        <v/>
      </c>
    </row>
    <row r="65" customFormat="false" ht="15" hidden="false" customHeight="false" outlineLevel="0" collapsed="false">
      <c r="A65" s="8"/>
      <c r="B65" s="8"/>
      <c r="C65" s="0" t="str">
        <f aca="false">IF(A65="","",SUBSTITUTE(SUBSTITUTE(SUBSTITUTE(SUBSTITUTE(SUBSTITUTE(SUBSTITUTE(TRIM(A65),"أ","ا"),"إ","ا"),"آ","ا"),"ة","ه"),"ى","ي"),"ـ",""))</f>
        <v/>
      </c>
      <c r="D65" s="0" t="str">
        <f aca="false">IF(A65="","",SUBSTITUTE(SUBSTITUTE(SUBSTITUTE(SUBSTITUTE(SUBSTITUTE(SUBSTITUTE(TRIM(A65&amp;" / "&amp;B65),"أ","ا"),"إ","ا"),"آ","ا"),"ة","ه"),"ى","ي"),"ـ",""))</f>
        <v/>
      </c>
    </row>
    <row r="66" customFormat="false" ht="15" hidden="false" customHeight="false" outlineLevel="0" collapsed="false">
      <c r="A66" s="8"/>
      <c r="B66" s="8"/>
      <c r="C66" s="0" t="str">
        <f aca="false">IF(A66="","",SUBSTITUTE(SUBSTITUTE(SUBSTITUTE(SUBSTITUTE(SUBSTITUTE(SUBSTITUTE(TRIM(A66),"أ","ا"),"إ","ا"),"آ","ا"),"ة","ه"),"ى","ي"),"ـ",""))</f>
        <v/>
      </c>
      <c r="D66" s="0" t="str">
        <f aca="false">IF(A66="","",SUBSTITUTE(SUBSTITUTE(SUBSTITUTE(SUBSTITUTE(SUBSTITUTE(SUBSTITUTE(TRIM(A66&amp;" / "&amp;B66),"أ","ا"),"إ","ا"),"آ","ا"),"ة","ه"),"ى","ي"),"ـ",""))</f>
        <v/>
      </c>
    </row>
    <row r="67" customFormat="false" ht="15" hidden="false" customHeight="false" outlineLevel="0" collapsed="false">
      <c r="A67" s="8"/>
      <c r="B67" s="8"/>
      <c r="C67" s="0" t="str">
        <f aca="false">IF(A67="","",SUBSTITUTE(SUBSTITUTE(SUBSTITUTE(SUBSTITUTE(SUBSTITUTE(SUBSTITUTE(TRIM(A67),"أ","ا"),"إ","ا"),"آ","ا"),"ة","ه"),"ى","ي"),"ـ",""))</f>
        <v/>
      </c>
      <c r="D67" s="0" t="str">
        <f aca="false">IF(A67="","",SUBSTITUTE(SUBSTITUTE(SUBSTITUTE(SUBSTITUTE(SUBSTITUTE(SUBSTITUTE(TRIM(A67&amp;" / "&amp;B67),"أ","ا"),"إ","ا"),"آ","ا"),"ة","ه"),"ى","ي"),"ـ",""))</f>
        <v/>
      </c>
    </row>
    <row r="68" customFormat="false" ht="15" hidden="false" customHeight="false" outlineLevel="0" collapsed="false">
      <c r="A68" s="8"/>
      <c r="B68" s="8"/>
      <c r="C68" s="0" t="str">
        <f aca="false">IF(A68="","",SUBSTITUTE(SUBSTITUTE(SUBSTITUTE(SUBSTITUTE(SUBSTITUTE(SUBSTITUTE(TRIM(A68),"أ","ا"),"إ","ا"),"آ","ا"),"ة","ه"),"ى","ي"),"ـ",""))</f>
        <v/>
      </c>
      <c r="D68" s="0" t="str">
        <f aca="false">IF(A68="","",SUBSTITUTE(SUBSTITUTE(SUBSTITUTE(SUBSTITUTE(SUBSTITUTE(SUBSTITUTE(TRIM(A68&amp;" / "&amp;B68),"أ","ا"),"إ","ا"),"آ","ا"),"ة","ه"),"ى","ي"),"ـ",""))</f>
        <v/>
      </c>
    </row>
    <row r="69" customFormat="false" ht="15" hidden="false" customHeight="false" outlineLevel="0" collapsed="false">
      <c r="A69" s="8"/>
      <c r="B69" s="8"/>
      <c r="C69" s="0" t="str">
        <f aca="false">IF(A69="","",SUBSTITUTE(SUBSTITUTE(SUBSTITUTE(SUBSTITUTE(SUBSTITUTE(SUBSTITUTE(TRIM(A69),"أ","ا"),"إ","ا"),"آ","ا"),"ة","ه"),"ى","ي"),"ـ",""))</f>
        <v/>
      </c>
      <c r="D69" s="0" t="str">
        <f aca="false">IF(A69="","",SUBSTITUTE(SUBSTITUTE(SUBSTITUTE(SUBSTITUTE(SUBSTITUTE(SUBSTITUTE(TRIM(A69&amp;" / "&amp;B69),"أ","ا"),"إ","ا"),"آ","ا"),"ة","ه"),"ى","ي"),"ـ",""))</f>
        <v/>
      </c>
    </row>
    <row r="70" customFormat="false" ht="15" hidden="false" customHeight="false" outlineLevel="0" collapsed="false">
      <c r="A70" s="8"/>
      <c r="B70" s="8"/>
      <c r="C70" s="0" t="str">
        <f aca="false">IF(A70="","",SUBSTITUTE(SUBSTITUTE(SUBSTITUTE(SUBSTITUTE(SUBSTITUTE(SUBSTITUTE(TRIM(A70),"أ","ا"),"إ","ا"),"آ","ا"),"ة","ه"),"ى","ي"),"ـ",""))</f>
        <v/>
      </c>
      <c r="D70" s="0" t="str">
        <f aca="false">IF(A70="","",SUBSTITUTE(SUBSTITUTE(SUBSTITUTE(SUBSTITUTE(SUBSTITUTE(SUBSTITUTE(TRIM(A70&amp;" / "&amp;B70),"أ","ا"),"إ","ا"),"آ","ا"),"ة","ه"),"ى","ي"),"ـ",""))</f>
        <v/>
      </c>
    </row>
    <row r="71" customFormat="false" ht="15" hidden="false" customHeight="false" outlineLevel="0" collapsed="false">
      <c r="A71" s="8"/>
      <c r="B71" s="8"/>
      <c r="C71" s="0" t="str">
        <f aca="false">IF(A71="","",SUBSTITUTE(SUBSTITUTE(SUBSTITUTE(SUBSTITUTE(SUBSTITUTE(SUBSTITUTE(TRIM(A71),"أ","ا"),"إ","ا"),"آ","ا"),"ة","ه"),"ى","ي"),"ـ",""))</f>
        <v/>
      </c>
      <c r="D71" s="0" t="str">
        <f aca="false">IF(A71="","",SUBSTITUTE(SUBSTITUTE(SUBSTITUTE(SUBSTITUTE(SUBSTITUTE(SUBSTITUTE(TRIM(A71&amp;" / "&amp;B71),"أ","ا"),"إ","ا"),"آ","ا"),"ة","ه"),"ى","ي"),"ـ",""))</f>
        <v/>
      </c>
    </row>
    <row r="72" customFormat="false" ht="15" hidden="false" customHeight="false" outlineLevel="0" collapsed="false">
      <c r="A72" s="8"/>
      <c r="B72" s="8"/>
      <c r="C72" s="0" t="str">
        <f aca="false">IF(A72="","",SUBSTITUTE(SUBSTITUTE(SUBSTITUTE(SUBSTITUTE(SUBSTITUTE(SUBSTITUTE(TRIM(A72),"أ","ا"),"إ","ا"),"آ","ا"),"ة","ه"),"ى","ي"),"ـ",""))</f>
        <v/>
      </c>
      <c r="D72" s="0" t="str">
        <f aca="false">IF(A72="","",SUBSTITUTE(SUBSTITUTE(SUBSTITUTE(SUBSTITUTE(SUBSTITUTE(SUBSTITUTE(TRIM(A72&amp;" / "&amp;B72),"أ","ا"),"إ","ا"),"آ","ا"),"ة","ه"),"ى","ي"),"ـ",""))</f>
        <v/>
      </c>
    </row>
    <row r="73" customFormat="false" ht="15" hidden="false" customHeight="false" outlineLevel="0" collapsed="false">
      <c r="A73" s="8"/>
      <c r="B73" s="8"/>
      <c r="C73" s="0" t="str">
        <f aca="false">IF(A73="","",SUBSTITUTE(SUBSTITUTE(SUBSTITUTE(SUBSTITUTE(SUBSTITUTE(SUBSTITUTE(TRIM(A73),"أ","ا"),"إ","ا"),"آ","ا"),"ة","ه"),"ى","ي"),"ـ",""))</f>
        <v/>
      </c>
      <c r="D73" s="0" t="str">
        <f aca="false">IF(A73="","",SUBSTITUTE(SUBSTITUTE(SUBSTITUTE(SUBSTITUTE(SUBSTITUTE(SUBSTITUTE(TRIM(A73&amp;" / "&amp;B73),"أ","ا"),"إ","ا"),"آ","ا"),"ة","ه"),"ى","ي"),"ـ",""))</f>
        <v/>
      </c>
    </row>
    <row r="74" customFormat="false" ht="15" hidden="false" customHeight="false" outlineLevel="0" collapsed="false">
      <c r="A74" s="8"/>
      <c r="B74" s="8"/>
      <c r="C74" s="0" t="str">
        <f aca="false">IF(A74="","",SUBSTITUTE(SUBSTITUTE(SUBSTITUTE(SUBSTITUTE(SUBSTITUTE(SUBSTITUTE(TRIM(A74),"أ","ا"),"إ","ا"),"آ","ا"),"ة","ه"),"ى","ي"),"ـ",""))</f>
        <v/>
      </c>
      <c r="D74" s="0" t="str">
        <f aca="false">IF(A74="","",SUBSTITUTE(SUBSTITUTE(SUBSTITUTE(SUBSTITUTE(SUBSTITUTE(SUBSTITUTE(TRIM(A74&amp;" / "&amp;B74),"أ","ا"),"إ","ا"),"آ","ا"),"ة","ه"),"ى","ي"),"ـ",""))</f>
        <v/>
      </c>
    </row>
    <row r="75" customFormat="false" ht="15" hidden="false" customHeight="false" outlineLevel="0" collapsed="false">
      <c r="A75" s="8"/>
      <c r="B75" s="8"/>
      <c r="C75" s="0" t="str">
        <f aca="false">IF(A75="","",SUBSTITUTE(SUBSTITUTE(SUBSTITUTE(SUBSTITUTE(SUBSTITUTE(SUBSTITUTE(TRIM(A75),"أ","ا"),"إ","ا"),"آ","ا"),"ة","ه"),"ى","ي"),"ـ",""))</f>
        <v/>
      </c>
      <c r="D75" s="0" t="str">
        <f aca="false">IF(A75="","",SUBSTITUTE(SUBSTITUTE(SUBSTITUTE(SUBSTITUTE(SUBSTITUTE(SUBSTITUTE(TRIM(A75&amp;" / "&amp;B75),"أ","ا"),"إ","ا"),"آ","ا"),"ة","ه"),"ى","ي"),"ـ",""))</f>
        <v/>
      </c>
    </row>
    <row r="76" customFormat="false" ht="15" hidden="false" customHeight="false" outlineLevel="0" collapsed="false">
      <c r="A76" s="8"/>
      <c r="B76" s="8"/>
      <c r="C76" s="0" t="str">
        <f aca="false">IF(A76="","",SUBSTITUTE(SUBSTITUTE(SUBSTITUTE(SUBSTITUTE(SUBSTITUTE(SUBSTITUTE(TRIM(A76),"أ","ا"),"إ","ا"),"آ","ا"),"ة","ه"),"ى","ي"),"ـ",""))</f>
        <v/>
      </c>
      <c r="D76" s="0" t="str">
        <f aca="false">IF(A76="","",SUBSTITUTE(SUBSTITUTE(SUBSTITUTE(SUBSTITUTE(SUBSTITUTE(SUBSTITUTE(TRIM(A76&amp;" / "&amp;B76),"أ","ا"),"إ","ا"),"آ","ا"),"ة","ه"),"ى","ي"),"ـ",""))</f>
        <v/>
      </c>
    </row>
    <row r="77" customFormat="false" ht="15" hidden="false" customHeight="false" outlineLevel="0" collapsed="false">
      <c r="A77" s="8"/>
      <c r="B77" s="8"/>
      <c r="C77" s="0" t="str">
        <f aca="false">IF(A77="","",SUBSTITUTE(SUBSTITUTE(SUBSTITUTE(SUBSTITUTE(SUBSTITUTE(SUBSTITUTE(TRIM(A77),"أ","ا"),"إ","ا"),"آ","ا"),"ة","ه"),"ى","ي"),"ـ",""))</f>
        <v/>
      </c>
      <c r="D77" s="0" t="str">
        <f aca="false">IF(A77="","",SUBSTITUTE(SUBSTITUTE(SUBSTITUTE(SUBSTITUTE(SUBSTITUTE(SUBSTITUTE(TRIM(A77&amp;" / "&amp;B77),"أ","ا"),"إ","ا"),"آ","ا"),"ة","ه"),"ى","ي"),"ـ",""))</f>
        <v/>
      </c>
    </row>
    <row r="78" customFormat="false" ht="15" hidden="false" customHeight="false" outlineLevel="0" collapsed="false">
      <c r="A78" s="8"/>
      <c r="B78" s="8"/>
      <c r="C78" s="0" t="str">
        <f aca="false">IF(A78="","",SUBSTITUTE(SUBSTITUTE(SUBSTITUTE(SUBSTITUTE(SUBSTITUTE(SUBSTITUTE(TRIM(A78),"أ","ا"),"إ","ا"),"آ","ا"),"ة","ه"),"ى","ي"),"ـ",""))</f>
        <v/>
      </c>
      <c r="D78" s="0" t="str">
        <f aca="false">IF(A78="","",SUBSTITUTE(SUBSTITUTE(SUBSTITUTE(SUBSTITUTE(SUBSTITUTE(SUBSTITUTE(TRIM(A78&amp;" / "&amp;B78),"أ","ا"),"إ","ا"),"آ","ا"),"ة","ه"),"ى","ي"),"ـ",""))</f>
        <v/>
      </c>
    </row>
    <row r="79" customFormat="false" ht="15" hidden="false" customHeight="false" outlineLevel="0" collapsed="false">
      <c r="A79" s="8"/>
      <c r="B79" s="8"/>
      <c r="C79" s="0" t="str">
        <f aca="false">IF(A79="","",SUBSTITUTE(SUBSTITUTE(SUBSTITUTE(SUBSTITUTE(SUBSTITUTE(SUBSTITUTE(TRIM(A79),"أ","ا"),"إ","ا"),"آ","ا"),"ة","ه"),"ى","ي"),"ـ",""))</f>
        <v/>
      </c>
      <c r="D79" s="0" t="str">
        <f aca="false">IF(A79="","",SUBSTITUTE(SUBSTITUTE(SUBSTITUTE(SUBSTITUTE(SUBSTITUTE(SUBSTITUTE(TRIM(A79&amp;" / "&amp;B79),"أ","ا"),"إ","ا"),"آ","ا"),"ة","ه"),"ى","ي"),"ـ",""))</f>
        <v/>
      </c>
    </row>
    <row r="80" customFormat="false" ht="15" hidden="false" customHeight="false" outlineLevel="0" collapsed="false">
      <c r="A80" s="8"/>
      <c r="B80" s="8"/>
      <c r="C80" s="0" t="str">
        <f aca="false">IF(A80="","",SUBSTITUTE(SUBSTITUTE(SUBSTITUTE(SUBSTITUTE(SUBSTITUTE(SUBSTITUTE(TRIM(A80),"أ","ا"),"إ","ا"),"آ","ا"),"ة","ه"),"ى","ي"),"ـ",""))</f>
        <v/>
      </c>
      <c r="D80" s="0" t="str">
        <f aca="false">IF(A80="","",SUBSTITUTE(SUBSTITUTE(SUBSTITUTE(SUBSTITUTE(SUBSTITUTE(SUBSTITUTE(TRIM(A80&amp;" / "&amp;B80),"أ","ا"),"إ","ا"),"آ","ا"),"ة","ه"),"ى","ي"),"ـ",""))</f>
        <v/>
      </c>
    </row>
    <row r="81" customFormat="false" ht="15" hidden="false" customHeight="false" outlineLevel="0" collapsed="false">
      <c r="A81" s="8"/>
      <c r="B81" s="8"/>
      <c r="C81" s="0" t="str">
        <f aca="false">IF(A81="","",SUBSTITUTE(SUBSTITUTE(SUBSTITUTE(SUBSTITUTE(SUBSTITUTE(SUBSTITUTE(TRIM(A81),"أ","ا"),"إ","ا"),"آ","ا"),"ة","ه"),"ى","ي"),"ـ",""))</f>
        <v/>
      </c>
      <c r="D81" s="0" t="str">
        <f aca="false">IF(A81="","",SUBSTITUTE(SUBSTITUTE(SUBSTITUTE(SUBSTITUTE(SUBSTITUTE(SUBSTITUTE(TRIM(A81&amp;" / "&amp;B81),"أ","ا"),"إ","ا"),"آ","ا"),"ة","ه"),"ى","ي"),"ـ",""))</f>
        <v/>
      </c>
    </row>
    <row r="82" customFormat="false" ht="15" hidden="false" customHeight="false" outlineLevel="0" collapsed="false">
      <c r="A82" s="8"/>
      <c r="B82" s="8"/>
      <c r="C82" s="0" t="str">
        <f aca="false">IF(A82="","",SUBSTITUTE(SUBSTITUTE(SUBSTITUTE(SUBSTITUTE(SUBSTITUTE(SUBSTITUTE(TRIM(A82),"أ","ا"),"إ","ا"),"آ","ا"),"ة","ه"),"ى","ي"),"ـ",""))</f>
        <v/>
      </c>
      <c r="D82" s="0" t="str">
        <f aca="false">IF(A82="","",SUBSTITUTE(SUBSTITUTE(SUBSTITUTE(SUBSTITUTE(SUBSTITUTE(SUBSTITUTE(TRIM(A82&amp;" / "&amp;B82),"أ","ا"),"إ","ا"),"آ","ا"),"ة","ه"),"ى","ي"),"ـ",""))</f>
        <v/>
      </c>
    </row>
    <row r="83" customFormat="false" ht="15" hidden="false" customHeight="false" outlineLevel="0" collapsed="false">
      <c r="A83" s="8"/>
      <c r="B83" s="8"/>
      <c r="C83" s="0" t="str">
        <f aca="false">IF(A83="","",SUBSTITUTE(SUBSTITUTE(SUBSTITUTE(SUBSTITUTE(SUBSTITUTE(SUBSTITUTE(TRIM(A83),"أ","ا"),"إ","ا"),"آ","ا"),"ة","ه"),"ى","ي"),"ـ",""))</f>
        <v/>
      </c>
      <c r="D83" s="0" t="str">
        <f aca="false">IF(A83="","",SUBSTITUTE(SUBSTITUTE(SUBSTITUTE(SUBSTITUTE(SUBSTITUTE(SUBSTITUTE(TRIM(A83&amp;" / "&amp;B83),"أ","ا"),"إ","ا"),"آ","ا"),"ة","ه"),"ى","ي"),"ـ",""))</f>
        <v/>
      </c>
    </row>
    <row r="84" customFormat="false" ht="15" hidden="false" customHeight="false" outlineLevel="0" collapsed="false">
      <c r="A84" s="8"/>
      <c r="B84" s="8"/>
      <c r="C84" s="0" t="str">
        <f aca="false">IF(A84="","",SUBSTITUTE(SUBSTITUTE(SUBSTITUTE(SUBSTITUTE(SUBSTITUTE(SUBSTITUTE(TRIM(A84),"أ","ا"),"إ","ا"),"آ","ا"),"ة","ه"),"ى","ي"),"ـ",""))</f>
        <v/>
      </c>
      <c r="D84" s="0" t="str">
        <f aca="false">IF(A84="","",SUBSTITUTE(SUBSTITUTE(SUBSTITUTE(SUBSTITUTE(SUBSTITUTE(SUBSTITUTE(TRIM(A84&amp;" / "&amp;B84),"أ","ا"),"إ","ا"),"آ","ا"),"ة","ه"),"ى","ي"),"ـ",""))</f>
        <v/>
      </c>
    </row>
    <row r="85" customFormat="false" ht="15" hidden="false" customHeight="false" outlineLevel="0" collapsed="false">
      <c r="A85" s="8"/>
      <c r="B85" s="8"/>
      <c r="C85" s="0" t="str">
        <f aca="false">IF(A85="","",SUBSTITUTE(SUBSTITUTE(SUBSTITUTE(SUBSTITUTE(SUBSTITUTE(SUBSTITUTE(TRIM(A85),"أ","ا"),"إ","ا"),"آ","ا"),"ة","ه"),"ى","ي"),"ـ",""))</f>
        <v/>
      </c>
      <c r="D85" s="0" t="str">
        <f aca="false">IF(A85="","",SUBSTITUTE(SUBSTITUTE(SUBSTITUTE(SUBSTITUTE(SUBSTITUTE(SUBSTITUTE(TRIM(A85&amp;" / "&amp;B85),"أ","ا"),"إ","ا"),"آ","ا"),"ة","ه"),"ى","ي"),"ـ",""))</f>
        <v/>
      </c>
    </row>
    <row r="86" customFormat="false" ht="15" hidden="false" customHeight="false" outlineLevel="0" collapsed="false">
      <c r="A86" s="8"/>
      <c r="B86" s="8"/>
      <c r="C86" s="0" t="str">
        <f aca="false">IF(A86="","",SUBSTITUTE(SUBSTITUTE(SUBSTITUTE(SUBSTITUTE(SUBSTITUTE(SUBSTITUTE(TRIM(A86),"أ","ا"),"إ","ا"),"آ","ا"),"ة","ه"),"ى","ي"),"ـ",""))</f>
        <v/>
      </c>
      <c r="D86" s="0" t="str">
        <f aca="false">IF(A86="","",SUBSTITUTE(SUBSTITUTE(SUBSTITUTE(SUBSTITUTE(SUBSTITUTE(SUBSTITUTE(TRIM(A86&amp;" / "&amp;B86),"أ","ا"),"إ","ا"),"آ","ا"),"ة","ه"),"ى","ي"),"ـ",""))</f>
        <v/>
      </c>
    </row>
    <row r="87" customFormat="false" ht="15" hidden="false" customHeight="false" outlineLevel="0" collapsed="false">
      <c r="A87" s="8"/>
      <c r="B87" s="8"/>
      <c r="C87" s="0" t="str">
        <f aca="false">IF(A87="","",SUBSTITUTE(SUBSTITUTE(SUBSTITUTE(SUBSTITUTE(SUBSTITUTE(SUBSTITUTE(TRIM(A87),"أ","ا"),"إ","ا"),"آ","ا"),"ة","ه"),"ى","ي"),"ـ",""))</f>
        <v/>
      </c>
      <c r="D87" s="0" t="str">
        <f aca="false">IF(A87="","",SUBSTITUTE(SUBSTITUTE(SUBSTITUTE(SUBSTITUTE(SUBSTITUTE(SUBSTITUTE(TRIM(A87&amp;" / "&amp;B87),"أ","ا"),"إ","ا"),"آ","ا"),"ة","ه"),"ى","ي"),"ـ",""))</f>
        <v/>
      </c>
    </row>
    <row r="88" customFormat="false" ht="15" hidden="false" customHeight="false" outlineLevel="0" collapsed="false">
      <c r="A88" s="8"/>
      <c r="B88" s="8"/>
      <c r="C88" s="0" t="str">
        <f aca="false">IF(A88="","",SUBSTITUTE(SUBSTITUTE(SUBSTITUTE(SUBSTITUTE(SUBSTITUTE(SUBSTITUTE(TRIM(A88),"أ","ا"),"إ","ا"),"آ","ا"),"ة","ه"),"ى","ي"),"ـ",""))</f>
        <v/>
      </c>
      <c r="D88" s="0" t="str">
        <f aca="false">IF(A88="","",SUBSTITUTE(SUBSTITUTE(SUBSTITUTE(SUBSTITUTE(SUBSTITUTE(SUBSTITUTE(TRIM(A88&amp;" / "&amp;B88),"أ","ا"),"إ","ا"),"آ","ا"),"ة","ه"),"ى","ي"),"ـ",""))</f>
        <v/>
      </c>
    </row>
    <row r="89" customFormat="false" ht="15" hidden="false" customHeight="false" outlineLevel="0" collapsed="false">
      <c r="A89" s="8"/>
      <c r="B89" s="8"/>
      <c r="C89" s="0" t="str">
        <f aca="false">IF(A89="","",SUBSTITUTE(SUBSTITUTE(SUBSTITUTE(SUBSTITUTE(SUBSTITUTE(SUBSTITUTE(TRIM(A89),"أ","ا"),"إ","ا"),"آ","ا"),"ة","ه"),"ى","ي"),"ـ",""))</f>
        <v/>
      </c>
      <c r="D89" s="0" t="str">
        <f aca="false">IF(A89="","",SUBSTITUTE(SUBSTITUTE(SUBSTITUTE(SUBSTITUTE(SUBSTITUTE(SUBSTITUTE(TRIM(A89&amp;" / "&amp;B89),"أ","ا"),"إ","ا"),"آ","ا"),"ة","ه"),"ى","ي"),"ـ",""))</f>
        <v/>
      </c>
    </row>
    <row r="90" customFormat="false" ht="15" hidden="false" customHeight="false" outlineLevel="0" collapsed="false">
      <c r="A90" s="8"/>
      <c r="B90" s="8"/>
      <c r="C90" s="0" t="str">
        <f aca="false">IF(A90="","",SUBSTITUTE(SUBSTITUTE(SUBSTITUTE(SUBSTITUTE(SUBSTITUTE(SUBSTITUTE(TRIM(A90),"أ","ا"),"إ","ا"),"آ","ا"),"ة","ه"),"ى","ي"),"ـ",""))</f>
        <v/>
      </c>
      <c r="D90" s="0" t="str">
        <f aca="false">IF(A90="","",SUBSTITUTE(SUBSTITUTE(SUBSTITUTE(SUBSTITUTE(SUBSTITUTE(SUBSTITUTE(TRIM(A90&amp;" / "&amp;B90),"أ","ا"),"إ","ا"),"آ","ا"),"ة","ه"),"ى","ي"),"ـ",""))</f>
        <v/>
      </c>
    </row>
    <row r="91" customFormat="false" ht="15" hidden="false" customHeight="false" outlineLevel="0" collapsed="false">
      <c r="A91" s="8"/>
      <c r="B91" s="8"/>
      <c r="C91" s="0" t="str">
        <f aca="false">IF(A91="","",SUBSTITUTE(SUBSTITUTE(SUBSTITUTE(SUBSTITUTE(SUBSTITUTE(SUBSTITUTE(TRIM(A91),"أ","ا"),"إ","ا"),"آ","ا"),"ة","ه"),"ى","ي"),"ـ",""))</f>
        <v/>
      </c>
      <c r="D91" s="0" t="str">
        <f aca="false">IF(A91="","",SUBSTITUTE(SUBSTITUTE(SUBSTITUTE(SUBSTITUTE(SUBSTITUTE(SUBSTITUTE(TRIM(A91&amp;" / "&amp;B91),"أ","ا"),"إ","ا"),"آ","ا"),"ة","ه"),"ى","ي"),"ـ",""))</f>
        <v/>
      </c>
    </row>
    <row r="92" customFormat="false" ht="15" hidden="false" customHeight="false" outlineLevel="0" collapsed="false">
      <c r="A92" s="8"/>
      <c r="B92" s="8"/>
      <c r="C92" s="0" t="str">
        <f aca="false">IF(A92="","",SUBSTITUTE(SUBSTITUTE(SUBSTITUTE(SUBSTITUTE(SUBSTITUTE(SUBSTITUTE(TRIM(A92),"أ","ا"),"إ","ا"),"آ","ا"),"ة","ه"),"ى","ي"),"ـ",""))</f>
        <v/>
      </c>
      <c r="D92" s="0" t="str">
        <f aca="false">IF(A92="","",SUBSTITUTE(SUBSTITUTE(SUBSTITUTE(SUBSTITUTE(SUBSTITUTE(SUBSTITUTE(TRIM(A92&amp;" / "&amp;B92),"أ","ا"),"إ","ا"),"آ","ا"),"ة","ه"),"ى","ي"),"ـ",""))</f>
        <v/>
      </c>
    </row>
    <row r="93" customFormat="false" ht="15" hidden="false" customHeight="false" outlineLevel="0" collapsed="false">
      <c r="A93" s="8"/>
      <c r="B93" s="8"/>
      <c r="C93" s="0" t="str">
        <f aca="false">IF(A93="","",SUBSTITUTE(SUBSTITUTE(SUBSTITUTE(SUBSTITUTE(SUBSTITUTE(SUBSTITUTE(TRIM(A93),"أ","ا"),"إ","ا"),"آ","ا"),"ة","ه"),"ى","ي"),"ـ",""))</f>
        <v/>
      </c>
      <c r="D93" s="0" t="str">
        <f aca="false">IF(A93="","",SUBSTITUTE(SUBSTITUTE(SUBSTITUTE(SUBSTITUTE(SUBSTITUTE(SUBSTITUTE(TRIM(A93&amp;" / "&amp;B93),"أ","ا"),"إ","ا"),"آ","ا"),"ة","ه"),"ى","ي"),"ـ",""))</f>
        <v/>
      </c>
    </row>
    <row r="94" customFormat="false" ht="15" hidden="false" customHeight="false" outlineLevel="0" collapsed="false">
      <c r="A94" s="8"/>
      <c r="B94" s="8"/>
      <c r="C94" s="0" t="str">
        <f aca="false">IF(A94="","",SUBSTITUTE(SUBSTITUTE(SUBSTITUTE(SUBSTITUTE(SUBSTITUTE(SUBSTITUTE(TRIM(A94),"أ","ا"),"إ","ا"),"آ","ا"),"ة","ه"),"ى","ي"),"ـ",""))</f>
        <v/>
      </c>
      <c r="D94" s="0" t="str">
        <f aca="false">IF(A94="","",SUBSTITUTE(SUBSTITUTE(SUBSTITUTE(SUBSTITUTE(SUBSTITUTE(SUBSTITUTE(TRIM(A94&amp;" / "&amp;B94),"أ","ا"),"إ","ا"),"آ","ا"),"ة","ه"),"ى","ي"),"ـ",""))</f>
        <v/>
      </c>
    </row>
    <row r="95" customFormat="false" ht="15" hidden="false" customHeight="false" outlineLevel="0" collapsed="false">
      <c r="A95" s="8"/>
      <c r="B95" s="8"/>
      <c r="C95" s="0" t="str">
        <f aca="false">IF(A95="","",SUBSTITUTE(SUBSTITUTE(SUBSTITUTE(SUBSTITUTE(SUBSTITUTE(SUBSTITUTE(TRIM(A95),"أ","ا"),"إ","ا"),"آ","ا"),"ة","ه"),"ى","ي"),"ـ",""))</f>
        <v/>
      </c>
      <c r="D95" s="0" t="str">
        <f aca="false">IF(A95="","",SUBSTITUTE(SUBSTITUTE(SUBSTITUTE(SUBSTITUTE(SUBSTITUTE(SUBSTITUTE(TRIM(A95&amp;" / "&amp;B95),"أ","ا"),"إ","ا"),"آ","ا"),"ة","ه"),"ى","ي"),"ـ",""))</f>
        <v/>
      </c>
    </row>
    <row r="96" customFormat="false" ht="15" hidden="false" customHeight="false" outlineLevel="0" collapsed="false">
      <c r="A96" s="8"/>
      <c r="B96" s="8"/>
      <c r="C96" s="0" t="str">
        <f aca="false">IF(A96="","",SUBSTITUTE(SUBSTITUTE(SUBSTITUTE(SUBSTITUTE(SUBSTITUTE(SUBSTITUTE(TRIM(A96),"أ","ا"),"إ","ا"),"آ","ا"),"ة","ه"),"ى","ي"),"ـ",""))</f>
        <v/>
      </c>
      <c r="D96" s="0" t="str">
        <f aca="false">IF(A96="","",SUBSTITUTE(SUBSTITUTE(SUBSTITUTE(SUBSTITUTE(SUBSTITUTE(SUBSTITUTE(TRIM(A96&amp;" / "&amp;B96),"أ","ا"),"إ","ا"),"آ","ا"),"ة","ه"),"ى","ي"),"ـ",""))</f>
        <v/>
      </c>
    </row>
    <row r="97" customFormat="false" ht="15" hidden="false" customHeight="false" outlineLevel="0" collapsed="false">
      <c r="A97" s="8"/>
      <c r="B97" s="8"/>
      <c r="C97" s="0" t="str">
        <f aca="false">IF(A97="","",SUBSTITUTE(SUBSTITUTE(SUBSTITUTE(SUBSTITUTE(SUBSTITUTE(SUBSTITUTE(TRIM(A97),"أ","ا"),"إ","ا"),"آ","ا"),"ة","ه"),"ى","ي"),"ـ",""))</f>
        <v/>
      </c>
      <c r="D97" s="0" t="str">
        <f aca="false">IF(A97="","",SUBSTITUTE(SUBSTITUTE(SUBSTITUTE(SUBSTITUTE(SUBSTITUTE(SUBSTITUTE(TRIM(A97&amp;" / "&amp;B97),"أ","ا"),"إ","ا"),"آ","ا"),"ة","ه"),"ى","ي"),"ـ",""))</f>
        <v/>
      </c>
    </row>
    <row r="98" customFormat="false" ht="15" hidden="false" customHeight="false" outlineLevel="0" collapsed="false">
      <c r="A98" s="8"/>
      <c r="B98" s="8"/>
      <c r="C98" s="0" t="str">
        <f aca="false">IF(A98="","",SUBSTITUTE(SUBSTITUTE(SUBSTITUTE(SUBSTITUTE(SUBSTITUTE(SUBSTITUTE(TRIM(A98),"أ","ا"),"إ","ا"),"آ","ا"),"ة","ه"),"ى","ي"),"ـ",""))</f>
        <v/>
      </c>
      <c r="D98" s="0" t="str">
        <f aca="false">IF(A98="","",SUBSTITUTE(SUBSTITUTE(SUBSTITUTE(SUBSTITUTE(SUBSTITUTE(SUBSTITUTE(TRIM(A98&amp;" / "&amp;B98),"أ","ا"),"إ","ا"),"آ","ا"),"ة","ه"),"ى","ي"),"ـ",""))</f>
        <v/>
      </c>
    </row>
    <row r="99" customFormat="false" ht="15" hidden="false" customHeight="false" outlineLevel="0" collapsed="false">
      <c r="A99" s="8"/>
      <c r="B99" s="8"/>
      <c r="C99" s="0" t="str">
        <f aca="false">IF(A99="","",SUBSTITUTE(SUBSTITUTE(SUBSTITUTE(SUBSTITUTE(SUBSTITUTE(SUBSTITUTE(TRIM(A99),"أ","ا"),"إ","ا"),"آ","ا"),"ة","ه"),"ى","ي"),"ـ",""))</f>
        <v/>
      </c>
      <c r="D99" s="0" t="str">
        <f aca="false">IF(A99="","",SUBSTITUTE(SUBSTITUTE(SUBSTITUTE(SUBSTITUTE(SUBSTITUTE(SUBSTITUTE(TRIM(A99&amp;" / "&amp;B99),"أ","ا"),"إ","ا"),"آ","ا"),"ة","ه"),"ى","ي"),"ـ",""))</f>
        <v/>
      </c>
    </row>
    <row r="100" customFormat="false" ht="15" hidden="false" customHeight="false" outlineLevel="0" collapsed="false">
      <c r="A100" s="8"/>
      <c r="B100" s="8"/>
      <c r="C100" s="0" t="str">
        <f aca="false">IF(A100="","",SUBSTITUTE(SUBSTITUTE(SUBSTITUTE(SUBSTITUTE(SUBSTITUTE(SUBSTITUTE(TRIM(A100),"أ","ا"),"إ","ا"),"آ","ا"),"ة","ه"),"ى","ي"),"ـ",""))</f>
        <v/>
      </c>
      <c r="D100" s="0" t="str">
        <f aca="false">IF(A100="","",SUBSTITUTE(SUBSTITUTE(SUBSTITUTE(SUBSTITUTE(SUBSTITUTE(SUBSTITUTE(TRIM(A100&amp;" / "&amp;B100),"أ","ا"),"إ","ا"),"آ","ا"),"ة","ه"),"ى","ي"),"ـ",""))</f>
        <v/>
      </c>
    </row>
    <row r="101" customFormat="false" ht="15" hidden="false" customHeight="false" outlineLevel="0" collapsed="false">
      <c r="A101" s="8"/>
      <c r="B101" s="8"/>
      <c r="C101" s="0" t="str">
        <f aca="false">IF(A101="","",SUBSTITUTE(SUBSTITUTE(SUBSTITUTE(SUBSTITUTE(SUBSTITUTE(SUBSTITUTE(TRIM(A101),"أ","ا"),"إ","ا"),"آ","ا"),"ة","ه"),"ى","ي"),"ـ",""))</f>
        <v/>
      </c>
      <c r="D101" s="0" t="str">
        <f aca="false">IF(A101="","",SUBSTITUTE(SUBSTITUTE(SUBSTITUTE(SUBSTITUTE(SUBSTITUTE(SUBSTITUTE(TRIM(A101&amp;" / "&amp;B101),"أ","ا"),"إ","ا"),"آ","ا"),"ة","ه"),"ى","ي"),"ـ",""))</f>
        <v/>
      </c>
    </row>
    <row r="102" customFormat="false" ht="15" hidden="false" customHeight="false" outlineLevel="0" collapsed="false">
      <c r="A102" s="8"/>
      <c r="B102" s="8"/>
      <c r="C102" s="0" t="str">
        <f aca="false">IF(A102="","",SUBSTITUTE(SUBSTITUTE(SUBSTITUTE(SUBSTITUTE(SUBSTITUTE(SUBSTITUTE(TRIM(A102),"أ","ا"),"إ","ا"),"آ","ا"),"ة","ه"),"ى","ي"),"ـ",""))</f>
        <v/>
      </c>
      <c r="D102" s="0" t="str">
        <f aca="false">IF(A102="","",SUBSTITUTE(SUBSTITUTE(SUBSTITUTE(SUBSTITUTE(SUBSTITUTE(SUBSTITUTE(TRIM(A102&amp;" / "&amp;B102),"أ","ا"),"إ","ا"),"آ","ا"),"ة","ه"),"ى","ي"),"ـ",""))</f>
        <v/>
      </c>
    </row>
    <row r="103" customFormat="false" ht="15" hidden="false" customHeight="false" outlineLevel="0" collapsed="false">
      <c r="A103" s="8"/>
      <c r="B103" s="8"/>
      <c r="C103" s="0" t="str">
        <f aca="false">IF(A103="","",SUBSTITUTE(SUBSTITUTE(SUBSTITUTE(SUBSTITUTE(SUBSTITUTE(SUBSTITUTE(TRIM(A103),"أ","ا"),"إ","ا"),"آ","ا"),"ة","ه"),"ى","ي"),"ـ",""))</f>
        <v/>
      </c>
      <c r="D103" s="0" t="str">
        <f aca="false">IF(A103="","",SUBSTITUTE(SUBSTITUTE(SUBSTITUTE(SUBSTITUTE(SUBSTITUTE(SUBSTITUTE(TRIM(A103&amp;" / "&amp;B103),"أ","ا"),"إ","ا"),"آ","ا"),"ة","ه"),"ى","ي"),"ـ",""))</f>
        <v/>
      </c>
    </row>
    <row r="104" customFormat="false" ht="15" hidden="false" customHeight="false" outlineLevel="0" collapsed="false">
      <c r="A104" s="8"/>
      <c r="B104" s="8"/>
      <c r="C104" s="0" t="str">
        <f aca="false">IF(A104="","",SUBSTITUTE(SUBSTITUTE(SUBSTITUTE(SUBSTITUTE(SUBSTITUTE(SUBSTITUTE(TRIM(A104),"أ","ا"),"إ","ا"),"آ","ا"),"ة","ه"),"ى","ي"),"ـ",""))</f>
        <v/>
      </c>
      <c r="D104" s="0" t="str">
        <f aca="false">IF(A104="","",SUBSTITUTE(SUBSTITUTE(SUBSTITUTE(SUBSTITUTE(SUBSTITUTE(SUBSTITUTE(TRIM(A104&amp;" / "&amp;B104),"أ","ا"),"إ","ا"),"آ","ا"),"ة","ه"),"ى","ي"),"ـ",""))</f>
        <v/>
      </c>
    </row>
    <row r="105" customFormat="false" ht="15" hidden="false" customHeight="false" outlineLevel="0" collapsed="false">
      <c r="A105" s="8"/>
      <c r="B105" s="8"/>
      <c r="C105" s="0" t="str">
        <f aca="false">IF(A105="","",SUBSTITUTE(SUBSTITUTE(SUBSTITUTE(SUBSTITUTE(SUBSTITUTE(SUBSTITUTE(TRIM(A105),"أ","ا"),"إ","ا"),"آ","ا"),"ة","ه"),"ى","ي"),"ـ",""))</f>
        <v/>
      </c>
      <c r="D105" s="0" t="str">
        <f aca="false">IF(A105="","",SUBSTITUTE(SUBSTITUTE(SUBSTITUTE(SUBSTITUTE(SUBSTITUTE(SUBSTITUTE(TRIM(A105&amp;" / "&amp;B105),"أ","ا"),"إ","ا"),"آ","ا"),"ة","ه"),"ى","ي"),"ـ",""))</f>
        <v/>
      </c>
    </row>
    <row r="106" customFormat="false" ht="15" hidden="false" customHeight="false" outlineLevel="0" collapsed="false">
      <c r="A106" s="8"/>
      <c r="B106" s="8"/>
      <c r="C106" s="0" t="str">
        <f aca="false">IF(A106="","",SUBSTITUTE(SUBSTITUTE(SUBSTITUTE(SUBSTITUTE(SUBSTITUTE(SUBSTITUTE(TRIM(A106),"أ","ا"),"إ","ا"),"آ","ا"),"ة","ه"),"ى","ي"),"ـ",""))</f>
        <v/>
      </c>
      <c r="D106" s="0" t="str">
        <f aca="false">IF(A106="","",SUBSTITUTE(SUBSTITUTE(SUBSTITUTE(SUBSTITUTE(SUBSTITUTE(SUBSTITUTE(TRIM(A106&amp;" / "&amp;B106),"أ","ا"),"إ","ا"),"آ","ا"),"ة","ه"),"ى","ي"),"ـ",""))</f>
        <v/>
      </c>
    </row>
    <row r="107" customFormat="false" ht="15" hidden="false" customHeight="false" outlineLevel="0" collapsed="false">
      <c r="A107" s="8"/>
      <c r="B107" s="8"/>
      <c r="C107" s="0" t="str">
        <f aca="false">IF(A107="","",SUBSTITUTE(SUBSTITUTE(SUBSTITUTE(SUBSTITUTE(SUBSTITUTE(SUBSTITUTE(TRIM(A107),"أ","ا"),"إ","ا"),"آ","ا"),"ة","ه"),"ى","ي"),"ـ",""))</f>
        <v/>
      </c>
      <c r="D107" s="0" t="str">
        <f aca="false">IF(A107="","",SUBSTITUTE(SUBSTITUTE(SUBSTITUTE(SUBSTITUTE(SUBSTITUTE(SUBSTITUTE(TRIM(A107&amp;" / "&amp;B107),"أ","ا"),"إ","ا"),"آ","ا"),"ة","ه"),"ى","ي"),"ـ",""))</f>
        <v/>
      </c>
    </row>
    <row r="108" customFormat="false" ht="15" hidden="false" customHeight="false" outlineLevel="0" collapsed="false">
      <c r="A108" s="8"/>
      <c r="B108" s="8"/>
      <c r="C108" s="0" t="str">
        <f aca="false">IF(A108="","",SUBSTITUTE(SUBSTITUTE(SUBSTITUTE(SUBSTITUTE(SUBSTITUTE(SUBSTITUTE(TRIM(A108),"أ","ا"),"إ","ا"),"آ","ا"),"ة","ه"),"ى","ي"),"ـ",""))</f>
        <v/>
      </c>
      <c r="D108" s="0" t="str">
        <f aca="false">IF(A108="","",SUBSTITUTE(SUBSTITUTE(SUBSTITUTE(SUBSTITUTE(SUBSTITUTE(SUBSTITUTE(TRIM(A108&amp;" / "&amp;B108),"أ","ا"),"إ","ا"),"آ","ا"),"ة","ه"),"ى","ي"),"ـ",""))</f>
        <v/>
      </c>
    </row>
    <row r="109" customFormat="false" ht="15" hidden="false" customHeight="false" outlineLevel="0" collapsed="false">
      <c r="A109" s="8"/>
      <c r="B109" s="8"/>
      <c r="C109" s="0" t="str">
        <f aca="false">IF(A109="","",SUBSTITUTE(SUBSTITUTE(SUBSTITUTE(SUBSTITUTE(SUBSTITUTE(SUBSTITUTE(TRIM(A109),"أ","ا"),"إ","ا"),"آ","ا"),"ة","ه"),"ى","ي"),"ـ",""))</f>
        <v/>
      </c>
      <c r="D109" s="0" t="str">
        <f aca="false">IF(A109="","",SUBSTITUTE(SUBSTITUTE(SUBSTITUTE(SUBSTITUTE(SUBSTITUTE(SUBSTITUTE(TRIM(A109&amp;" / "&amp;B109),"أ","ا"),"إ","ا"),"آ","ا"),"ة","ه"),"ى","ي"),"ـ",""))</f>
        <v/>
      </c>
    </row>
    <row r="110" customFormat="false" ht="15" hidden="false" customHeight="false" outlineLevel="0" collapsed="false">
      <c r="A110" s="8"/>
      <c r="B110" s="8"/>
      <c r="C110" s="0" t="str">
        <f aca="false">IF(A110="","",SUBSTITUTE(SUBSTITUTE(SUBSTITUTE(SUBSTITUTE(SUBSTITUTE(SUBSTITUTE(TRIM(A110),"أ","ا"),"إ","ا"),"آ","ا"),"ة","ه"),"ى","ي"),"ـ",""))</f>
        <v/>
      </c>
      <c r="D110" s="0" t="str">
        <f aca="false">IF(A110="","",SUBSTITUTE(SUBSTITUTE(SUBSTITUTE(SUBSTITUTE(SUBSTITUTE(SUBSTITUTE(TRIM(A110&amp;" / "&amp;B110),"أ","ا"),"إ","ا"),"آ","ا"),"ة","ه"),"ى","ي"),"ـ",""))</f>
        <v/>
      </c>
    </row>
    <row r="111" customFormat="false" ht="15" hidden="false" customHeight="false" outlineLevel="0" collapsed="false">
      <c r="A111" s="8"/>
      <c r="B111" s="8"/>
      <c r="C111" s="0" t="str">
        <f aca="false">IF(A111="","",SUBSTITUTE(SUBSTITUTE(SUBSTITUTE(SUBSTITUTE(SUBSTITUTE(SUBSTITUTE(TRIM(A111),"أ","ا"),"إ","ا"),"آ","ا"),"ة","ه"),"ى","ي"),"ـ",""))</f>
        <v/>
      </c>
      <c r="D111" s="0" t="str">
        <f aca="false">IF(A111="","",SUBSTITUTE(SUBSTITUTE(SUBSTITUTE(SUBSTITUTE(SUBSTITUTE(SUBSTITUTE(TRIM(A111&amp;" / "&amp;B111),"أ","ا"),"إ","ا"),"آ","ا"),"ة","ه"),"ى","ي"),"ـ",""))</f>
        <v/>
      </c>
    </row>
    <row r="112" customFormat="false" ht="15" hidden="false" customHeight="false" outlineLevel="0" collapsed="false">
      <c r="A112" s="8"/>
      <c r="B112" s="8"/>
      <c r="C112" s="0" t="str">
        <f aca="false">IF(A112="","",SUBSTITUTE(SUBSTITUTE(SUBSTITUTE(SUBSTITUTE(SUBSTITUTE(SUBSTITUTE(TRIM(A112),"أ","ا"),"إ","ا"),"آ","ا"),"ة","ه"),"ى","ي"),"ـ",""))</f>
        <v/>
      </c>
      <c r="D112" s="0" t="str">
        <f aca="false">IF(A112="","",SUBSTITUTE(SUBSTITUTE(SUBSTITUTE(SUBSTITUTE(SUBSTITUTE(SUBSTITUTE(TRIM(A112&amp;" / "&amp;B112),"أ","ا"),"إ","ا"),"آ","ا"),"ة","ه"),"ى","ي"),"ـ",""))</f>
        <v/>
      </c>
    </row>
    <row r="113" customFormat="false" ht="15" hidden="false" customHeight="false" outlineLevel="0" collapsed="false">
      <c r="A113" s="8"/>
      <c r="B113" s="8"/>
      <c r="C113" s="0" t="str">
        <f aca="false">IF(A113="","",SUBSTITUTE(SUBSTITUTE(SUBSTITUTE(SUBSTITUTE(SUBSTITUTE(SUBSTITUTE(TRIM(A113),"أ","ا"),"إ","ا"),"آ","ا"),"ة","ه"),"ى","ي"),"ـ",""))</f>
        <v/>
      </c>
      <c r="D113" s="0" t="str">
        <f aca="false">IF(A113="","",SUBSTITUTE(SUBSTITUTE(SUBSTITUTE(SUBSTITUTE(SUBSTITUTE(SUBSTITUTE(TRIM(A113&amp;" / "&amp;B113),"أ","ا"),"إ","ا"),"آ","ا"),"ة","ه"),"ى","ي"),"ـ",""))</f>
        <v/>
      </c>
    </row>
    <row r="114" customFormat="false" ht="15" hidden="false" customHeight="false" outlineLevel="0" collapsed="false">
      <c r="A114" s="8"/>
      <c r="B114" s="8"/>
      <c r="C114" s="0" t="str">
        <f aca="false">IF(A114="","",SUBSTITUTE(SUBSTITUTE(SUBSTITUTE(SUBSTITUTE(SUBSTITUTE(SUBSTITUTE(TRIM(A114),"أ","ا"),"إ","ا"),"آ","ا"),"ة","ه"),"ى","ي"),"ـ",""))</f>
        <v/>
      </c>
      <c r="D114" s="0" t="str">
        <f aca="false">IF(A114="","",SUBSTITUTE(SUBSTITUTE(SUBSTITUTE(SUBSTITUTE(SUBSTITUTE(SUBSTITUTE(TRIM(A114&amp;" / "&amp;B114),"أ","ا"),"إ","ا"),"آ","ا"),"ة","ه"),"ى","ي"),"ـ",""))</f>
        <v/>
      </c>
    </row>
    <row r="115" customFormat="false" ht="15" hidden="false" customHeight="false" outlineLevel="0" collapsed="false">
      <c r="A115" s="8"/>
      <c r="B115" s="8"/>
      <c r="C115" s="0" t="str">
        <f aca="false">IF(A115="","",SUBSTITUTE(SUBSTITUTE(SUBSTITUTE(SUBSTITUTE(SUBSTITUTE(SUBSTITUTE(TRIM(A115),"أ","ا"),"إ","ا"),"آ","ا"),"ة","ه"),"ى","ي"),"ـ",""))</f>
        <v/>
      </c>
      <c r="D115" s="0" t="str">
        <f aca="false">IF(A115="","",SUBSTITUTE(SUBSTITUTE(SUBSTITUTE(SUBSTITUTE(SUBSTITUTE(SUBSTITUTE(TRIM(A115&amp;" / "&amp;B115),"أ","ا"),"إ","ا"),"آ","ا"),"ة","ه"),"ى","ي"),"ـ",""))</f>
        <v/>
      </c>
    </row>
    <row r="116" customFormat="false" ht="15" hidden="false" customHeight="false" outlineLevel="0" collapsed="false">
      <c r="A116" s="8"/>
      <c r="B116" s="8"/>
      <c r="C116" s="0" t="str">
        <f aca="false">IF(A116="","",SUBSTITUTE(SUBSTITUTE(SUBSTITUTE(SUBSTITUTE(SUBSTITUTE(SUBSTITUTE(TRIM(A116),"أ","ا"),"إ","ا"),"آ","ا"),"ة","ه"),"ى","ي"),"ـ",""))</f>
        <v/>
      </c>
      <c r="D116" s="0" t="str">
        <f aca="false">IF(A116="","",SUBSTITUTE(SUBSTITUTE(SUBSTITUTE(SUBSTITUTE(SUBSTITUTE(SUBSTITUTE(TRIM(A116&amp;" / "&amp;B116),"أ","ا"),"إ","ا"),"آ","ا"),"ة","ه"),"ى","ي"),"ـ",""))</f>
        <v/>
      </c>
    </row>
    <row r="117" customFormat="false" ht="15" hidden="false" customHeight="false" outlineLevel="0" collapsed="false">
      <c r="A117" s="8"/>
      <c r="B117" s="8"/>
      <c r="C117" s="0" t="str">
        <f aca="false">IF(A117="","",SUBSTITUTE(SUBSTITUTE(SUBSTITUTE(SUBSTITUTE(SUBSTITUTE(SUBSTITUTE(TRIM(A117),"أ","ا"),"إ","ا"),"آ","ا"),"ة","ه"),"ى","ي"),"ـ",""))</f>
        <v/>
      </c>
      <c r="D117" s="0" t="str">
        <f aca="false">IF(A117="","",SUBSTITUTE(SUBSTITUTE(SUBSTITUTE(SUBSTITUTE(SUBSTITUTE(SUBSTITUTE(TRIM(A117&amp;" / "&amp;B117),"أ","ا"),"إ","ا"),"آ","ا"),"ة","ه"),"ى","ي"),"ـ",""))</f>
        <v/>
      </c>
    </row>
    <row r="118" customFormat="false" ht="15" hidden="false" customHeight="false" outlineLevel="0" collapsed="false">
      <c r="A118" s="8"/>
      <c r="B118" s="8"/>
      <c r="C118" s="0" t="str">
        <f aca="false">IF(A118="","",SUBSTITUTE(SUBSTITUTE(SUBSTITUTE(SUBSTITUTE(SUBSTITUTE(SUBSTITUTE(TRIM(A118),"أ","ا"),"إ","ا"),"آ","ا"),"ة","ه"),"ى","ي"),"ـ",""))</f>
        <v/>
      </c>
      <c r="D118" s="0" t="str">
        <f aca="false">IF(A118="","",SUBSTITUTE(SUBSTITUTE(SUBSTITUTE(SUBSTITUTE(SUBSTITUTE(SUBSTITUTE(TRIM(A118&amp;" / "&amp;B118),"أ","ا"),"إ","ا"),"آ","ا"),"ة","ه"),"ى","ي"),"ـ",""))</f>
        <v/>
      </c>
    </row>
    <row r="119" customFormat="false" ht="15" hidden="false" customHeight="false" outlineLevel="0" collapsed="false">
      <c r="A119" s="8"/>
      <c r="B119" s="8"/>
      <c r="C119" s="0" t="str">
        <f aca="false">IF(A119="","",SUBSTITUTE(SUBSTITUTE(SUBSTITUTE(SUBSTITUTE(SUBSTITUTE(SUBSTITUTE(TRIM(A119),"أ","ا"),"إ","ا"),"آ","ا"),"ة","ه"),"ى","ي"),"ـ",""))</f>
        <v/>
      </c>
      <c r="D119" s="0" t="str">
        <f aca="false">IF(A119="","",SUBSTITUTE(SUBSTITUTE(SUBSTITUTE(SUBSTITUTE(SUBSTITUTE(SUBSTITUTE(TRIM(A119&amp;" / "&amp;B119),"أ","ا"),"إ","ا"),"آ","ا"),"ة","ه"),"ى","ي"),"ـ",""))</f>
        <v/>
      </c>
    </row>
    <row r="120" customFormat="false" ht="15" hidden="false" customHeight="false" outlineLevel="0" collapsed="false">
      <c r="A120" s="8"/>
      <c r="B120" s="8"/>
      <c r="C120" s="0" t="str">
        <f aca="false">IF(A120="","",SUBSTITUTE(SUBSTITUTE(SUBSTITUTE(SUBSTITUTE(SUBSTITUTE(SUBSTITUTE(TRIM(A120),"أ","ا"),"إ","ا"),"آ","ا"),"ة","ه"),"ى","ي"),"ـ",""))</f>
        <v/>
      </c>
      <c r="D120" s="0" t="str">
        <f aca="false">IF(A120="","",SUBSTITUTE(SUBSTITUTE(SUBSTITUTE(SUBSTITUTE(SUBSTITUTE(SUBSTITUTE(TRIM(A120&amp;" / "&amp;B120),"أ","ا"),"إ","ا"),"آ","ا"),"ة","ه"),"ى","ي"),"ـ",""))</f>
        <v/>
      </c>
    </row>
    <row r="121" customFormat="false" ht="15" hidden="false" customHeight="false" outlineLevel="0" collapsed="false">
      <c r="A121" s="8"/>
      <c r="B121" s="8"/>
      <c r="C121" s="0" t="str">
        <f aca="false">IF(A121="","",SUBSTITUTE(SUBSTITUTE(SUBSTITUTE(SUBSTITUTE(SUBSTITUTE(SUBSTITUTE(TRIM(A121),"أ","ا"),"إ","ا"),"آ","ا"),"ة","ه"),"ى","ي"),"ـ",""))</f>
        <v/>
      </c>
      <c r="D121" s="0" t="str">
        <f aca="false">IF(A121="","",SUBSTITUTE(SUBSTITUTE(SUBSTITUTE(SUBSTITUTE(SUBSTITUTE(SUBSTITUTE(TRIM(A121&amp;" / "&amp;B121),"أ","ا"),"إ","ا"),"آ","ا"),"ة","ه"),"ى","ي"),"ـ",""))</f>
        <v/>
      </c>
    </row>
    <row r="122" customFormat="false" ht="15" hidden="false" customHeight="false" outlineLevel="0" collapsed="false">
      <c r="A122" s="8"/>
      <c r="B122" s="8"/>
      <c r="C122" s="0" t="str">
        <f aca="false">IF(A122="","",SUBSTITUTE(SUBSTITUTE(SUBSTITUTE(SUBSTITUTE(SUBSTITUTE(SUBSTITUTE(TRIM(A122),"أ","ا"),"إ","ا"),"آ","ا"),"ة","ه"),"ى","ي"),"ـ",""))</f>
        <v/>
      </c>
      <c r="D122" s="0" t="str">
        <f aca="false">IF(A122="","",SUBSTITUTE(SUBSTITUTE(SUBSTITUTE(SUBSTITUTE(SUBSTITUTE(SUBSTITUTE(TRIM(A122&amp;" / "&amp;B122),"أ","ا"),"إ","ا"),"آ","ا"),"ة","ه"),"ى","ي"),"ـ",""))</f>
        <v/>
      </c>
    </row>
    <row r="123" customFormat="false" ht="15" hidden="false" customHeight="false" outlineLevel="0" collapsed="false">
      <c r="A123" s="8"/>
      <c r="B123" s="8"/>
      <c r="C123" s="0" t="str">
        <f aca="false">IF(A123="","",SUBSTITUTE(SUBSTITUTE(SUBSTITUTE(SUBSTITUTE(SUBSTITUTE(SUBSTITUTE(TRIM(A123),"أ","ا"),"إ","ا"),"آ","ا"),"ة","ه"),"ى","ي"),"ـ",""))</f>
        <v/>
      </c>
      <c r="D123" s="0" t="str">
        <f aca="false">IF(A123="","",SUBSTITUTE(SUBSTITUTE(SUBSTITUTE(SUBSTITUTE(SUBSTITUTE(SUBSTITUTE(TRIM(A123&amp;" / "&amp;B123),"أ","ا"),"إ","ا"),"آ","ا"),"ة","ه"),"ى","ي"),"ـ",""))</f>
        <v/>
      </c>
    </row>
    <row r="124" customFormat="false" ht="15" hidden="false" customHeight="false" outlineLevel="0" collapsed="false">
      <c r="A124" s="8"/>
      <c r="B124" s="8"/>
      <c r="C124" s="0" t="str">
        <f aca="false">IF(A124="","",SUBSTITUTE(SUBSTITUTE(SUBSTITUTE(SUBSTITUTE(SUBSTITUTE(SUBSTITUTE(TRIM(A124),"أ","ا"),"إ","ا"),"آ","ا"),"ة","ه"),"ى","ي"),"ـ",""))</f>
        <v/>
      </c>
      <c r="D124" s="0" t="str">
        <f aca="false">IF(A124="","",SUBSTITUTE(SUBSTITUTE(SUBSTITUTE(SUBSTITUTE(SUBSTITUTE(SUBSTITUTE(TRIM(A124&amp;" / "&amp;B124),"أ","ا"),"إ","ا"),"آ","ا"),"ة","ه"),"ى","ي"),"ـ",""))</f>
        <v/>
      </c>
    </row>
    <row r="125" customFormat="false" ht="15" hidden="false" customHeight="false" outlineLevel="0" collapsed="false">
      <c r="A125" s="8"/>
      <c r="B125" s="8"/>
      <c r="C125" s="0" t="str">
        <f aca="false">IF(A125="","",SUBSTITUTE(SUBSTITUTE(SUBSTITUTE(SUBSTITUTE(SUBSTITUTE(SUBSTITUTE(TRIM(A125),"أ","ا"),"إ","ا"),"آ","ا"),"ة","ه"),"ى","ي"),"ـ",""))</f>
        <v/>
      </c>
      <c r="D125" s="0" t="str">
        <f aca="false">IF(A125="","",SUBSTITUTE(SUBSTITUTE(SUBSTITUTE(SUBSTITUTE(SUBSTITUTE(SUBSTITUTE(TRIM(A125&amp;" / "&amp;B125),"أ","ا"),"إ","ا"),"آ","ا"),"ة","ه"),"ى","ي"),"ـ",""))</f>
        <v/>
      </c>
    </row>
    <row r="126" customFormat="false" ht="15" hidden="false" customHeight="false" outlineLevel="0" collapsed="false">
      <c r="A126" s="8"/>
      <c r="B126" s="8"/>
      <c r="C126" s="0" t="str">
        <f aca="false">IF(A126="","",SUBSTITUTE(SUBSTITUTE(SUBSTITUTE(SUBSTITUTE(SUBSTITUTE(SUBSTITUTE(TRIM(A126),"أ","ا"),"إ","ا"),"آ","ا"),"ة","ه"),"ى","ي"),"ـ",""))</f>
        <v/>
      </c>
      <c r="D126" s="0" t="str">
        <f aca="false">IF(A126="","",SUBSTITUTE(SUBSTITUTE(SUBSTITUTE(SUBSTITUTE(SUBSTITUTE(SUBSTITUTE(TRIM(A126&amp;" / "&amp;B126),"أ","ا"),"إ","ا"),"آ","ا"),"ة","ه"),"ى","ي"),"ـ",""))</f>
        <v/>
      </c>
    </row>
    <row r="127" customFormat="false" ht="15" hidden="false" customHeight="false" outlineLevel="0" collapsed="false">
      <c r="A127" s="8"/>
      <c r="B127" s="8"/>
      <c r="C127" s="0" t="str">
        <f aca="false">IF(A127="","",SUBSTITUTE(SUBSTITUTE(SUBSTITUTE(SUBSTITUTE(SUBSTITUTE(SUBSTITUTE(TRIM(A127),"أ","ا"),"إ","ا"),"آ","ا"),"ة","ه"),"ى","ي"),"ـ",""))</f>
        <v/>
      </c>
      <c r="D127" s="0" t="str">
        <f aca="false">IF(A127="","",SUBSTITUTE(SUBSTITUTE(SUBSTITUTE(SUBSTITUTE(SUBSTITUTE(SUBSTITUTE(TRIM(A127&amp;" / "&amp;B127),"أ","ا"),"إ","ا"),"آ","ا"),"ة","ه"),"ى","ي"),"ـ",""))</f>
        <v/>
      </c>
    </row>
    <row r="128" customFormat="false" ht="15" hidden="false" customHeight="false" outlineLevel="0" collapsed="false">
      <c r="A128" s="8"/>
      <c r="B128" s="8"/>
      <c r="C128" s="0" t="str">
        <f aca="false">IF(A128="","",SUBSTITUTE(SUBSTITUTE(SUBSTITUTE(SUBSTITUTE(SUBSTITUTE(SUBSTITUTE(TRIM(A128),"أ","ا"),"إ","ا"),"آ","ا"),"ة","ه"),"ى","ي"),"ـ",""))</f>
        <v/>
      </c>
      <c r="D128" s="0" t="str">
        <f aca="false">IF(A128="","",SUBSTITUTE(SUBSTITUTE(SUBSTITUTE(SUBSTITUTE(SUBSTITUTE(SUBSTITUTE(TRIM(A128&amp;" / "&amp;B128),"أ","ا"),"إ","ا"),"آ","ا"),"ة","ه"),"ى","ي"),"ـ",""))</f>
        <v/>
      </c>
    </row>
    <row r="129" customFormat="false" ht="15" hidden="false" customHeight="false" outlineLevel="0" collapsed="false">
      <c r="A129" s="8"/>
      <c r="B129" s="8"/>
      <c r="C129" s="0" t="str">
        <f aca="false">IF(A129="","",SUBSTITUTE(SUBSTITUTE(SUBSTITUTE(SUBSTITUTE(SUBSTITUTE(SUBSTITUTE(TRIM(A129),"أ","ا"),"إ","ا"),"آ","ا"),"ة","ه"),"ى","ي"),"ـ",""))</f>
        <v/>
      </c>
      <c r="D129" s="0" t="str">
        <f aca="false">IF(A129="","",SUBSTITUTE(SUBSTITUTE(SUBSTITUTE(SUBSTITUTE(SUBSTITUTE(SUBSTITUTE(TRIM(A129&amp;" / "&amp;B129),"أ","ا"),"إ","ا"),"آ","ا"),"ة","ه"),"ى","ي"),"ـ",""))</f>
        <v/>
      </c>
    </row>
    <row r="130" customFormat="false" ht="15" hidden="false" customHeight="false" outlineLevel="0" collapsed="false">
      <c r="A130" s="8"/>
      <c r="B130" s="8"/>
      <c r="C130" s="0" t="str">
        <f aca="false">IF(A130="","",SUBSTITUTE(SUBSTITUTE(SUBSTITUTE(SUBSTITUTE(SUBSTITUTE(SUBSTITUTE(TRIM(A130),"أ","ا"),"إ","ا"),"آ","ا"),"ة","ه"),"ى","ي"),"ـ",""))</f>
        <v/>
      </c>
      <c r="D130" s="0" t="str">
        <f aca="false">IF(A130="","",SUBSTITUTE(SUBSTITUTE(SUBSTITUTE(SUBSTITUTE(SUBSTITUTE(SUBSTITUTE(TRIM(A130&amp;" / "&amp;B130),"أ","ا"),"إ","ا"),"آ","ا"),"ة","ه"),"ى","ي"),"ـ",""))</f>
        <v/>
      </c>
    </row>
    <row r="131" customFormat="false" ht="15" hidden="false" customHeight="false" outlineLevel="0" collapsed="false">
      <c r="A131" s="8"/>
      <c r="B131" s="8"/>
      <c r="C131" s="0" t="str">
        <f aca="false">IF(A131="","",SUBSTITUTE(SUBSTITUTE(SUBSTITUTE(SUBSTITUTE(SUBSTITUTE(SUBSTITUTE(TRIM(A131),"أ","ا"),"إ","ا"),"آ","ا"),"ة","ه"),"ى","ي"),"ـ",""))</f>
        <v/>
      </c>
      <c r="D131" s="0" t="str">
        <f aca="false">IF(A131="","",SUBSTITUTE(SUBSTITUTE(SUBSTITUTE(SUBSTITUTE(SUBSTITUTE(SUBSTITUTE(TRIM(A131&amp;" / "&amp;B131),"أ","ا"),"إ","ا"),"آ","ا"),"ة","ه"),"ى","ي"),"ـ",""))</f>
        <v/>
      </c>
    </row>
    <row r="132" customFormat="false" ht="15" hidden="false" customHeight="false" outlineLevel="0" collapsed="false">
      <c r="A132" s="8"/>
      <c r="B132" s="8"/>
      <c r="C132" s="0" t="str">
        <f aca="false">IF(A132="","",SUBSTITUTE(SUBSTITUTE(SUBSTITUTE(SUBSTITUTE(SUBSTITUTE(SUBSTITUTE(TRIM(A132),"أ","ا"),"إ","ا"),"آ","ا"),"ة","ه"),"ى","ي"),"ـ",""))</f>
        <v/>
      </c>
      <c r="D132" s="0" t="str">
        <f aca="false">IF(A132="","",SUBSTITUTE(SUBSTITUTE(SUBSTITUTE(SUBSTITUTE(SUBSTITUTE(SUBSTITUTE(TRIM(A132&amp;" / "&amp;B132),"أ","ا"),"إ","ا"),"آ","ا"),"ة","ه"),"ى","ي"),"ـ",""))</f>
        <v/>
      </c>
    </row>
    <row r="133" customFormat="false" ht="15" hidden="false" customHeight="false" outlineLevel="0" collapsed="false">
      <c r="A133" s="8"/>
      <c r="B133" s="8"/>
      <c r="C133" s="0" t="str">
        <f aca="false">IF(A133="","",SUBSTITUTE(SUBSTITUTE(SUBSTITUTE(SUBSTITUTE(SUBSTITUTE(SUBSTITUTE(TRIM(A133),"أ","ا"),"إ","ا"),"آ","ا"),"ة","ه"),"ى","ي"),"ـ",""))</f>
        <v/>
      </c>
      <c r="D133" s="0" t="str">
        <f aca="false">IF(A133="","",SUBSTITUTE(SUBSTITUTE(SUBSTITUTE(SUBSTITUTE(SUBSTITUTE(SUBSTITUTE(TRIM(A133&amp;" / "&amp;B133),"أ","ا"),"إ","ا"),"آ","ا"),"ة","ه"),"ى","ي"),"ـ",""))</f>
        <v/>
      </c>
    </row>
    <row r="134" customFormat="false" ht="15" hidden="false" customHeight="false" outlineLevel="0" collapsed="false">
      <c r="A134" s="8"/>
      <c r="B134" s="8"/>
      <c r="C134" s="0" t="str">
        <f aca="false">IF(A134="","",SUBSTITUTE(SUBSTITUTE(SUBSTITUTE(SUBSTITUTE(SUBSTITUTE(SUBSTITUTE(TRIM(A134),"أ","ا"),"إ","ا"),"آ","ا"),"ة","ه"),"ى","ي"),"ـ",""))</f>
        <v/>
      </c>
      <c r="D134" s="0" t="str">
        <f aca="false">IF(A134="","",SUBSTITUTE(SUBSTITUTE(SUBSTITUTE(SUBSTITUTE(SUBSTITUTE(SUBSTITUTE(TRIM(A134&amp;" / "&amp;B134),"أ","ا"),"إ","ا"),"آ","ا"),"ة","ه"),"ى","ي"),"ـ",""))</f>
        <v/>
      </c>
    </row>
    <row r="135" customFormat="false" ht="15" hidden="false" customHeight="false" outlineLevel="0" collapsed="false">
      <c r="A135" s="8"/>
      <c r="B135" s="8"/>
      <c r="C135" s="0" t="str">
        <f aca="false">IF(A135="","",SUBSTITUTE(SUBSTITUTE(SUBSTITUTE(SUBSTITUTE(SUBSTITUTE(SUBSTITUTE(TRIM(A135),"أ","ا"),"إ","ا"),"آ","ا"),"ة","ه"),"ى","ي"),"ـ",""))</f>
        <v/>
      </c>
      <c r="D135" s="0" t="str">
        <f aca="false">IF(A135="","",SUBSTITUTE(SUBSTITUTE(SUBSTITUTE(SUBSTITUTE(SUBSTITUTE(SUBSTITUTE(TRIM(A135&amp;" / "&amp;B135),"أ","ا"),"إ","ا"),"آ","ا"),"ة","ه"),"ى","ي"),"ـ",""))</f>
        <v/>
      </c>
    </row>
    <row r="136" customFormat="false" ht="15" hidden="false" customHeight="false" outlineLevel="0" collapsed="false">
      <c r="A136" s="8"/>
      <c r="B136" s="8"/>
      <c r="C136" s="0" t="str">
        <f aca="false">IF(A136="","",SUBSTITUTE(SUBSTITUTE(SUBSTITUTE(SUBSTITUTE(SUBSTITUTE(SUBSTITUTE(TRIM(A136),"أ","ا"),"إ","ا"),"آ","ا"),"ة","ه"),"ى","ي"),"ـ",""))</f>
        <v/>
      </c>
      <c r="D136" s="0" t="str">
        <f aca="false">IF(A136="","",SUBSTITUTE(SUBSTITUTE(SUBSTITUTE(SUBSTITUTE(SUBSTITUTE(SUBSTITUTE(TRIM(A136&amp;" / "&amp;B136),"أ","ا"),"إ","ا"),"آ","ا"),"ة","ه"),"ى","ي"),"ـ",""))</f>
        <v/>
      </c>
    </row>
    <row r="137" customFormat="false" ht="15" hidden="false" customHeight="false" outlineLevel="0" collapsed="false">
      <c r="A137" s="8"/>
      <c r="B137" s="8"/>
      <c r="C137" s="0" t="str">
        <f aca="false">IF(A137="","",SUBSTITUTE(SUBSTITUTE(SUBSTITUTE(SUBSTITUTE(SUBSTITUTE(SUBSTITUTE(TRIM(A137),"أ","ا"),"إ","ا"),"آ","ا"),"ة","ه"),"ى","ي"),"ـ",""))</f>
        <v/>
      </c>
      <c r="D137" s="0" t="str">
        <f aca="false">IF(A137="","",SUBSTITUTE(SUBSTITUTE(SUBSTITUTE(SUBSTITUTE(SUBSTITUTE(SUBSTITUTE(TRIM(A137&amp;" / "&amp;B137),"أ","ا"),"إ","ا"),"آ","ا"),"ة","ه"),"ى","ي"),"ـ",""))</f>
        <v/>
      </c>
    </row>
    <row r="138" customFormat="false" ht="15" hidden="false" customHeight="false" outlineLevel="0" collapsed="false">
      <c r="A138" s="8"/>
      <c r="B138" s="8"/>
      <c r="C138" s="0" t="str">
        <f aca="false">IF(A138="","",SUBSTITUTE(SUBSTITUTE(SUBSTITUTE(SUBSTITUTE(SUBSTITUTE(SUBSTITUTE(TRIM(A138),"أ","ا"),"إ","ا"),"آ","ا"),"ة","ه"),"ى","ي"),"ـ",""))</f>
        <v/>
      </c>
      <c r="D138" s="0" t="str">
        <f aca="false">IF(A138="","",SUBSTITUTE(SUBSTITUTE(SUBSTITUTE(SUBSTITUTE(SUBSTITUTE(SUBSTITUTE(TRIM(A138&amp;" / "&amp;B138),"أ","ا"),"إ","ا"),"آ","ا"),"ة","ه"),"ى","ي"),"ـ",""))</f>
        <v/>
      </c>
    </row>
    <row r="139" customFormat="false" ht="15" hidden="false" customHeight="false" outlineLevel="0" collapsed="false">
      <c r="A139" s="8"/>
      <c r="B139" s="8"/>
      <c r="C139" s="0" t="str">
        <f aca="false">IF(A139="","",SUBSTITUTE(SUBSTITUTE(SUBSTITUTE(SUBSTITUTE(SUBSTITUTE(SUBSTITUTE(TRIM(A139),"أ","ا"),"إ","ا"),"آ","ا"),"ة","ه"),"ى","ي"),"ـ",""))</f>
        <v/>
      </c>
      <c r="D139" s="0" t="str">
        <f aca="false">IF(A139="","",SUBSTITUTE(SUBSTITUTE(SUBSTITUTE(SUBSTITUTE(SUBSTITUTE(SUBSTITUTE(TRIM(A139&amp;" / "&amp;B139),"أ","ا"),"إ","ا"),"آ","ا"),"ة","ه"),"ى","ي"),"ـ",""))</f>
        <v/>
      </c>
    </row>
    <row r="140" customFormat="false" ht="15" hidden="false" customHeight="false" outlineLevel="0" collapsed="false">
      <c r="A140" s="8"/>
      <c r="B140" s="8"/>
      <c r="C140" s="0" t="str">
        <f aca="false">IF(A140="","",SUBSTITUTE(SUBSTITUTE(SUBSTITUTE(SUBSTITUTE(SUBSTITUTE(SUBSTITUTE(TRIM(A140),"أ","ا"),"إ","ا"),"آ","ا"),"ة","ه"),"ى","ي"),"ـ",""))</f>
        <v/>
      </c>
      <c r="D140" s="0" t="str">
        <f aca="false">IF(A140="","",SUBSTITUTE(SUBSTITUTE(SUBSTITUTE(SUBSTITUTE(SUBSTITUTE(SUBSTITUTE(TRIM(A140&amp;" / "&amp;B140),"أ","ا"),"إ","ا"),"آ","ا"),"ة","ه"),"ى","ي"),"ـ",""))</f>
        <v/>
      </c>
    </row>
    <row r="141" customFormat="false" ht="15" hidden="false" customHeight="false" outlineLevel="0" collapsed="false">
      <c r="A141" s="8"/>
      <c r="B141" s="8"/>
      <c r="C141" s="0" t="str">
        <f aca="false">IF(A141="","",SUBSTITUTE(SUBSTITUTE(SUBSTITUTE(SUBSTITUTE(SUBSTITUTE(SUBSTITUTE(TRIM(A141),"أ","ا"),"إ","ا"),"آ","ا"),"ة","ه"),"ى","ي"),"ـ",""))</f>
        <v/>
      </c>
      <c r="D141" s="0" t="str">
        <f aca="false">IF(A141="","",SUBSTITUTE(SUBSTITUTE(SUBSTITUTE(SUBSTITUTE(SUBSTITUTE(SUBSTITUTE(TRIM(A141&amp;" / "&amp;B141),"أ","ا"),"إ","ا"),"آ","ا"),"ة","ه"),"ى","ي"),"ـ",""))</f>
        <v/>
      </c>
    </row>
    <row r="142" customFormat="false" ht="15" hidden="false" customHeight="false" outlineLevel="0" collapsed="false">
      <c r="A142" s="8"/>
      <c r="B142" s="8"/>
      <c r="C142" s="0" t="str">
        <f aca="false">IF(A142="","",SUBSTITUTE(SUBSTITUTE(SUBSTITUTE(SUBSTITUTE(SUBSTITUTE(SUBSTITUTE(TRIM(A142),"أ","ا"),"إ","ا"),"آ","ا"),"ة","ه"),"ى","ي"),"ـ",""))</f>
        <v/>
      </c>
      <c r="D142" s="0" t="str">
        <f aca="false">IF(A142="","",SUBSTITUTE(SUBSTITUTE(SUBSTITUTE(SUBSTITUTE(SUBSTITUTE(SUBSTITUTE(TRIM(A142&amp;" / "&amp;B142),"أ","ا"),"إ","ا"),"آ","ا"),"ة","ه"),"ى","ي"),"ـ",""))</f>
        <v/>
      </c>
    </row>
    <row r="143" customFormat="false" ht="15" hidden="false" customHeight="false" outlineLevel="0" collapsed="false">
      <c r="A143" s="8"/>
      <c r="B143" s="8"/>
      <c r="C143" s="0" t="str">
        <f aca="false">IF(A143="","",SUBSTITUTE(SUBSTITUTE(SUBSTITUTE(SUBSTITUTE(SUBSTITUTE(SUBSTITUTE(TRIM(A143),"أ","ا"),"إ","ا"),"آ","ا"),"ة","ه"),"ى","ي"),"ـ",""))</f>
        <v/>
      </c>
      <c r="D143" s="0" t="str">
        <f aca="false">IF(A143="","",SUBSTITUTE(SUBSTITUTE(SUBSTITUTE(SUBSTITUTE(SUBSTITUTE(SUBSTITUTE(TRIM(A143&amp;" / "&amp;B143),"أ","ا"),"إ","ا"),"آ","ا"),"ة","ه"),"ى","ي"),"ـ",""))</f>
        <v/>
      </c>
    </row>
    <row r="144" customFormat="false" ht="15" hidden="false" customHeight="false" outlineLevel="0" collapsed="false">
      <c r="A144" s="8"/>
      <c r="B144" s="8"/>
      <c r="C144" s="0" t="str">
        <f aca="false">IF(A144="","",SUBSTITUTE(SUBSTITUTE(SUBSTITUTE(SUBSTITUTE(SUBSTITUTE(SUBSTITUTE(TRIM(A144),"أ","ا"),"إ","ا"),"آ","ا"),"ة","ه"),"ى","ي"),"ـ",""))</f>
        <v/>
      </c>
      <c r="D144" s="0" t="str">
        <f aca="false">IF(A144="","",SUBSTITUTE(SUBSTITUTE(SUBSTITUTE(SUBSTITUTE(SUBSTITUTE(SUBSTITUTE(TRIM(A144&amp;" / "&amp;B144),"أ","ا"),"إ","ا"),"آ","ا"),"ة","ه"),"ى","ي"),"ـ",""))</f>
        <v/>
      </c>
    </row>
    <row r="145" customFormat="false" ht="15" hidden="false" customHeight="false" outlineLevel="0" collapsed="false">
      <c r="A145" s="8"/>
      <c r="B145" s="8"/>
      <c r="C145" s="0" t="str">
        <f aca="false">IF(A145="","",SUBSTITUTE(SUBSTITUTE(SUBSTITUTE(SUBSTITUTE(SUBSTITUTE(SUBSTITUTE(TRIM(A145),"أ","ا"),"إ","ا"),"آ","ا"),"ة","ه"),"ى","ي"),"ـ",""))</f>
        <v/>
      </c>
      <c r="D145" s="0" t="str">
        <f aca="false">IF(A145="","",SUBSTITUTE(SUBSTITUTE(SUBSTITUTE(SUBSTITUTE(SUBSTITUTE(SUBSTITUTE(TRIM(A145&amp;" / "&amp;B145),"أ","ا"),"إ","ا"),"آ","ا"),"ة","ه"),"ى","ي"),"ـ",""))</f>
        <v/>
      </c>
    </row>
    <row r="146" customFormat="false" ht="15" hidden="false" customHeight="false" outlineLevel="0" collapsed="false">
      <c r="A146" s="8"/>
      <c r="B146" s="8"/>
      <c r="C146" s="0" t="str">
        <f aca="false">IF(A146="","",SUBSTITUTE(SUBSTITUTE(SUBSTITUTE(SUBSTITUTE(SUBSTITUTE(SUBSTITUTE(TRIM(A146),"أ","ا"),"إ","ا"),"آ","ا"),"ة","ه"),"ى","ي"),"ـ",""))</f>
        <v/>
      </c>
      <c r="D146" s="0" t="str">
        <f aca="false">IF(A146="","",SUBSTITUTE(SUBSTITUTE(SUBSTITUTE(SUBSTITUTE(SUBSTITUTE(SUBSTITUTE(TRIM(A146&amp;" / "&amp;B146),"أ","ا"),"إ","ا"),"آ","ا"),"ة","ه"),"ى","ي"),"ـ",""))</f>
        <v/>
      </c>
    </row>
    <row r="147" customFormat="false" ht="15" hidden="false" customHeight="false" outlineLevel="0" collapsed="false">
      <c r="A147" s="8"/>
      <c r="B147" s="8"/>
      <c r="C147" s="0" t="str">
        <f aca="false">IF(A147="","",SUBSTITUTE(SUBSTITUTE(SUBSTITUTE(SUBSTITUTE(SUBSTITUTE(SUBSTITUTE(TRIM(A147),"أ","ا"),"إ","ا"),"آ","ا"),"ة","ه"),"ى","ي"),"ـ",""))</f>
        <v/>
      </c>
      <c r="D147" s="0" t="str">
        <f aca="false">IF(A147="","",SUBSTITUTE(SUBSTITUTE(SUBSTITUTE(SUBSTITUTE(SUBSTITUTE(SUBSTITUTE(TRIM(A147&amp;" / "&amp;B147),"أ","ا"),"إ","ا"),"آ","ا"),"ة","ه"),"ى","ي"),"ـ",""))</f>
        <v/>
      </c>
    </row>
    <row r="148" customFormat="false" ht="15" hidden="false" customHeight="false" outlineLevel="0" collapsed="false">
      <c r="A148" s="8"/>
      <c r="B148" s="8"/>
      <c r="C148" s="0" t="str">
        <f aca="false">IF(A148="","",SUBSTITUTE(SUBSTITUTE(SUBSTITUTE(SUBSTITUTE(SUBSTITUTE(SUBSTITUTE(TRIM(A148),"أ","ا"),"إ","ا"),"آ","ا"),"ة","ه"),"ى","ي"),"ـ",""))</f>
        <v/>
      </c>
      <c r="D148" s="0" t="str">
        <f aca="false">IF(A148="","",SUBSTITUTE(SUBSTITUTE(SUBSTITUTE(SUBSTITUTE(SUBSTITUTE(SUBSTITUTE(TRIM(A148&amp;" / "&amp;B148),"أ","ا"),"إ","ا"),"آ","ا"),"ة","ه"),"ى","ي"),"ـ",""))</f>
        <v/>
      </c>
    </row>
    <row r="149" customFormat="false" ht="15" hidden="false" customHeight="false" outlineLevel="0" collapsed="false">
      <c r="A149" s="8"/>
      <c r="B149" s="8"/>
      <c r="C149" s="0" t="str">
        <f aca="false">IF(A149="","",SUBSTITUTE(SUBSTITUTE(SUBSTITUTE(SUBSTITUTE(SUBSTITUTE(SUBSTITUTE(TRIM(A149),"أ","ا"),"إ","ا"),"آ","ا"),"ة","ه"),"ى","ي"),"ـ",""))</f>
        <v/>
      </c>
      <c r="D149" s="0" t="str">
        <f aca="false">IF(A149="","",SUBSTITUTE(SUBSTITUTE(SUBSTITUTE(SUBSTITUTE(SUBSTITUTE(SUBSTITUTE(TRIM(A149&amp;" / "&amp;B149),"أ","ا"),"إ","ا"),"آ","ا"),"ة","ه"),"ى","ي"),"ـ",""))</f>
        <v/>
      </c>
    </row>
    <row r="150" customFormat="false" ht="15" hidden="false" customHeight="false" outlineLevel="0" collapsed="false">
      <c r="A150" s="8"/>
      <c r="B150" s="8"/>
      <c r="C150" s="0" t="str">
        <f aca="false">IF(A150="","",SUBSTITUTE(SUBSTITUTE(SUBSTITUTE(SUBSTITUTE(SUBSTITUTE(SUBSTITUTE(TRIM(A150),"أ","ا"),"إ","ا"),"آ","ا"),"ة","ه"),"ى","ي"),"ـ",""))</f>
        <v/>
      </c>
      <c r="D150" s="0" t="str">
        <f aca="false">IF(A150="","",SUBSTITUTE(SUBSTITUTE(SUBSTITUTE(SUBSTITUTE(SUBSTITUTE(SUBSTITUTE(TRIM(A150&amp;" / "&amp;B150),"أ","ا"),"إ","ا"),"آ","ا"),"ة","ه"),"ى","ي"),"ـ",""))</f>
        <v/>
      </c>
    </row>
    <row r="151" customFormat="false" ht="15" hidden="false" customHeight="false" outlineLevel="0" collapsed="false">
      <c r="A151" s="8"/>
      <c r="B151" s="8"/>
      <c r="C151" s="0" t="str">
        <f aca="false">IF(A151="","",SUBSTITUTE(SUBSTITUTE(SUBSTITUTE(SUBSTITUTE(SUBSTITUTE(SUBSTITUTE(TRIM(A151),"أ","ا"),"إ","ا"),"آ","ا"),"ة","ه"),"ى","ي"),"ـ",""))</f>
        <v/>
      </c>
      <c r="D151" s="0" t="str">
        <f aca="false">IF(A151="","",SUBSTITUTE(SUBSTITUTE(SUBSTITUTE(SUBSTITUTE(SUBSTITUTE(SUBSTITUTE(TRIM(A151&amp;" / "&amp;B151),"أ","ا"),"إ","ا"),"آ","ا"),"ة","ه"),"ى","ي"),"ـ",""))</f>
        <v/>
      </c>
    </row>
    <row r="152" customFormat="false" ht="15" hidden="false" customHeight="false" outlineLevel="0" collapsed="false">
      <c r="A152" s="8"/>
      <c r="B152" s="8"/>
      <c r="C152" s="0" t="str">
        <f aca="false">IF(A152="","",SUBSTITUTE(SUBSTITUTE(SUBSTITUTE(SUBSTITUTE(SUBSTITUTE(SUBSTITUTE(TRIM(A152),"أ","ا"),"إ","ا"),"آ","ا"),"ة","ه"),"ى","ي"),"ـ",""))</f>
        <v/>
      </c>
      <c r="D152" s="0" t="str">
        <f aca="false">IF(A152="","",SUBSTITUTE(SUBSTITUTE(SUBSTITUTE(SUBSTITUTE(SUBSTITUTE(SUBSTITUTE(TRIM(A152&amp;" / "&amp;B152),"أ","ا"),"إ","ا"),"آ","ا"),"ة","ه"),"ى","ي"),"ـ",""))</f>
        <v/>
      </c>
    </row>
    <row r="153" customFormat="false" ht="15" hidden="false" customHeight="false" outlineLevel="0" collapsed="false">
      <c r="A153" s="8"/>
      <c r="B153" s="8"/>
      <c r="C153" s="0" t="str">
        <f aca="false">IF(A153="","",SUBSTITUTE(SUBSTITUTE(SUBSTITUTE(SUBSTITUTE(SUBSTITUTE(SUBSTITUTE(TRIM(A153),"أ","ا"),"إ","ا"),"آ","ا"),"ة","ه"),"ى","ي"),"ـ",""))</f>
        <v/>
      </c>
      <c r="D153" s="0" t="str">
        <f aca="false">IF(A153="","",SUBSTITUTE(SUBSTITUTE(SUBSTITUTE(SUBSTITUTE(SUBSTITUTE(SUBSTITUTE(TRIM(A153&amp;" / "&amp;B153),"أ","ا"),"إ","ا"),"آ","ا"),"ة","ه"),"ى","ي"),"ـ",""))</f>
        <v/>
      </c>
    </row>
    <row r="154" customFormat="false" ht="15" hidden="false" customHeight="false" outlineLevel="0" collapsed="false">
      <c r="A154" s="8"/>
      <c r="B154" s="8"/>
      <c r="C154" s="0" t="str">
        <f aca="false">IF(A154="","",SUBSTITUTE(SUBSTITUTE(SUBSTITUTE(SUBSTITUTE(SUBSTITUTE(SUBSTITUTE(TRIM(A154),"أ","ا"),"إ","ا"),"آ","ا"),"ة","ه"),"ى","ي"),"ـ",""))</f>
        <v/>
      </c>
      <c r="D154" s="0" t="str">
        <f aca="false">IF(A154="","",SUBSTITUTE(SUBSTITUTE(SUBSTITUTE(SUBSTITUTE(SUBSTITUTE(SUBSTITUTE(TRIM(A154&amp;" / "&amp;B154),"أ","ا"),"إ","ا"),"آ","ا"),"ة","ه"),"ى","ي"),"ـ",""))</f>
        <v/>
      </c>
    </row>
    <row r="155" customFormat="false" ht="15" hidden="false" customHeight="false" outlineLevel="0" collapsed="false">
      <c r="A155" s="8"/>
      <c r="B155" s="8"/>
      <c r="C155" s="0" t="str">
        <f aca="false">IF(A155="","",SUBSTITUTE(SUBSTITUTE(SUBSTITUTE(SUBSTITUTE(SUBSTITUTE(SUBSTITUTE(TRIM(A155),"أ","ا"),"إ","ا"),"آ","ا"),"ة","ه"),"ى","ي"),"ـ",""))</f>
        <v/>
      </c>
      <c r="D155" s="0" t="str">
        <f aca="false">IF(A155="","",SUBSTITUTE(SUBSTITUTE(SUBSTITUTE(SUBSTITUTE(SUBSTITUTE(SUBSTITUTE(TRIM(A155&amp;" / "&amp;B155),"أ","ا"),"إ","ا"),"آ","ا"),"ة","ه"),"ى","ي"),"ـ",""))</f>
        <v/>
      </c>
    </row>
    <row r="156" customFormat="false" ht="15" hidden="false" customHeight="false" outlineLevel="0" collapsed="false">
      <c r="A156" s="8"/>
      <c r="B156" s="8"/>
      <c r="C156" s="0" t="str">
        <f aca="false">IF(A156="","",SUBSTITUTE(SUBSTITUTE(SUBSTITUTE(SUBSTITUTE(SUBSTITUTE(SUBSTITUTE(TRIM(A156),"أ","ا"),"إ","ا"),"آ","ا"),"ة","ه"),"ى","ي"),"ـ",""))</f>
        <v/>
      </c>
      <c r="D156" s="0" t="str">
        <f aca="false">IF(A156="","",SUBSTITUTE(SUBSTITUTE(SUBSTITUTE(SUBSTITUTE(SUBSTITUTE(SUBSTITUTE(TRIM(A156&amp;" / "&amp;B156),"أ","ا"),"إ","ا"),"آ","ا"),"ة","ه"),"ى","ي"),"ـ",""))</f>
        <v/>
      </c>
    </row>
    <row r="157" customFormat="false" ht="15" hidden="false" customHeight="false" outlineLevel="0" collapsed="false">
      <c r="A157" s="8"/>
      <c r="B157" s="8"/>
      <c r="C157" s="0" t="str">
        <f aca="false">IF(A157="","",SUBSTITUTE(SUBSTITUTE(SUBSTITUTE(SUBSTITUTE(SUBSTITUTE(SUBSTITUTE(TRIM(A157),"أ","ا"),"إ","ا"),"آ","ا"),"ة","ه"),"ى","ي"),"ـ",""))</f>
        <v/>
      </c>
      <c r="D157" s="0" t="str">
        <f aca="false">IF(A157="","",SUBSTITUTE(SUBSTITUTE(SUBSTITUTE(SUBSTITUTE(SUBSTITUTE(SUBSTITUTE(TRIM(A157&amp;" / "&amp;B157),"أ","ا"),"إ","ا"),"آ","ا"),"ة","ه"),"ى","ي"),"ـ",""))</f>
        <v/>
      </c>
    </row>
    <row r="158" customFormat="false" ht="15" hidden="false" customHeight="false" outlineLevel="0" collapsed="false">
      <c r="A158" s="8"/>
      <c r="B158" s="8"/>
      <c r="C158" s="0" t="str">
        <f aca="false">IF(A158="","",SUBSTITUTE(SUBSTITUTE(SUBSTITUTE(SUBSTITUTE(SUBSTITUTE(SUBSTITUTE(TRIM(A158),"أ","ا"),"إ","ا"),"آ","ا"),"ة","ه"),"ى","ي"),"ـ",""))</f>
        <v/>
      </c>
      <c r="D158" s="0" t="str">
        <f aca="false">IF(A158="","",SUBSTITUTE(SUBSTITUTE(SUBSTITUTE(SUBSTITUTE(SUBSTITUTE(SUBSTITUTE(TRIM(A158&amp;" / "&amp;B158),"أ","ا"),"إ","ا"),"آ","ا"),"ة","ه"),"ى","ي"),"ـ",""))</f>
        <v/>
      </c>
    </row>
    <row r="159" customFormat="false" ht="15" hidden="false" customHeight="false" outlineLevel="0" collapsed="false">
      <c r="A159" s="8"/>
      <c r="B159" s="8"/>
      <c r="C159" s="0" t="str">
        <f aca="false">IF(A159="","",SUBSTITUTE(SUBSTITUTE(SUBSTITUTE(SUBSTITUTE(SUBSTITUTE(SUBSTITUTE(TRIM(A159),"أ","ا"),"إ","ا"),"آ","ا"),"ة","ه"),"ى","ي"),"ـ",""))</f>
        <v/>
      </c>
      <c r="D159" s="0" t="str">
        <f aca="false">IF(A159="","",SUBSTITUTE(SUBSTITUTE(SUBSTITUTE(SUBSTITUTE(SUBSTITUTE(SUBSTITUTE(TRIM(A159&amp;" / "&amp;B159),"أ","ا"),"إ","ا"),"آ","ا"),"ة","ه"),"ى","ي"),"ـ",""))</f>
        <v/>
      </c>
    </row>
    <row r="160" customFormat="false" ht="15" hidden="false" customHeight="false" outlineLevel="0" collapsed="false">
      <c r="A160" s="8"/>
      <c r="B160" s="8"/>
      <c r="C160" s="0" t="str">
        <f aca="false">IF(A160="","",SUBSTITUTE(SUBSTITUTE(SUBSTITUTE(SUBSTITUTE(SUBSTITUTE(SUBSTITUTE(TRIM(A160),"أ","ا"),"إ","ا"),"آ","ا"),"ة","ه"),"ى","ي"),"ـ",""))</f>
        <v/>
      </c>
      <c r="D160" s="0" t="str">
        <f aca="false">IF(A160="","",SUBSTITUTE(SUBSTITUTE(SUBSTITUTE(SUBSTITUTE(SUBSTITUTE(SUBSTITUTE(TRIM(A160&amp;" / "&amp;B160),"أ","ا"),"إ","ا"),"آ","ا"),"ة","ه"),"ى","ي"),"ـ",""))</f>
        <v/>
      </c>
    </row>
    <row r="161" customFormat="false" ht="15" hidden="false" customHeight="false" outlineLevel="0" collapsed="false">
      <c r="A161" s="8"/>
      <c r="B161" s="8"/>
      <c r="C161" s="0" t="str">
        <f aca="false">IF(A161="","",SUBSTITUTE(SUBSTITUTE(SUBSTITUTE(SUBSTITUTE(SUBSTITUTE(SUBSTITUTE(TRIM(A161),"أ","ا"),"إ","ا"),"آ","ا"),"ة","ه"),"ى","ي"),"ـ",""))</f>
        <v/>
      </c>
      <c r="D161" s="0" t="str">
        <f aca="false">IF(A161="","",SUBSTITUTE(SUBSTITUTE(SUBSTITUTE(SUBSTITUTE(SUBSTITUTE(SUBSTITUTE(TRIM(A161&amp;" / "&amp;B161),"أ","ا"),"إ","ا"),"آ","ا"),"ة","ه"),"ى","ي"),"ـ",""))</f>
        <v/>
      </c>
    </row>
    <row r="162" customFormat="false" ht="15" hidden="false" customHeight="false" outlineLevel="0" collapsed="false">
      <c r="A162" s="8"/>
      <c r="B162" s="8"/>
      <c r="C162" s="0" t="str">
        <f aca="false">IF(A162="","",SUBSTITUTE(SUBSTITUTE(SUBSTITUTE(SUBSTITUTE(SUBSTITUTE(SUBSTITUTE(TRIM(A162),"أ","ا"),"إ","ا"),"آ","ا"),"ة","ه"),"ى","ي"),"ـ",""))</f>
        <v/>
      </c>
      <c r="D162" s="0" t="str">
        <f aca="false">IF(A162="","",SUBSTITUTE(SUBSTITUTE(SUBSTITUTE(SUBSTITUTE(SUBSTITUTE(SUBSTITUTE(TRIM(A162&amp;" / "&amp;B162),"أ","ا"),"إ","ا"),"آ","ا"),"ة","ه"),"ى","ي"),"ـ",""))</f>
        <v/>
      </c>
    </row>
    <row r="163" customFormat="false" ht="15" hidden="false" customHeight="false" outlineLevel="0" collapsed="false">
      <c r="A163" s="8"/>
      <c r="B163" s="8"/>
      <c r="C163" s="0" t="str">
        <f aca="false">IF(A163="","",SUBSTITUTE(SUBSTITUTE(SUBSTITUTE(SUBSTITUTE(SUBSTITUTE(SUBSTITUTE(TRIM(A163),"أ","ا"),"إ","ا"),"آ","ا"),"ة","ه"),"ى","ي"),"ـ",""))</f>
        <v/>
      </c>
      <c r="D163" s="0" t="str">
        <f aca="false">IF(A163="","",SUBSTITUTE(SUBSTITUTE(SUBSTITUTE(SUBSTITUTE(SUBSTITUTE(SUBSTITUTE(TRIM(A163&amp;" / "&amp;B163),"أ","ا"),"إ","ا"),"آ","ا"),"ة","ه"),"ى","ي"),"ـ",""))</f>
        <v/>
      </c>
    </row>
    <row r="164" customFormat="false" ht="15" hidden="false" customHeight="false" outlineLevel="0" collapsed="false">
      <c r="A164" s="8"/>
      <c r="B164" s="8"/>
      <c r="C164" s="0" t="str">
        <f aca="false">IF(A164="","",SUBSTITUTE(SUBSTITUTE(SUBSTITUTE(SUBSTITUTE(SUBSTITUTE(SUBSTITUTE(TRIM(A164),"أ","ا"),"إ","ا"),"آ","ا"),"ة","ه"),"ى","ي"),"ـ",""))</f>
        <v/>
      </c>
      <c r="D164" s="0" t="str">
        <f aca="false">IF(A164="","",SUBSTITUTE(SUBSTITUTE(SUBSTITUTE(SUBSTITUTE(SUBSTITUTE(SUBSTITUTE(TRIM(A164&amp;" / "&amp;B164),"أ","ا"),"إ","ا"),"آ","ا"),"ة","ه"),"ى","ي"),"ـ",""))</f>
        <v/>
      </c>
    </row>
    <row r="165" customFormat="false" ht="15" hidden="false" customHeight="false" outlineLevel="0" collapsed="false">
      <c r="A165" s="8"/>
      <c r="B165" s="8"/>
      <c r="C165" s="0" t="str">
        <f aca="false">IF(A165="","",SUBSTITUTE(SUBSTITUTE(SUBSTITUTE(SUBSTITUTE(SUBSTITUTE(SUBSTITUTE(TRIM(A165),"أ","ا"),"إ","ا"),"آ","ا"),"ة","ه"),"ى","ي"),"ـ",""))</f>
        <v/>
      </c>
      <c r="D165" s="0" t="str">
        <f aca="false">IF(A165="","",SUBSTITUTE(SUBSTITUTE(SUBSTITUTE(SUBSTITUTE(SUBSTITUTE(SUBSTITUTE(TRIM(A165&amp;" / "&amp;B165),"أ","ا"),"إ","ا"),"آ","ا"),"ة","ه"),"ى","ي"),"ـ",""))</f>
        <v/>
      </c>
    </row>
    <row r="166" customFormat="false" ht="15" hidden="false" customHeight="false" outlineLevel="0" collapsed="false">
      <c r="A166" s="8"/>
      <c r="B166" s="8"/>
      <c r="C166" s="0" t="str">
        <f aca="false">IF(A166="","",SUBSTITUTE(SUBSTITUTE(SUBSTITUTE(SUBSTITUTE(SUBSTITUTE(SUBSTITUTE(TRIM(A166),"أ","ا"),"إ","ا"),"آ","ا"),"ة","ه"),"ى","ي"),"ـ",""))</f>
        <v/>
      </c>
      <c r="D166" s="0" t="str">
        <f aca="false">IF(A166="","",SUBSTITUTE(SUBSTITUTE(SUBSTITUTE(SUBSTITUTE(SUBSTITUTE(SUBSTITUTE(TRIM(A166&amp;" / "&amp;B166),"أ","ا"),"إ","ا"),"آ","ا"),"ة","ه"),"ى","ي"),"ـ",""))</f>
        <v/>
      </c>
    </row>
    <row r="167" customFormat="false" ht="15" hidden="false" customHeight="false" outlineLevel="0" collapsed="false">
      <c r="A167" s="8"/>
      <c r="B167" s="8"/>
      <c r="C167" s="0" t="str">
        <f aca="false">IF(A167="","",SUBSTITUTE(SUBSTITUTE(SUBSTITUTE(SUBSTITUTE(SUBSTITUTE(SUBSTITUTE(TRIM(A167),"أ","ا"),"إ","ا"),"آ","ا"),"ة","ه"),"ى","ي"),"ـ",""))</f>
        <v/>
      </c>
      <c r="D167" s="0" t="str">
        <f aca="false">IF(A167="","",SUBSTITUTE(SUBSTITUTE(SUBSTITUTE(SUBSTITUTE(SUBSTITUTE(SUBSTITUTE(TRIM(A167&amp;" / "&amp;B167),"أ","ا"),"إ","ا"),"آ","ا"),"ة","ه"),"ى","ي"),"ـ",""))</f>
        <v/>
      </c>
    </row>
    <row r="168" customFormat="false" ht="15" hidden="false" customHeight="false" outlineLevel="0" collapsed="false">
      <c r="A168" s="8"/>
      <c r="B168" s="8"/>
      <c r="C168" s="0" t="str">
        <f aca="false">IF(A168="","",SUBSTITUTE(SUBSTITUTE(SUBSTITUTE(SUBSTITUTE(SUBSTITUTE(SUBSTITUTE(TRIM(A168),"أ","ا"),"إ","ا"),"آ","ا"),"ة","ه"),"ى","ي"),"ـ",""))</f>
        <v/>
      </c>
      <c r="D168" s="0" t="str">
        <f aca="false">IF(A168="","",SUBSTITUTE(SUBSTITUTE(SUBSTITUTE(SUBSTITUTE(SUBSTITUTE(SUBSTITUTE(TRIM(A168&amp;" / "&amp;B168),"أ","ا"),"إ","ا"),"آ","ا"),"ة","ه"),"ى","ي"),"ـ",""))</f>
        <v/>
      </c>
    </row>
    <row r="169" customFormat="false" ht="15" hidden="false" customHeight="false" outlineLevel="0" collapsed="false">
      <c r="A169" s="8"/>
      <c r="B169" s="8"/>
      <c r="C169" s="0" t="str">
        <f aca="false">IF(A169="","",SUBSTITUTE(SUBSTITUTE(SUBSTITUTE(SUBSTITUTE(SUBSTITUTE(SUBSTITUTE(TRIM(A169),"أ","ا"),"إ","ا"),"آ","ا"),"ة","ه"),"ى","ي"),"ـ",""))</f>
        <v/>
      </c>
      <c r="D169" s="0" t="str">
        <f aca="false">IF(A169="","",SUBSTITUTE(SUBSTITUTE(SUBSTITUTE(SUBSTITUTE(SUBSTITUTE(SUBSTITUTE(TRIM(A169&amp;" / "&amp;B169),"أ","ا"),"إ","ا"),"آ","ا"),"ة","ه"),"ى","ي"),"ـ",""))</f>
        <v/>
      </c>
    </row>
    <row r="170" customFormat="false" ht="15" hidden="false" customHeight="false" outlineLevel="0" collapsed="false">
      <c r="A170" s="8"/>
      <c r="B170" s="8"/>
      <c r="C170" s="0" t="str">
        <f aca="false">IF(A170="","",SUBSTITUTE(SUBSTITUTE(SUBSTITUTE(SUBSTITUTE(SUBSTITUTE(SUBSTITUTE(TRIM(A170),"أ","ا"),"إ","ا"),"آ","ا"),"ة","ه"),"ى","ي"),"ـ",""))</f>
        <v/>
      </c>
      <c r="D170" s="0" t="str">
        <f aca="false">IF(A170="","",SUBSTITUTE(SUBSTITUTE(SUBSTITUTE(SUBSTITUTE(SUBSTITUTE(SUBSTITUTE(TRIM(A170&amp;" / "&amp;B170),"أ","ا"),"إ","ا"),"آ","ا"),"ة","ه"),"ى","ي"),"ـ",""))</f>
        <v/>
      </c>
    </row>
    <row r="171" customFormat="false" ht="15" hidden="false" customHeight="false" outlineLevel="0" collapsed="false">
      <c r="A171" s="8"/>
      <c r="B171" s="8"/>
      <c r="C171" s="0" t="str">
        <f aca="false">IF(A171="","",SUBSTITUTE(SUBSTITUTE(SUBSTITUTE(SUBSTITUTE(SUBSTITUTE(SUBSTITUTE(TRIM(A171),"أ","ا"),"إ","ا"),"آ","ا"),"ة","ه"),"ى","ي"),"ـ",""))</f>
        <v/>
      </c>
      <c r="D171" s="0" t="str">
        <f aca="false">IF(A171="","",SUBSTITUTE(SUBSTITUTE(SUBSTITUTE(SUBSTITUTE(SUBSTITUTE(SUBSTITUTE(TRIM(A171&amp;" / "&amp;B171),"أ","ا"),"إ","ا"),"آ","ا"),"ة","ه"),"ى","ي"),"ـ",""))</f>
        <v/>
      </c>
    </row>
    <row r="172" customFormat="false" ht="15" hidden="false" customHeight="false" outlineLevel="0" collapsed="false">
      <c r="A172" s="8"/>
      <c r="B172" s="8"/>
      <c r="C172" s="0" t="str">
        <f aca="false">IF(A172="","",SUBSTITUTE(SUBSTITUTE(SUBSTITUTE(SUBSTITUTE(SUBSTITUTE(SUBSTITUTE(TRIM(A172),"أ","ا"),"إ","ا"),"آ","ا"),"ة","ه"),"ى","ي"),"ـ",""))</f>
        <v/>
      </c>
      <c r="D172" s="0" t="str">
        <f aca="false">IF(A172="","",SUBSTITUTE(SUBSTITUTE(SUBSTITUTE(SUBSTITUTE(SUBSTITUTE(SUBSTITUTE(TRIM(A172&amp;" / "&amp;B172),"أ","ا"),"إ","ا"),"آ","ا"),"ة","ه"),"ى","ي"),"ـ",""))</f>
        <v/>
      </c>
    </row>
    <row r="173" customFormat="false" ht="15" hidden="false" customHeight="false" outlineLevel="0" collapsed="false">
      <c r="A173" s="8"/>
      <c r="B173" s="8"/>
      <c r="C173" s="0" t="str">
        <f aca="false">IF(A173="","",SUBSTITUTE(SUBSTITUTE(SUBSTITUTE(SUBSTITUTE(SUBSTITUTE(SUBSTITUTE(TRIM(A173),"أ","ا"),"إ","ا"),"آ","ا"),"ة","ه"),"ى","ي"),"ـ",""))</f>
        <v/>
      </c>
      <c r="D173" s="0" t="str">
        <f aca="false">IF(A173="","",SUBSTITUTE(SUBSTITUTE(SUBSTITUTE(SUBSTITUTE(SUBSTITUTE(SUBSTITUTE(TRIM(A173&amp;" / "&amp;B173),"أ","ا"),"إ","ا"),"آ","ا"),"ة","ه"),"ى","ي"),"ـ",""))</f>
        <v/>
      </c>
    </row>
    <row r="174" customFormat="false" ht="15" hidden="false" customHeight="false" outlineLevel="0" collapsed="false">
      <c r="A174" s="8"/>
      <c r="B174" s="8"/>
      <c r="C174" s="0" t="str">
        <f aca="false">IF(A174="","",SUBSTITUTE(SUBSTITUTE(SUBSTITUTE(SUBSTITUTE(SUBSTITUTE(SUBSTITUTE(TRIM(A174),"أ","ا"),"إ","ا"),"آ","ا"),"ة","ه"),"ى","ي"),"ـ",""))</f>
        <v/>
      </c>
      <c r="D174" s="0" t="str">
        <f aca="false">IF(A174="","",SUBSTITUTE(SUBSTITUTE(SUBSTITUTE(SUBSTITUTE(SUBSTITUTE(SUBSTITUTE(TRIM(A174&amp;" / "&amp;B174),"أ","ا"),"إ","ا"),"آ","ا"),"ة","ه"),"ى","ي"),"ـ",""))</f>
        <v/>
      </c>
    </row>
    <row r="175" customFormat="false" ht="15" hidden="false" customHeight="false" outlineLevel="0" collapsed="false">
      <c r="A175" s="8"/>
      <c r="B175" s="8"/>
      <c r="C175" s="0" t="str">
        <f aca="false">IF(A175="","",SUBSTITUTE(SUBSTITUTE(SUBSTITUTE(SUBSTITUTE(SUBSTITUTE(SUBSTITUTE(TRIM(A175),"أ","ا"),"إ","ا"),"آ","ا"),"ة","ه"),"ى","ي"),"ـ",""))</f>
        <v/>
      </c>
      <c r="D175" s="0" t="str">
        <f aca="false">IF(A175="","",SUBSTITUTE(SUBSTITUTE(SUBSTITUTE(SUBSTITUTE(SUBSTITUTE(SUBSTITUTE(TRIM(A175&amp;" / "&amp;B175),"أ","ا"),"إ","ا"),"آ","ا"),"ة","ه"),"ى","ي"),"ـ",""))</f>
        <v/>
      </c>
    </row>
    <row r="176" customFormat="false" ht="15" hidden="false" customHeight="false" outlineLevel="0" collapsed="false">
      <c r="A176" s="8"/>
      <c r="B176" s="8"/>
      <c r="C176" s="0" t="str">
        <f aca="false">IF(A176="","",SUBSTITUTE(SUBSTITUTE(SUBSTITUTE(SUBSTITUTE(SUBSTITUTE(SUBSTITUTE(TRIM(A176),"أ","ا"),"إ","ا"),"آ","ا"),"ة","ه"),"ى","ي"),"ـ",""))</f>
        <v/>
      </c>
      <c r="D176" s="0" t="str">
        <f aca="false">IF(A176="","",SUBSTITUTE(SUBSTITUTE(SUBSTITUTE(SUBSTITUTE(SUBSTITUTE(SUBSTITUTE(TRIM(A176&amp;" / "&amp;B176),"أ","ا"),"إ","ا"),"آ","ا"),"ة","ه"),"ى","ي"),"ـ",""))</f>
        <v/>
      </c>
    </row>
    <row r="177" customFormat="false" ht="15" hidden="false" customHeight="false" outlineLevel="0" collapsed="false">
      <c r="A177" s="8"/>
      <c r="B177" s="8"/>
      <c r="C177" s="0" t="str">
        <f aca="false">IF(A177="","",SUBSTITUTE(SUBSTITUTE(SUBSTITUTE(SUBSTITUTE(SUBSTITUTE(SUBSTITUTE(TRIM(A177),"أ","ا"),"إ","ا"),"آ","ا"),"ة","ه"),"ى","ي"),"ـ",""))</f>
        <v/>
      </c>
      <c r="D177" s="0" t="str">
        <f aca="false">IF(A177="","",SUBSTITUTE(SUBSTITUTE(SUBSTITUTE(SUBSTITUTE(SUBSTITUTE(SUBSTITUTE(TRIM(A177&amp;" / "&amp;B177),"أ","ا"),"إ","ا"),"آ","ا"),"ة","ه"),"ى","ي"),"ـ",""))</f>
        <v/>
      </c>
    </row>
    <row r="178" customFormat="false" ht="15" hidden="false" customHeight="false" outlineLevel="0" collapsed="false">
      <c r="A178" s="8"/>
      <c r="B178" s="8"/>
      <c r="C178" s="0" t="str">
        <f aca="false">IF(A178="","",SUBSTITUTE(SUBSTITUTE(SUBSTITUTE(SUBSTITUTE(SUBSTITUTE(SUBSTITUTE(TRIM(A178),"أ","ا"),"إ","ا"),"آ","ا"),"ة","ه"),"ى","ي"),"ـ",""))</f>
        <v/>
      </c>
      <c r="D178" s="0" t="str">
        <f aca="false">IF(A178="","",SUBSTITUTE(SUBSTITUTE(SUBSTITUTE(SUBSTITUTE(SUBSTITUTE(SUBSTITUTE(TRIM(A178&amp;" / "&amp;B178),"أ","ا"),"إ","ا"),"آ","ا"),"ة","ه"),"ى","ي"),"ـ",""))</f>
        <v/>
      </c>
    </row>
    <row r="179" customFormat="false" ht="15" hidden="false" customHeight="false" outlineLevel="0" collapsed="false">
      <c r="A179" s="8"/>
      <c r="B179" s="8"/>
      <c r="C179" s="0" t="str">
        <f aca="false">IF(A179="","",SUBSTITUTE(SUBSTITUTE(SUBSTITUTE(SUBSTITUTE(SUBSTITUTE(SUBSTITUTE(TRIM(A179),"أ","ا"),"إ","ا"),"آ","ا"),"ة","ه"),"ى","ي"),"ـ",""))</f>
        <v/>
      </c>
      <c r="D179" s="0" t="str">
        <f aca="false">IF(A179="","",SUBSTITUTE(SUBSTITUTE(SUBSTITUTE(SUBSTITUTE(SUBSTITUTE(SUBSTITUTE(TRIM(A179&amp;" / "&amp;B179),"أ","ا"),"إ","ا"),"آ","ا"),"ة","ه"),"ى","ي"),"ـ",""))</f>
        <v/>
      </c>
    </row>
    <row r="180" customFormat="false" ht="15" hidden="false" customHeight="false" outlineLevel="0" collapsed="false">
      <c r="A180" s="8"/>
      <c r="B180" s="8"/>
      <c r="C180" s="0" t="str">
        <f aca="false">IF(A180="","",SUBSTITUTE(SUBSTITUTE(SUBSTITUTE(SUBSTITUTE(SUBSTITUTE(SUBSTITUTE(TRIM(A180),"أ","ا"),"إ","ا"),"آ","ا"),"ة","ه"),"ى","ي"),"ـ",""))</f>
        <v/>
      </c>
      <c r="D180" s="0" t="str">
        <f aca="false">IF(A180="","",SUBSTITUTE(SUBSTITUTE(SUBSTITUTE(SUBSTITUTE(SUBSTITUTE(SUBSTITUTE(TRIM(A180&amp;" / "&amp;B180),"أ","ا"),"إ","ا"),"آ","ا"),"ة","ه"),"ى","ي"),"ـ",""))</f>
        <v/>
      </c>
    </row>
    <row r="181" customFormat="false" ht="15" hidden="false" customHeight="false" outlineLevel="0" collapsed="false">
      <c r="A181" s="8"/>
      <c r="B181" s="8"/>
      <c r="C181" s="0" t="str">
        <f aca="false">IF(A181="","",SUBSTITUTE(SUBSTITUTE(SUBSTITUTE(SUBSTITUTE(SUBSTITUTE(SUBSTITUTE(TRIM(A181),"أ","ا"),"إ","ا"),"آ","ا"),"ة","ه"),"ى","ي"),"ـ",""))</f>
        <v/>
      </c>
      <c r="D181" s="0" t="str">
        <f aca="false">IF(A181="","",SUBSTITUTE(SUBSTITUTE(SUBSTITUTE(SUBSTITUTE(SUBSTITUTE(SUBSTITUTE(TRIM(A181&amp;" / "&amp;B181),"أ","ا"),"إ","ا"),"آ","ا"),"ة","ه"),"ى","ي"),"ـ",""))</f>
        <v/>
      </c>
    </row>
    <row r="182" customFormat="false" ht="15" hidden="false" customHeight="false" outlineLevel="0" collapsed="false">
      <c r="A182" s="8"/>
      <c r="B182" s="8"/>
      <c r="C182" s="0" t="str">
        <f aca="false">IF(A182="","",SUBSTITUTE(SUBSTITUTE(SUBSTITUTE(SUBSTITUTE(SUBSTITUTE(SUBSTITUTE(TRIM(A182),"أ","ا"),"إ","ا"),"آ","ا"),"ة","ه"),"ى","ي"),"ـ",""))</f>
        <v/>
      </c>
      <c r="D182" s="0" t="str">
        <f aca="false">IF(A182="","",SUBSTITUTE(SUBSTITUTE(SUBSTITUTE(SUBSTITUTE(SUBSTITUTE(SUBSTITUTE(TRIM(A182&amp;" / "&amp;B182),"أ","ا"),"إ","ا"),"آ","ا"),"ة","ه"),"ى","ي"),"ـ",""))</f>
        <v/>
      </c>
    </row>
    <row r="183" customFormat="false" ht="15" hidden="false" customHeight="false" outlineLevel="0" collapsed="false">
      <c r="A183" s="8"/>
      <c r="B183" s="8"/>
      <c r="C183" s="0" t="str">
        <f aca="false">IF(A183="","",SUBSTITUTE(SUBSTITUTE(SUBSTITUTE(SUBSTITUTE(SUBSTITUTE(SUBSTITUTE(TRIM(A183),"أ","ا"),"إ","ا"),"آ","ا"),"ة","ه"),"ى","ي"),"ـ",""))</f>
        <v/>
      </c>
      <c r="D183" s="0" t="str">
        <f aca="false">IF(A183="","",SUBSTITUTE(SUBSTITUTE(SUBSTITUTE(SUBSTITUTE(SUBSTITUTE(SUBSTITUTE(TRIM(A183&amp;" / "&amp;B183),"أ","ا"),"إ","ا"),"آ","ا"),"ة","ه"),"ى","ي"),"ـ",""))</f>
        <v/>
      </c>
    </row>
    <row r="184" customFormat="false" ht="15" hidden="false" customHeight="false" outlineLevel="0" collapsed="false">
      <c r="A184" s="8"/>
      <c r="B184" s="8"/>
      <c r="C184" s="0" t="str">
        <f aca="false">IF(A184="","",SUBSTITUTE(SUBSTITUTE(SUBSTITUTE(SUBSTITUTE(SUBSTITUTE(SUBSTITUTE(TRIM(A184),"أ","ا"),"إ","ا"),"آ","ا"),"ة","ه"),"ى","ي"),"ـ",""))</f>
        <v/>
      </c>
      <c r="D184" s="0" t="str">
        <f aca="false">IF(A184="","",SUBSTITUTE(SUBSTITUTE(SUBSTITUTE(SUBSTITUTE(SUBSTITUTE(SUBSTITUTE(TRIM(A184&amp;" / "&amp;B184),"أ","ا"),"إ","ا"),"آ","ا"),"ة","ه"),"ى","ي"),"ـ",""))</f>
        <v/>
      </c>
    </row>
    <row r="185" customFormat="false" ht="15" hidden="false" customHeight="false" outlineLevel="0" collapsed="false">
      <c r="A185" s="8"/>
      <c r="B185" s="8"/>
      <c r="C185" s="0" t="str">
        <f aca="false">IF(A185="","",SUBSTITUTE(SUBSTITUTE(SUBSTITUTE(SUBSTITUTE(SUBSTITUTE(SUBSTITUTE(TRIM(A185),"أ","ا"),"إ","ا"),"آ","ا"),"ة","ه"),"ى","ي"),"ـ",""))</f>
        <v/>
      </c>
      <c r="D185" s="0" t="str">
        <f aca="false">IF(A185="","",SUBSTITUTE(SUBSTITUTE(SUBSTITUTE(SUBSTITUTE(SUBSTITUTE(SUBSTITUTE(TRIM(A185&amp;" / "&amp;B185),"أ","ا"),"إ","ا"),"آ","ا"),"ة","ه"),"ى","ي"),"ـ",""))</f>
        <v/>
      </c>
    </row>
    <row r="186" customFormat="false" ht="15" hidden="false" customHeight="false" outlineLevel="0" collapsed="false">
      <c r="A186" s="8"/>
      <c r="B186" s="8"/>
      <c r="C186" s="0" t="str">
        <f aca="false">IF(A186="","",SUBSTITUTE(SUBSTITUTE(SUBSTITUTE(SUBSTITUTE(SUBSTITUTE(SUBSTITUTE(TRIM(A186),"أ","ا"),"إ","ا"),"آ","ا"),"ة","ه"),"ى","ي"),"ـ",""))</f>
        <v/>
      </c>
      <c r="D186" s="0" t="str">
        <f aca="false">IF(A186="","",SUBSTITUTE(SUBSTITUTE(SUBSTITUTE(SUBSTITUTE(SUBSTITUTE(SUBSTITUTE(TRIM(A186&amp;" / "&amp;B186),"أ","ا"),"إ","ا"),"آ","ا"),"ة","ه"),"ى","ي"),"ـ",""))</f>
        <v/>
      </c>
    </row>
    <row r="187" customFormat="false" ht="15" hidden="false" customHeight="false" outlineLevel="0" collapsed="false">
      <c r="A187" s="8"/>
      <c r="B187" s="8"/>
      <c r="C187" s="0" t="str">
        <f aca="false">IF(A187="","",SUBSTITUTE(SUBSTITUTE(SUBSTITUTE(SUBSTITUTE(SUBSTITUTE(SUBSTITUTE(TRIM(A187),"أ","ا"),"إ","ا"),"آ","ا"),"ة","ه"),"ى","ي"),"ـ",""))</f>
        <v/>
      </c>
      <c r="D187" s="0" t="str">
        <f aca="false">IF(A187="","",SUBSTITUTE(SUBSTITUTE(SUBSTITUTE(SUBSTITUTE(SUBSTITUTE(SUBSTITUTE(TRIM(A187&amp;" / "&amp;B187),"أ","ا"),"إ","ا"),"آ","ا"),"ة","ه"),"ى","ي"),"ـ",""))</f>
        <v/>
      </c>
    </row>
    <row r="188" customFormat="false" ht="15" hidden="false" customHeight="false" outlineLevel="0" collapsed="false">
      <c r="A188" s="8"/>
      <c r="B188" s="8"/>
      <c r="C188" s="0" t="str">
        <f aca="false">IF(A188="","",SUBSTITUTE(SUBSTITUTE(SUBSTITUTE(SUBSTITUTE(SUBSTITUTE(SUBSTITUTE(TRIM(A188),"أ","ا"),"إ","ا"),"آ","ا"),"ة","ه"),"ى","ي"),"ـ",""))</f>
        <v/>
      </c>
      <c r="D188" s="0" t="str">
        <f aca="false">IF(A188="","",SUBSTITUTE(SUBSTITUTE(SUBSTITUTE(SUBSTITUTE(SUBSTITUTE(SUBSTITUTE(TRIM(A188&amp;" / "&amp;B188),"أ","ا"),"إ","ا"),"آ","ا"),"ة","ه"),"ى","ي"),"ـ",""))</f>
        <v/>
      </c>
    </row>
    <row r="189" customFormat="false" ht="15" hidden="false" customHeight="false" outlineLevel="0" collapsed="false">
      <c r="A189" s="8"/>
      <c r="B189" s="8"/>
      <c r="C189" s="0" t="str">
        <f aca="false">IF(A189="","",SUBSTITUTE(SUBSTITUTE(SUBSTITUTE(SUBSTITUTE(SUBSTITUTE(SUBSTITUTE(TRIM(A189),"أ","ا"),"إ","ا"),"آ","ا"),"ة","ه"),"ى","ي"),"ـ",""))</f>
        <v/>
      </c>
      <c r="D189" s="0" t="str">
        <f aca="false">IF(A189="","",SUBSTITUTE(SUBSTITUTE(SUBSTITUTE(SUBSTITUTE(SUBSTITUTE(SUBSTITUTE(TRIM(A189&amp;" / "&amp;B189),"أ","ا"),"إ","ا"),"آ","ا"),"ة","ه"),"ى","ي"),"ـ",""))</f>
        <v/>
      </c>
    </row>
    <row r="190" customFormat="false" ht="15" hidden="false" customHeight="false" outlineLevel="0" collapsed="false">
      <c r="A190" s="8"/>
      <c r="B190" s="8"/>
      <c r="C190" s="0" t="str">
        <f aca="false">IF(A190="","",SUBSTITUTE(SUBSTITUTE(SUBSTITUTE(SUBSTITUTE(SUBSTITUTE(SUBSTITUTE(TRIM(A190),"أ","ا"),"إ","ا"),"آ","ا"),"ة","ه"),"ى","ي"),"ـ",""))</f>
        <v/>
      </c>
      <c r="D190" s="0" t="str">
        <f aca="false">IF(A190="","",SUBSTITUTE(SUBSTITUTE(SUBSTITUTE(SUBSTITUTE(SUBSTITUTE(SUBSTITUTE(TRIM(A190&amp;" / "&amp;B190),"أ","ا"),"إ","ا"),"آ","ا"),"ة","ه"),"ى","ي"),"ـ",""))</f>
        <v/>
      </c>
    </row>
    <row r="191" customFormat="false" ht="15" hidden="false" customHeight="false" outlineLevel="0" collapsed="false">
      <c r="A191" s="8"/>
      <c r="B191" s="8"/>
      <c r="C191" s="0" t="str">
        <f aca="false">IF(A191="","",SUBSTITUTE(SUBSTITUTE(SUBSTITUTE(SUBSTITUTE(SUBSTITUTE(SUBSTITUTE(TRIM(A191),"أ","ا"),"إ","ا"),"آ","ا"),"ة","ه"),"ى","ي"),"ـ",""))</f>
        <v/>
      </c>
      <c r="D191" s="0" t="str">
        <f aca="false">IF(A191="","",SUBSTITUTE(SUBSTITUTE(SUBSTITUTE(SUBSTITUTE(SUBSTITUTE(SUBSTITUTE(TRIM(A191&amp;" / "&amp;B191),"أ","ا"),"إ","ا"),"آ","ا"),"ة","ه"),"ى","ي"),"ـ",""))</f>
        <v/>
      </c>
    </row>
    <row r="192" customFormat="false" ht="15" hidden="false" customHeight="false" outlineLevel="0" collapsed="false">
      <c r="A192" s="8"/>
      <c r="B192" s="8"/>
      <c r="C192" s="0" t="str">
        <f aca="false">IF(A192="","",SUBSTITUTE(SUBSTITUTE(SUBSTITUTE(SUBSTITUTE(SUBSTITUTE(SUBSTITUTE(TRIM(A192),"أ","ا"),"إ","ا"),"آ","ا"),"ة","ه"),"ى","ي"),"ـ",""))</f>
        <v/>
      </c>
      <c r="D192" s="0" t="str">
        <f aca="false">IF(A192="","",SUBSTITUTE(SUBSTITUTE(SUBSTITUTE(SUBSTITUTE(SUBSTITUTE(SUBSTITUTE(TRIM(A192&amp;" / "&amp;B192),"أ","ا"),"إ","ا"),"آ","ا"),"ة","ه"),"ى","ي"),"ـ",""))</f>
        <v/>
      </c>
    </row>
    <row r="193" customFormat="false" ht="15" hidden="false" customHeight="false" outlineLevel="0" collapsed="false">
      <c r="A193" s="8"/>
      <c r="B193" s="8"/>
      <c r="C193" s="0" t="str">
        <f aca="false">IF(A193="","",SUBSTITUTE(SUBSTITUTE(SUBSTITUTE(SUBSTITUTE(SUBSTITUTE(SUBSTITUTE(TRIM(A193),"أ","ا"),"إ","ا"),"آ","ا"),"ة","ه"),"ى","ي"),"ـ",""))</f>
        <v/>
      </c>
      <c r="D193" s="0" t="str">
        <f aca="false">IF(A193="","",SUBSTITUTE(SUBSTITUTE(SUBSTITUTE(SUBSTITUTE(SUBSTITUTE(SUBSTITUTE(TRIM(A193&amp;" / "&amp;B193),"أ","ا"),"إ","ا"),"آ","ا"),"ة","ه"),"ى","ي"),"ـ",""))</f>
        <v/>
      </c>
    </row>
    <row r="194" customFormat="false" ht="15" hidden="false" customHeight="false" outlineLevel="0" collapsed="false">
      <c r="A194" s="8"/>
      <c r="B194" s="8"/>
      <c r="C194" s="0" t="str">
        <f aca="false">IF(A194="","",SUBSTITUTE(SUBSTITUTE(SUBSTITUTE(SUBSTITUTE(SUBSTITUTE(SUBSTITUTE(TRIM(A194),"أ","ا"),"إ","ا"),"آ","ا"),"ة","ه"),"ى","ي"),"ـ",""))</f>
        <v/>
      </c>
      <c r="D194" s="0" t="str">
        <f aca="false">IF(A194="","",SUBSTITUTE(SUBSTITUTE(SUBSTITUTE(SUBSTITUTE(SUBSTITUTE(SUBSTITUTE(TRIM(A194&amp;" / "&amp;B194),"أ","ا"),"إ","ا"),"آ","ا"),"ة","ه"),"ى","ي"),"ـ",""))</f>
        <v/>
      </c>
    </row>
    <row r="195" customFormat="false" ht="15" hidden="false" customHeight="false" outlineLevel="0" collapsed="false">
      <c r="A195" s="8"/>
      <c r="B195" s="8"/>
      <c r="C195" s="0" t="str">
        <f aca="false">IF(A195="","",SUBSTITUTE(SUBSTITUTE(SUBSTITUTE(SUBSTITUTE(SUBSTITUTE(SUBSTITUTE(TRIM(A195),"أ","ا"),"إ","ا"),"آ","ا"),"ة","ه"),"ى","ي"),"ـ",""))</f>
        <v/>
      </c>
      <c r="D195" s="0" t="str">
        <f aca="false">IF(A195="","",SUBSTITUTE(SUBSTITUTE(SUBSTITUTE(SUBSTITUTE(SUBSTITUTE(SUBSTITUTE(TRIM(A195&amp;" / "&amp;B195),"أ","ا"),"إ","ا"),"آ","ا"),"ة","ه"),"ى","ي"),"ـ",""))</f>
        <v/>
      </c>
    </row>
    <row r="196" customFormat="false" ht="15" hidden="false" customHeight="false" outlineLevel="0" collapsed="false">
      <c r="A196" s="8"/>
      <c r="B196" s="8"/>
      <c r="C196" s="0" t="str">
        <f aca="false">IF(A196="","",SUBSTITUTE(SUBSTITUTE(SUBSTITUTE(SUBSTITUTE(SUBSTITUTE(SUBSTITUTE(TRIM(A196),"أ","ا"),"إ","ا"),"آ","ا"),"ة","ه"),"ى","ي"),"ـ",""))</f>
        <v/>
      </c>
      <c r="D196" s="0" t="str">
        <f aca="false">IF(A196="","",SUBSTITUTE(SUBSTITUTE(SUBSTITUTE(SUBSTITUTE(SUBSTITUTE(SUBSTITUTE(TRIM(A196&amp;" / "&amp;B196),"أ","ا"),"إ","ا"),"آ","ا"),"ة","ه"),"ى","ي"),"ـ",""))</f>
        <v/>
      </c>
    </row>
    <row r="197" customFormat="false" ht="15" hidden="false" customHeight="false" outlineLevel="0" collapsed="false">
      <c r="A197" s="8"/>
      <c r="B197" s="8"/>
      <c r="C197" s="0" t="str">
        <f aca="false">IF(A197="","",SUBSTITUTE(SUBSTITUTE(SUBSTITUTE(SUBSTITUTE(SUBSTITUTE(SUBSTITUTE(TRIM(A197),"أ","ا"),"إ","ا"),"آ","ا"),"ة","ه"),"ى","ي"),"ـ",""))</f>
        <v/>
      </c>
      <c r="D197" s="0" t="str">
        <f aca="false">IF(A197="","",SUBSTITUTE(SUBSTITUTE(SUBSTITUTE(SUBSTITUTE(SUBSTITUTE(SUBSTITUTE(TRIM(A197&amp;" / "&amp;B197),"أ","ا"),"إ","ا"),"آ","ا"),"ة","ه"),"ى","ي"),"ـ",""))</f>
        <v/>
      </c>
    </row>
    <row r="198" customFormat="false" ht="15" hidden="false" customHeight="false" outlineLevel="0" collapsed="false">
      <c r="A198" s="8"/>
      <c r="B198" s="8"/>
      <c r="C198" s="0" t="str">
        <f aca="false">IF(A198="","",SUBSTITUTE(SUBSTITUTE(SUBSTITUTE(SUBSTITUTE(SUBSTITUTE(SUBSTITUTE(TRIM(A198),"أ","ا"),"إ","ا"),"آ","ا"),"ة","ه"),"ى","ي"),"ـ",""))</f>
        <v/>
      </c>
      <c r="D198" s="0" t="str">
        <f aca="false">IF(A198="","",SUBSTITUTE(SUBSTITUTE(SUBSTITUTE(SUBSTITUTE(SUBSTITUTE(SUBSTITUTE(TRIM(A198&amp;" / "&amp;B198),"أ","ا"),"إ","ا"),"آ","ا"),"ة","ه"),"ى","ي"),"ـ",""))</f>
        <v/>
      </c>
    </row>
    <row r="199" customFormat="false" ht="15" hidden="false" customHeight="false" outlineLevel="0" collapsed="false">
      <c r="A199" s="8"/>
      <c r="B199" s="8"/>
      <c r="C199" s="0" t="str">
        <f aca="false">IF(A199="","",SUBSTITUTE(SUBSTITUTE(SUBSTITUTE(SUBSTITUTE(SUBSTITUTE(SUBSTITUTE(TRIM(A199),"أ","ا"),"إ","ا"),"آ","ا"),"ة","ه"),"ى","ي"),"ـ",""))</f>
        <v/>
      </c>
      <c r="D199" s="0" t="str">
        <f aca="false">IF(A199="","",SUBSTITUTE(SUBSTITUTE(SUBSTITUTE(SUBSTITUTE(SUBSTITUTE(SUBSTITUTE(TRIM(A199&amp;" / "&amp;B199),"أ","ا"),"إ","ا"),"آ","ا"),"ة","ه"),"ى","ي"),"ـ",""))</f>
        <v/>
      </c>
    </row>
    <row r="200" customFormat="false" ht="15" hidden="false" customHeight="false" outlineLevel="0" collapsed="false">
      <c r="A200" s="8"/>
      <c r="B200" s="8"/>
      <c r="C200" s="0" t="str">
        <f aca="false">IF(A200="","",SUBSTITUTE(SUBSTITUTE(SUBSTITUTE(SUBSTITUTE(SUBSTITUTE(SUBSTITUTE(TRIM(A200),"أ","ا"),"إ","ا"),"آ","ا"),"ة","ه"),"ى","ي"),"ـ",""))</f>
        <v/>
      </c>
      <c r="D200" s="0" t="str">
        <f aca="false">IF(A200="","",SUBSTITUTE(SUBSTITUTE(SUBSTITUTE(SUBSTITUTE(SUBSTITUTE(SUBSTITUTE(TRIM(A200&amp;" / "&amp;B200),"أ","ا"),"إ","ا"),"آ","ا"),"ة","ه"),"ى","ي"),"ـ",""))</f>
        <v/>
      </c>
    </row>
    <row r="201" customFormat="false" ht="15" hidden="false" customHeight="false" outlineLevel="0" collapsed="false">
      <c r="A201" s="8"/>
      <c r="B201" s="8"/>
      <c r="C201" s="0" t="str">
        <f aca="false">IF(A201="","",SUBSTITUTE(SUBSTITUTE(SUBSTITUTE(SUBSTITUTE(SUBSTITUTE(SUBSTITUTE(TRIM(A201),"أ","ا"),"إ","ا"),"آ","ا"),"ة","ه"),"ى","ي"),"ـ",""))</f>
        <v/>
      </c>
      <c r="D201" s="0" t="str">
        <f aca="false">IF(A201="","",SUBSTITUTE(SUBSTITUTE(SUBSTITUTE(SUBSTITUTE(SUBSTITUTE(SUBSTITUTE(TRIM(A201&amp;" / "&amp;B201),"أ","ا"),"إ","ا"),"آ","ا"),"ة","ه"),"ى","ي"),"ـ",""))</f>
        <v/>
      </c>
    </row>
    <row r="202" customFormat="false" ht="15" hidden="false" customHeight="false" outlineLevel="0" collapsed="false">
      <c r="A202" s="8"/>
      <c r="B202" s="8"/>
      <c r="C202" s="0" t="str">
        <f aca="false">IF(A202="","",SUBSTITUTE(SUBSTITUTE(SUBSTITUTE(SUBSTITUTE(SUBSTITUTE(SUBSTITUTE(TRIM(A202),"أ","ا"),"إ","ا"),"آ","ا"),"ة","ه"),"ى","ي"),"ـ",""))</f>
        <v/>
      </c>
      <c r="D202" s="0" t="str">
        <f aca="false">IF(A202="","",SUBSTITUTE(SUBSTITUTE(SUBSTITUTE(SUBSTITUTE(SUBSTITUTE(SUBSTITUTE(TRIM(A202&amp;" / "&amp;B202),"أ","ا"),"إ","ا"),"آ","ا"),"ة","ه"),"ى","ي"),"ـ",""))</f>
        <v/>
      </c>
    </row>
    <row r="203" customFormat="false" ht="15" hidden="false" customHeight="false" outlineLevel="0" collapsed="false">
      <c r="A203" s="8"/>
      <c r="B203" s="8"/>
      <c r="C203" s="0" t="str">
        <f aca="false">IF(A203="","",SUBSTITUTE(SUBSTITUTE(SUBSTITUTE(SUBSTITUTE(SUBSTITUTE(SUBSTITUTE(TRIM(A203),"أ","ا"),"إ","ا"),"آ","ا"),"ة","ه"),"ى","ي"),"ـ",""))</f>
        <v/>
      </c>
      <c r="D203" s="0" t="str">
        <f aca="false">IF(A203="","",SUBSTITUTE(SUBSTITUTE(SUBSTITUTE(SUBSTITUTE(SUBSTITUTE(SUBSTITUTE(TRIM(A203&amp;" / "&amp;B203),"أ","ا"),"إ","ا"),"آ","ا"),"ة","ه"),"ى","ي"),"ـ",""))</f>
        <v/>
      </c>
    </row>
  </sheetData>
  <mergeCells count="2">
    <mergeCell ref="A1:B1"/>
    <mergeCell ref="A2:B2"/>
  </mergeCells>
  <conditionalFormatting sqref="A4:A203">
    <cfRule type="expression" priority="2" aboveAverage="0" equalAverage="0" bottom="0" percent="0" rank="0" text="" dxfId="0">
      <formula>AND(A4&lt;&gt;"",COUNTIF($A$4:$A$203,A4)&gt;1)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2026-10-24T07:54:18Z</dcterms:created>
  <dc:creator>openpyxl</dc:creator>
  <dc:description/>
  <dc:language>en-US</dc:language>
  <cp:lastModifiedBy/>
  <dcterms:modified xsi:type="dcterms:W3CDTF">2026-10-24T07:54:19Z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