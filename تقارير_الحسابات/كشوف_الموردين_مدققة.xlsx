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16.xml.rels" ContentType="application/vnd.openxmlformats-package.relationships+xml"/>
  <Override PartName="/xl/worksheets/_rels/sheet28.xml.rels" ContentType="application/vnd.openxmlformats-package.relationships+xml"/>
  <Override PartName="/xl/worksheets/_rels/sheet1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" sheetId="1" state="visible" r:id="rId3"/>
    <sheet name="سجل الحركات" sheetId="2" state="visible" r:id="rId4"/>
    <sheet name="تحليل الأصناف" sheetId="3" state="visible" r:id="rId5"/>
    <sheet name="مطابقة المقاصات" sheetId="4" state="visible" r:id="rId6"/>
    <sheet name="ملاحظات التدقيق" sheetId="5" state="visible" r:id="rId7"/>
    <sheet name="المزارع المبدع" sheetId="6" state="visible" r:id="rId8"/>
    <sheet name="العلواني" sheetId="7" state="visible" r:id="rId9"/>
    <sheet name="رجب المصري" sheetId="8" state="visible" r:id="rId10"/>
    <sheet name="الجوهرة" sheetId="9" state="visible" r:id="rId11"/>
    <sheet name="جبار البيشي" sheetId="10" state="visible" r:id="rId12"/>
    <sheet name="عزم الانجاز" sheetId="11" state="visible" r:id="rId13"/>
    <sheet name="ثمار العالمي" sheetId="12" state="visible" r:id="rId14"/>
    <sheet name="عبدالرحمن قدري" sheetId="13" state="visible" r:id="rId15"/>
    <sheet name="معتصم الحصباني" sheetId="14" state="visible" r:id="rId16"/>
    <sheet name="عبر الاقليم" sheetId="15" state="visible" r:id="rId17"/>
    <sheet name="العجم" sheetId="16" state="visible" r:id="rId18"/>
    <sheet name="البشري" sheetId="17" state="visible" r:id="rId19"/>
    <sheet name="نجمة العالم" sheetId="18" state="visible" r:id="rId20"/>
    <sheet name="الاغذية الطازجة" sheetId="19" state="visible" r:id="rId21"/>
    <sheet name="جوري فروت" sheetId="20" state="visible" r:id="rId22"/>
    <sheet name="جابر القرشي" sheetId="21" state="visible" r:id="rId23"/>
    <sheet name="ثلاجة نخيل" sheetId="22" state="visible" r:id="rId24"/>
    <sheet name="اباصرة" sheetId="23" state="visible" r:id="rId25"/>
    <sheet name="عبدالقادر" sheetId="24" state="visible" r:id="rId26"/>
    <sheet name="نخبه الاغصان" sheetId="25" state="visible" r:id="rId27"/>
    <sheet name="فصل الاعمال" sheetId="26" state="visible" r:id="rId28"/>
    <sheet name="توت المتقدمة" sheetId="27" state="visible" r:id="rId29"/>
    <sheet name="حمدان" sheetId="28" state="visible" r:id="rId30"/>
  </sheets>
  <definedNames>
    <definedName function="false" hidden="false" localSheetId="22" name="_xlnm.Print_Area" vbProcedure="false">اباصرة!$B$1:$L$9</definedName>
    <definedName function="false" hidden="false" localSheetId="22" name="_xlnm.Print_Titles" vbProcedure="false">اباصرة!$6:$6</definedName>
    <definedName function="false" hidden="false" localSheetId="18" name="_xlnm.Print_Area" vbProcedure="false">'الاغذية الطازجة'!$B$1:$L$14</definedName>
    <definedName function="false" hidden="false" localSheetId="18" name="_xlnm.Print_Titles" vbProcedure="false">'الاغذية الطازجة'!$6:$6</definedName>
    <definedName function="false" hidden="false" localSheetId="16" name="_xlnm.Print_Area" vbProcedure="false">البشري!$B$1:$L$32</definedName>
    <definedName function="false" hidden="false" localSheetId="16" name="_xlnm.Print_Titles" vbProcedure="false">البشري!$6:$6</definedName>
    <definedName function="false" hidden="false" localSheetId="8" name="_xlnm.Print_Area" vbProcedure="false">الجوهرة!$B$1:$L$13</definedName>
    <definedName function="false" hidden="false" localSheetId="8" name="_xlnm.Print_Titles" vbProcedure="false">الجوهرة!$6:$6</definedName>
    <definedName function="false" hidden="false" localSheetId="15" name="_xlnm.Print_Area" vbProcedure="false">العجم!$B$1:$L$19</definedName>
    <definedName function="false" hidden="false" localSheetId="15" name="_xlnm.Print_Titles" vbProcedure="false">العجم!$6:$6</definedName>
    <definedName function="false" hidden="false" localSheetId="6" name="_xlnm.Print_Area" vbProcedure="false">العلواني!$B$1:$L$9</definedName>
    <definedName function="false" hidden="false" localSheetId="6" name="_xlnm.Print_Titles" vbProcedure="false">العلواني!$6:$6</definedName>
    <definedName function="false" hidden="false" localSheetId="5" name="_xlnm.Print_Area" vbProcedure="false">'المزارع المبدع'!$B$1:$L$9</definedName>
    <definedName function="false" hidden="false" localSheetId="5" name="_xlnm.Print_Titles" vbProcedure="false">'المزارع المبدع'!$6:$6</definedName>
    <definedName function="false" hidden="false" localSheetId="0" name="_xlnm.Print_Area" vbProcedure="false">الملخص!$A$1:$K$32</definedName>
    <definedName function="false" hidden="true" localSheetId="0" name="_xlnm._FilterDatabase" vbProcedure="false">الملخص!$A$8:$K$31</definedName>
    <definedName function="false" hidden="false" localSheetId="26" name="_xlnm.Print_Area" vbProcedure="false">'توت المتقدمة'!$B$1:$L$13</definedName>
    <definedName function="false" hidden="false" localSheetId="26" name="_xlnm.Print_Titles" vbProcedure="false">'توت المتقدمة'!$6:$6</definedName>
    <definedName function="false" hidden="false" localSheetId="21" name="_xlnm.Print_Area" vbProcedure="false">'ثلاجة نخيل'!$B$1:$L$10</definedName>
    <definedName function="false" hidden="false" localSheetId="21" name="_xlnm.Print_Titles" vbProcedure="false">'ثلاجة نخيل'!$6:$6</definedName>
    <definedName function="false" hidden="false" localSheetId="11" name="_xlnm.Print_Area" vbProcedure="false">'ثمار العالمي'!$B$1:$L$9</definedName>
    <definedName function="false" hidden="false" localSheetId="11" name="_xlnm.Print_Titles" vbProcedure="false">'ثمار العالمي'!$6:$6</definedName>
    <definedName function="false" hidden="false" localSheetId="20" name="_xlnm.Print_Area" vbProcedure="false">'جابر القرشي'!$B$1:$L$8</definedName>
    <definedName function="false" hidden="false" localSheetId="20" name="_xlnm.Print_Titles" vbProcedure="false">'جابر القرشي'!$6:$6</definedName>
    <definedName function="false" hidden="false" localSheetId="9" name="_xlnm.Print_Area" vbProcedure="false">'جبار البيشي'!$B$1:$L$70</definedName>
    <definedName function="false" hidden="false" localSheetId="9" name="_xlnm.Print_Titles" vbProcedure="false">'جبار البيشي'!$6:$6</definedName>
    <definedName function="false" hidden="false" localSheetId="19" name="_xlnm.Print_Area" vbProcedure="false">'جوري فروت'!$B$1:$L$11</definedName>
    <definedName function="false" hidden="false" localSheetId="19" name="_xlnm.Print_Titles" vbProcedure="false">'جوري فروت'!$6:$6</definedName>
    <definedName function="false" hidden="false" localSheetId="27" name="_xlnm.Print_Area" vbProcedure="false">حمدان!$B$1:$L$9</definedName>
    <definedName function="false" hidden="false" localSheetId="27" name="_xlnm.Print_Titles" vbProcedure="false">حمدان!$6:$6</definedName>
    <definedName function="false" hidden="false" localSheetId="7" name="_xlnm.Print_Area" vbProcedure="false">'رجب المصري'!$B$1:$L$8</definedName>
    <definedName function="false" hidden="false" localSheetId="7" name="_xlnm.Print_Titles" vbProcedure="false">'رجب المصري'!$6:$6</definedName>
    <definedName function="false" hidden="true" localSheetId="1" name="_xlnm._FilterDatabase" vbProcedure="false">'سجل الحركات'!$A$3:$K$229</definedName>
    <definedName function="false" hidden="false" localSheetId="12" name="_xlnm.Print_Area" vbProcedure="false">'عبدالرحمن قدري'!$B$1:$L$9</definedName>
    <definedName function="false" hidden="false" localSheetId="12" name="_xlnm.Print_Titles" vbProcedure="false">'عبدالرحمن قدري'!$6:$6</definedName>
    <definedName function="false" hidden="false" localSheetId="23" name="_xlnm.Print_Area" vbProcedure="false">عبدالقادر!$B$1:$L$16</definedName>
    <definedName function="false" hidden="false" localSheetId="23" name="_xlnm.Print_Titles" vbProcedure="false">عبدالقادر!$6:$6</definedName>
    <definedName function="false" hidden="false" localSheetId="14" name="_xlnm.Print_Area" vbProcedure="false">'عبر الاقليم'!$B$1:$L$35</definedName>
    <definedName function="false" hidden="false" localSheetId="14" name="_xlnm.Print_Titles" vbProcedure="false">'عبر الاقليم'!$6:$6</definedName>
    <definedName function="false" hidden="false" localSheetId="10" name="_xlnm.Print_Area" vbProcedure="false">'عزم الانجاز'!$B$1:$L$13</definedName>
    <definedName function="false" hidden="false" localSheetId="10" name="_xlnm.Print_Titles" vbProcedure="false">'عزم الانجاز'!$6:$6</definedName>
    <definedName function="false" hidden="false" localSheetId="25" name="_xlnm.Print_Area" vbProcedure="false">'فصل الاعمال'!$B$1:$L$16</definedName>
    <definedName function="false" hidden="false" localSheetId="25" name="_xlnm.Print_Titles" vbProcedure="false">'فصل الاعمال'!$6:$6</definedName>
    <definedName function="false" hidden="false" localSheetId="13" name="_xlnm.Print_Area" vbProcedure="false">'معتصم الحصباني'!$B$1:$L$9</definedName>
    <definedName function="false" hidden="false" localSheetId="13" name="_xlnm.Print_Titles" vbProcedure="false">'معتصم الحصباني'!$6:$6</definedName>
    <definedName function="false" hidden="true" localSheetId="4" name="_xlnm._FilterDatabase" vbProcedure="false">'ملاحظات التدقيق'!$A$4:$H$41</definedName>
    <definedName function="false" hidden="false" localSheetId="17" name="_xlnm.Print_Area" vbProcedure="false">'نجمة العالم'!$B$1:$L$11</definedName>
    <definedName function="false" hidden="false" localSheetId="17" name="_xlnm.Print_Titles" vbProcedure="false">'نجمة العالم'!$6:$6</definedName>
    <definedName function="false" hidden="false" localSheetId="24" name="_xlnm.Print_Area" vbProcedure="false">'نخبه الاغصان'!$B$1:$L$35</definedName>
    <definedName function="false" hidden="false" localSheetId="24" name="_xlnm.Print_Titles" vbProcedure="false">'نخبه الاغصان'!$6:$6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<sst xmlns="http://schemas.openxmlformats.org/spreadsheetml/2006/main" count="1923" uniqueCount="409">
  <si>
    <t xml:space="preserve">ملخص أرصدة الموردين</t>
  </si>
  <si>
    <t xml:space="preserve">كل الأرقام معادلات مرتبطة بالكشوف — اضغط اسم الحساب للانتقال إلى كشفه. تاريخ التدقيق: 31/10/2026</t>
  </si>
  <si>
    <t xml:space="preserve">عدد الحسابات</t>
  </si>
  <si>
    <t xml:space="preserve">إجمالي المشتريات</t>
  </si>
  <si>
    <t xml:space="preserve">إجمالي المدفوع والخصومات</t>
  </si>
  <si>
    <t xml:space="preserve">صافي المستحق علينا</t>
  </si>
  <si>
    <t xml:space="preserve">حسابات عليها رصيد</t>
  </si>
  <si>
    <t xml:space="preserve">ملاحظات تدقيق</t>
  </si>
  <si>
    <t xml:space="preserve">#</t>
  </si>
  <si>
    <t xml:space="preserve">الحساب</t>
  </si>
  <si>
    <t xml:space="preserve">عدد الحركات</t>
  </si>
  <si>
    <t xml:space="preserve">إجمالي المدين</t>
  </si>
  <si>
    <t xml:space="preserve">إجمالي الدائن</t>
  </si>
  <si>
    <t xml:space="preserve">الرصيد</t>
  </si>
  <si>
    <t xml:space="preserve">ضريبة القيمة المضافة</t>
  </si>
  <si>
    <t xml:space="preserve">أول حركة</t>
  </si>
  <si>
    <t xml:space="preserve">آخر حركة</t>
  </si>
  <si>
    <t xml:space="preserve">آخر سداد</t>
  </si>
  <si>
    <t xml:space="preserve">الحالة</t>
  </si>
  <si>
    <t xml:space="preserve">المزارع المبدع</t>
  </si>
  <si>
    <t xml:space="preserve">العلواني</t>
  </si>
  <si>
    <t xml:space="preserve">رجب المصري</t>
  </si>
  <si>
    <t xml:space="preserve">الجوهرة</t>
  </si>
  <si>
    <t xml:space="preserve">جبار البيشي</t>
  </si>
  <si>
    <t xml:space="preserve">عزم الإنجاز</t>
  </si>
  <si>
    <t xml:space="preserve">ثمار العالمي</t>
  </si>
  <si>
    <t xml:space="preserve">عبدالرحمن قدري</t>
  </si>
  <si>
    <t xml:space="preserve">معتصم الحصباني</t>
  </si>
  <si>
    <t xml:space="preserve">عبر الإقليم</t>
  </si>
  <si>
    <t xml:space="preserve">العجم</t>
  </si>
  <si>
    <t xml:space="preserve">البشري</t>
  </si>
  <si>
    <t xml:space="preserve">نجمة العالم</t>
  </si>
  <si>
    <t xml:space="preserve">الأغذية الطازجة</t>
  </si>
  <si>
    <t xml:space="preserve">جوري فروت</t>
  </si>
  <si>
    <t xml:space="preserve">جابر القرشي</t>
  </si>
  <si>
    <t xml:space="preserve">ثلاجة نخيل</t>
  </si>
  <si>
    <t xml:space="preserve">اباصرة</t>
  </si>
  <si>
    <t xml:space="preserve">عبدالقادر</t>
  </si>
  <si>
    <t xml:space="preserve">نخبة الاغصان</t>
  </si>
  <si>
    <t xml:space="preserve">فصل الاعمال</t>
  </si>
  <si>
    <t xml:space="preserve">توت المتقدمة</t>
  </si>
  <si>
    <t xml:space="preserve">حمدان</t>
  </si>
  <si>
    <t xml:space="preserve">الإجمالي</t>
  </si>
  <si>
    <t xml:space="preserve">سجل الحركات الموحّد — كل الحسابات (مرتبط بالكشوف)</t>
  </si>
  <si>
    <t xml:space="preserve">كل خانة هنا معادلة تقرأ من الكشف الأصلي؛ أي تعديل في الكشوف ينعكس هنا. الحركات الجديدة المضافة لاحقاً في الكشوف لا تظهر هنا تلقائياً.</t>
  </si>
  <si>
    <t xml:space="preserve">التاريخ</t>
  </si>
  <si>
    <t xml:space="preserve">البيان</t>
  </si>
  <si>
    <t xml:space="preserve">الصنف الموحد</t>
  </si>
  <si>
    <t xml:space="preserve">نوع الحركة</t>
  </si>
  <si>
    <t xml:space="preserve">العدد</t>
  </si>
  <si>
    <t xml:space="preserve">السعر</t>
  </si>
  <si>
    <t xml:space="preserve">قبل الضريبة</t>
  </si>
  <si>
    <t xml:space="preserve">الضريبة</t>
  </si>
  <si>
    <t xml:space="preserve">مدين</t>
  </si>
  <si>
    <t xml:space="preserve">دائن</t>
  </si>
  <si>
    <t xml:space="preserve">حبحب</t>
  </si>
  <si>
    <t xml:space="preserve">بضاعة (عكسي)</t>
  </si>
  <si>
    <t xml:space="preserve">سداد</t>
  </si>
  <si>
    <t xml:space="preserve">ليمون تركي</t>
  </si>
  <si>
    <t xml:space="preserve">بضاعة</t>
  </si>
  <si>
    <t xml:space="preserve">عنب تركي</t>
  </si>
  <si>
    <t xml:space="preserve">برتقال عصير</t>
  </si>
  <si>
    <t xml:space="preserve">كيوي</t>
  </si>
  <si>
    <t xml:space="preserve">فراولة</t>
  </si>
  <si>
    <t xml:space="preserve">بخارة تركي</t>
  </si>
  <si>
    <t xml:space="preserve">حوالة</t>
  </si>
  <si>
    <t xml:space="preserve">مقاصة</t>
  </si>
  <si>
    <t xml:space="preserve">رمان وسط</t>
  </si>
  <si>
    <t xml:space="preserve">نكتارين</t>
  </si>
  <si>
    <t xml:space="preserve">كمثري عكاظ</t>
  </si>
  <si>
    <t xml:space="preserve">بخارة صحن</t>
  </si>
  <si>
    <t xml:space="preserve">عنب مشكل</t>
  </si>
  <si>
    <t xml:space="preserve">كمثري صحن</t>
  </si>
  <si>
    <t xml:space="preserve">تفاح احمر</t>
  </si>
  <si>
    <t xml:space="preserve">كاكا لبناني</t>
  </si>
  <si>
    <t xml:space="preserve">افندي تركي</t>
  </si>
  <si>
    <t xml:space="preserve">جريب فروت</t>
  </si>
  <si>
    <t xml:space="preserve">كعك علبة</t>
  </si>
  <si>
    <t xml:space="preserve">خوخ علبة</t>
  </si>
  <si>
    <t xml:space="preserve">نكتارين علبة</t>
  </si>
  <si>
    <t xml:space="preserve">مانجو</t>
  </si>
  <si>
    <t xml:space="preserve">نكتارين وزن</t>
  </si>
  <si>
    <t xml:space="preserve">تفاح ابيض</t>
  </si>
  <si>
    <t xml:space="preserve">جزر صيني</t>
  </si>
  <si>
    <t xml:space="preserve">تفاح</t>
  </si>
  <si>
    <t xml:space="preserve">خوخ</t>
  </si>
  <si>
    <t xml:space="preserve">افندي</t>
  </si>
  <si>
    <t xml:space="preserve">رمان مصري</t>
  </si>
  <si>
    <t xml:space="preserve">تفاح سلة</t>
  </si>
  <si>
    <t xml:space="preserve">افندي افريقي</t>
  </si>
  <si>
    <t xml:space="preserve">جرين فروت</t>
  </si>
  <si>
    <t xml:space="preserve">تفاح اخضر</t>
  </si>
  <si>
    <t xml:space="preserve">خصم</t>
  </si>
  <si>
    <t xml:space="preserve">عنب اسود</t>
  </si>
  <si>
    <t xml:space="preserve">افوكادو</t>
  </si>
  <si>
    <t xml:space="preserve">بطاطا</t>
  </si>
  <si>
    <t xml:space="preserve">تحليل المشتريات حسب الصنف</t>
  </si>
  <si>
    <t xml:space="preserve">يشمل حركات البضاعة في الاتجاه الطبيعي فقط (نوع الحركة = بضاعة) من سجل الحركات. الأسماء موحّدة (مثال: نكترين/نكتارين).</t>
  </si>
  <si>
    <t xml:space="preserve">الصنف</t>
  </si>
  <si>
    <t xml:space="preserve">الكمية (صندوق)</t>
  </si>
  <si>
    <t xml:space="preserve">القيمة قبل الضريبة</t>
  </si>
  <si>
    <t xml:space="preserve">متوسط السعر</t>
  </si>
  <si>
    <t xml:space="preserve">أقل سعر</t>
  </si>
  <si>
    <t xml:space="preserve">أعلى سعر</t>
  </si>
  <si>
    <t xml:space="preserve">% من الإجمالي</t>
  </si>
  <si>
    <t xml:space="preserve">مطابقة الحوالات والمقاصات بين ملف الموردين وملف العملاء</t>
  </si>
  <si>
    <t xml:space="preserve">كل سداد تم بحوالة من عميل إلى مورد (أو بمقاصة) يجب أن يُسجَّل بنفس المبلغ في الحسابين. هذه الورقة قيم ثابتة لحظة التدقيق.</t>
  </si>
  <si>
    <t xml:space="preserve">الملف</t>
  </si>
  <si>
    <t xml:space="preserve">المبلغ</t>
  </si>
  <si>
    <t xml:space="preserve">الطرف المقابل</t>
  </si>
  <si>
    <t xml:space="preserve">ملف الطرف المقابل</t>
  </si>
  <si>
    <t xml:space="preserve">تاريخ القيد المقابل</t>
  </si>
  <si>
    <t xml:space="preserve">مبلغ القيد المقابل</t>
  </si>
  <si>
    <t xml:space="preserve">الفرق</t>
  </si>
  <si>
    <t xml:space="preserve">النتيجة</t>
  </si>
  <si>
    <t xml:space="preserve">الموردين</t>
  </si>
  <si>
    <t xml:space="preserve">مقاصه مع رجب</t>
  </si>
  <si>
    <t xml:space="preserve">رجب</t>
  </si>
  <si>
    <t xml:space="preserve">-</t>
  </si>
  <si>
    <t xml:space="preserve">لا يوجد قيد مقاصة مقابل في حساب "رجب المصري" (إن كان هو المقصود)</t>
  </si>
  <si>
    <t xml:space="preserve">مقاصه مع صادق مكه</t>
  </si>
  <si>
    <t xml:space="preserve">صادق مكه</t>
  </si>
  <si>
    <t xml:space="preserve">لا يوجد حساب للطرف المقابل في الملفين</t>
  </si>
  <si>
    <t xml:space="preserve">حوالة نقاوة بلس</t>
  </si>
  <si>
    <t xml:space="preserve">نقاوة بلس</t>
  </si>
  <si>
    <t xml:space="preserve">العملاء</t>
  </si>
  <si>
    <t xml:space="preserve">فرق في المبلغ</t>
  </si>
  <si>
    <t xml:space="preserve">سداد حوالة مجني</t>
  </si>
  <si>
    <t xml:space="preserve">ثمار مجني</t>
  </si>
  <si>
    <t xml:space="preserve">مطابق المبلغ — فرق تاريخ 1 يوم</t>
  </si>
  <si>
    <t xml:space="preserve">سداد حوالة مصنع امداد</t>
  </si>
  <si>
    <t xml:space="preserve">مصنع امداد</t>
  </si>
  <si>
    <t xml:space="preserve">سداد فاتورة مصنع امداد افوكادو مقاصه</t>
  </si>
  <si>
    <t xml:space="preserve">مطابق</t>
  </si>
  <si>
    <t xml:space="preserve">سداد مقاصه مع فاتورة أبو عجاج رمان</t>
  </si>
  <si>
    <t xml:space="preserve">أبو عجاج</t>
  </si>
  <si>
    <t xml:space="preserve">سداد حوالة محيط دلتا</t>
  </si>
  <si>
    <t xml:space="preserve">محيط دلتا</t>
  </si>
  <si>
    <t xml:space="preserve">سداد حوالة محيط دلتا /12871</t>
  </si>
  <si>
    <t xml:space="preserve">حوالة الحساني</t>
  </si>
  <si>
    <t xml:space="preserve">الحساني</t>
  </si>
  <si>
    <t xml:space="preserve">حوالة بنكية محمد عادل</t>
  </si>
  <si>
    <t xml:space="preserve">محمد عادل</t>
  </si>
  <si>
    <t xml:space="preserve">حوالة بنكية نقاوة بلس</t>
  </si>
  <si>
    <t xml:space="preserve">حوالة بنكية محمود الساعي</t>
  </si>
  <si>
    <t xml:space="preserve">محمود الساعي</t>
  </si>
  <si>
    <t xml:space="preserve">ملاحظات التدقيق والتصحيحات — ملف الموردين</t>
  </si>
  <si>
    <t xml:space="preserve">عالية = تؤثر على الرصيد وتحتاج متابعة فورية · متوسطة = خطأ تسجيل صُحح أو يحتاج تأكيد · منخفضة = تنسيق/هيكلة. عمود "القيمة الأصلية" يحفظ ما كان في الملف قبل التعديل.</t>
  </si>
  <si>
    <t xml:space="preserve">عالية</t>
  </si>
  <si>
    <t xml:space="preserve">متوسطة</t>
  </si>
  <si>
    <t xml:space="preserve">منخفضة</t>
  </si>
  <si>
    <t xml:space="preserve">الخلية/الصف</t>
  </si>
  <si>
    <t xml:space="preserve">الخطورة</t>
  </si>
  <si>
    <t xml:space="preserve">التصنيف</t>
  </si>
  <si>
    <t xml:space="preserve">الملاحظة</t>
  </si>
  <si>
    <t xml:space="preserve">القيمة الأصلية</t>
  </si>
  <si>
    <t xml:space="preserve">الإجراء المتخذ</t>
  </si>
  <si>
    <t xml:space="preserve">مطابقة</t>
  </si>
  <si>
    <t xml:space="preserve">مطابقة المقاصات</t>
  </si>
  <si>
    <t xml:space="preserve">جبار البيشي (الموردين) 09/10: "مقاصه مع صادق مكه" بمبلغ 8,935.50 — لا يوجد حساب للطرف المقابل في الملفين</t>
  </si>
  <si>
    <t xml:space="preserve">يرجى المطابقة مع الطرف وتصحيح أحد القيدين</t>
  </si>
  <si>
    <t xml:space="preserve">جبار البيشي (الموردين) 13/10: "حوالة نقاوة بلس" بمبلغ 5,037.00 — فرق في المبلغ (المسجل عند نقاوة بلس: 3,450.00، الفرق 1,587.00)</t>
  </si>
  <si>
    <t xml:space="preserve">البشري (الموردين) 08/10: "مقاصه مع رجب" بمبلغ 2,300.00 — لا يوجد قيد مقاصة مقابل في حساب "رجب المصري" (إن كان هو المقصود)</t>
  </si>
  <si>
    <t xml:space="preserve">نخبه الاغصان</t>
  </si>
  <si>
    <t xml:space="preserve">I6</t>
  </si>
  <si>
    <t xml:space="preserve">معادلات</t>
  </si>
  <si>
    <t xml:space="preserve">معادلة =SUM(I4:I24) مكتوبة داخل صف حركة "رمان مصري" وتشمل خليتها نفسها (مرجع دائري) — قد تضاعف أو تُصفّر الرصيد عند إعادة الحساب</t>
  </si>
  <si>
    <t xml:space="preserve">‏=SUM(I4:I24)</t>
  </si>
  <si>
    <t xml:space="preserve">حُذفت؛ الصف يحمل مبلغ الحركة فقط</t>
  </si>
  <si>
    <t xml:space="preserve">E5</t>
  </si>
  <si>
    <t xml:space="preserve">إدخال</t>
  </si>
  <si>
    <t xml:space="preserve">نص "سداد" مكتوب في خانة العدد</t>
  </si>
  <si>
    <t xml:space="preserve">نُقل إلى البيان</t>
  </si>
  <si>
    <t xml:space="preserve">اتجاه القيد</t>
  </si>
  <si>
    <t xml:space="preserve">بضاعة مسجلة في الدائن (عكس باقي الحركات) — غالباً بضاعة مُباعة لهذا المورد أو مرتجع. أُبقيت كما هي؛ يرجى التأكيد.</t>
  </si>
  <si>
    <t xml:space="preserve">حبحب 60</t>
  </si>
  <si>
    <t xml:space="preserve">بدون تغيير</t>
  </si>
  <si>
    <t xml:space="preserve">سداد مسجل في المدين — يعني دفعة استلمناها من هذا المورد (مقابل بضاعة باعها له) . أُبقي كما هو؛ يرجى التأكيد.</t>
  </si>
  <si>
    <t xml:space="preserve">سداد 60</t>
  </si>
  <si>
    <t xml:space="preserve">فراولة 603.75</t>
  </si>
  <si>
    <t xml:space="preserve">فراولة 2500</t>
  </si>
  <si>
    <t xml:space="preserve">بطاطا 80</t>
  </si>
  <si>
    <t xml:space="preserve">فراولة 1230</t>
  </si>
  <si>
    <t xml:space="preserve">فراولة 2684</t>
  </si>
  <si>
    <t xml:space="preserve">عام</t>
  </si>
  <si>
    <t xml:space="preserve">تكرار حساب</t>
  </si>
  <si>
    <t xml:space="preserve">"عبدالرحمن قدري" له حساب في ملف الموردين وملف العملاء معاً — يُنصح بمتابعة صافي الرصيد بين الحسابين</t>
  </si>
  <si>
    <t xml:space="preserve">C4:C5</t>
  </si>
  <si>
    <t xml:space="preserve">تواريخ</t>
  </si>
  <si>
    <t xml:space="preserve">2 تاريخ مخزّن بالخطأ (Excel قلب اليوم والشهر فأصبحت التواريخ في أشهر أخرى من السنة). التصحيح تم بمطابقة اسم اليوم. أمثلة (المخزّن←الصحيح): 10/01←01/10، 10/02←02/10</t>
  </si>
  <si>
    <t xml:space="preserve">2 خلية</t>
  </si>
  <si>
    <t xml:space="preserve">صُححت كلها إلى أكتوبر 2026</t>
  </si>
  <si>
    <t xml:space="preserve">C4:C29</t>
  </si>
  <si>
    <t xml:space="preserve">23 تاريخ مخزّن بالخطأ (Excel قلب اليوم والشهر فأصبحت التواريخ في أشهر أخرى من السنة). التصحيح تم بمطابقة اسم اليوم. أمثلة (المخزّن←الصحيح): 10/02←02/10، 10/03←03/10، 10/03←03/10، 10/04←04/10…</t>
  </si>
  <si>
    <t xml:space="preserve">23 خلية</t>
  </si>
  <si>
    <t xml:space="preserve">C5:C5</t>
  </si>
  <si>
    <t xml:space="preserve">1 تاريخ مخزّن بالخطأ (Excel قلب اليوم والشهر فأصبحت التواريخ في أشهر أخرى من السنة). التصحيح تم بمطابقة اسم اليوم. أمثلة (المخزّن←الصحيح): 10/11←11/10</t>
  </si>
  <si>
    <t xml:space="preserve">1 خلية</t>
  </si>
  <si>
    <t xml:space="preserve">عبر الاقليم</t>
  </si>
  <si>
    <t xml:space="preserve">C4:C17</t>
  </si>
  <si>
    <t xml:space="preserve">12 تاريخ مخزّن بالخطأ (Excel قلب اليوم والشهر فأصبحت التواريخ في أشهر أخرى من السنة). التصحيح تم بمطابقة اسم اليوم. أمثلة (المخزّن←الصحيح): 10/02←02/10، 10/03←03/10، 10/04←04/10، 10/06←06/10…</t>
  </si>
  <si>
    <t xml:space="preserve">12 خلية</t>
  </si>
  <si>
    <t xml:space="preserve">C4:C9</t>
  </si>
  <si>
    <t xml:space="preserve">6 تاريخ مخزّن بالخطأ (Excel قلب اليوم والشهر فأصبحت التواريخ في أشهر أخرى من السنة). التصحيح تم بمطابقة اسم اليوم. أمثلة (المخزّن←الصحيح): 10/08←08/10، 10/08←08/10، 10/08←08/10، 10/09←09/10…</t>
  </si>
  <si>
    <t xml:space="preserve">6 خلية</t>
  </si>
  <si>
    <t xml:space="preserve">الاغذية الطازجة</t>
  </si>
  <si>
    <t xml:space="preserve">B4</t>
  </si>
  <si>
    <t xml:space="preserve">اسم اليوم "الاحد" لا يطابق التاريخ 15/10/2026 (الخميس)</t>
  </si>
  <si>
    <t xml:space="preserve">الاحد</t>
  </si>
  <si>
    <t xml:space="preserve">اعتُمد التاريخ؛ يرجى التأكد من التاريخ الفعلي</t>
  </si>
  <si>
    <t xml:space="preserve">B5</t>
  </si>
  <si>
    <t xml:space="preserve">اسم اليوم "الثلاثاء" لا يطابق التاريخ 17/10/2026 (السبت)</t>
  </si>
  <si>
    <t xml:space="preserve">الثلاثاء</t>
  </si>
  <si>
    <t xml:space="preserve">2 تاريخ مخزّن بالخطأ (Excel قلب اليوم والشهر فأصبحت التواريخ في أشهر أخرى من السنة). التصحيح تم بمطابقة اسم اليوم. أمثلة (المخزّن←الصحيح): 10/04←04/10، 10/09←09/10</t>
  </si>
  <si>
    <t xml:space="preserve">C4:C14</t>
  </si>
  <si>
    <t xml:space="preserve">11 تاريخ مخزّن بالخطأ (Excel قلب اليوم والشهر فأصبحت التواريخ في أشهر أخرى من السنة). التصحيح تم بمطابقة اسم اليوم. أمثلة (المخزّن←الصحيح): 10/02←02/10، 10/02←02/10، 10/02←02/10، 10/03←03/10…</t>
  </si>
  <si>
    <t xml:space="preserve">11 خلية</t>
  </si>
  <si>
    <t xml:space="preserve">C4:C7</t>
  </si>
  <si>
    <t xml:space="preserve">4 تاريخ مخزّن بالخطأ (Excel قلب اليوم والشهر فأصبحت التواريخ في أشهر أخرى من السنة). التصحيح تم بمطابقة اسم اليوم. أمثلة (المخزّن←الصحيح): 10/04←04/10، 10/07←07/10، 10/09←09/10، 10/11←11/10</t>
  </si>
  <si>
    <t xml:space="preserve">4 خلية</t>
  </si>
  <si>
    <t xml:space="preserve">2 تاريخ مخزّن بالخطأ (Excel قلب اليوم والشهر فأصبحت التواريخ في أشهر أخرى من السنة). التصحيح تم بمطابقة اسم اليوم. أمثلة (المخزّن←الصحيح): 10/09←09/10، 10/11←11/10</t>
  </si>
  <si>
    <t xml:space="preserve">B66</t>
  </si>
  <si>
    <t xml:space="preserve">خطأ إملائي في اسم اليوم</t>
  </si>
  <si>
    <t xml:space="preserve">االجمعه</t>
  </si>
  <si>
    <t xml:space="preserve">اسم اليوم أصبح يُحسب آلياً من التاريخ</t>
  </si>
  <si>
    <t xml:space="preserve">H8:H8</t>
  </si>
  <si>
    <t xml:space="preserve">1 معادلة تضرب في 1.15 ثابتة بدل خانة الضريبة — تغيير خانة الضريبة لا يؤثر على المبلغ</t>
  </si>
  <si>
    <t xml:space="preserve">E×F×1.15</t>
  </si>
  <si>
    <t xml:space="preserve">وُحدت إلى: العدد×السعر×(الضريبة إن وجدت)</t>
  </si>
  <si>
    <t xml:space="preserve">H26:H66</t>
  </si>
  <si>
    <t xml:space="preserve">25 معادلة تضرب في 1.15 ثابتة بدل خانة الضريبة — تغيير خانة الضريبة لا يؤثر على المبلغ</t>
  </si>
  <si>
    <t xml:space="preserve">H13:H31</t>
  </si>
  <si>
    <t xml:space="preserve">7 معادلة تضرب في 1.15 ثابتة بدل خانة الضريبة — تغيير خانة الضريبة لا يؤثر على المبلغ</t>
  </si>
  <si>
    <t xml:space="preserve">H10:H14</t>
  </si>
  <si>
    <t xml:space="preserve">3 معادلة تضرب في 1.15 ثابتة بدل خانة الضريبة — تغيير خانة الضريبة لا يؤثر على المبلغ</t>
  </si>
  <si>
    <t xml:space="preserve">H5</t>
  </si>
  <si>
    <t xml:space="preserve">مبلغ مكتوب يدوياً بدل المعادلة</t>
  </si>
  <si>
    <t xml:space="preserve">استُبدل بمعادلة</t>
  </si>
  <si>
    <t xml:space="preserve">H10:H28</t>
  </si>
  <si>
    <t xml:space="preserve">10 معادلة تضرب في 1.15 ثابتة بدل خانة الضريبة — تغيير خانة الضريبة لا يؤثر على المبلغ</t>
  </si>
  <si>
    <t xml:space="preserve">H10:H10</t>
  </si>
  <si>
    <t xml:space="preserve">H5:H5</t>
  </si>
  <si>
    <t xml:space="preserve">H4</t>
  </si>
  <si>
    <t xml:space="preserve">H15:H29</t>
  </si>
  <si>
    <t xml:space="preserve">ورقة1</t>
  </si>
  <si>
    <t xml:space="preserve">هيكلة</t>
  </si>
  <si>
    <t xml:space="preserve">ورقة فارغة بلا بيانات</t>
  </si>
  <si>
    <t xml:space="preserve">حُذفت من الملف</t>
  </si>
  <si>
    <t xml:space="preserve">كشف حساب — المزارع المبدع</t>
  </si>
  <si>
    <t xml:space="preserve">حساب مورد — المدين: مشتريات (مستحق علينا) · الدائن: مدفوعات وخصومات</t>
  </si>
  <si>
    <t xml:space="preserve">ملخص</t>
  </si>
  <si>
    <t xml:space="preserve">من تاريخ</t>
  </si>
  <si>
    <t xml:space="preserve">إلى تاريخ</t>
  </si>
  <si>
    <t xml:space="preserve">الخانات الصفراء = إدخال يدوي · باقي الأعمدة معادلات. للإضافة: اكتب في أول صف فارغ.</t>
  </si>
  <si>
    <t xml:space="preserve">← العودة للملخص</t>
  </si>
  <si>
    <t xml:space="preserve">اليوم</t>
  </si>
  <si>
    <t xml:space="preserve">البيان / الصنف</t>
  </si>
  <si>
    <t xml:space="preserve">ضريبة (1.15 أو 0)</t>
  </si>
  <si>
    <t xml:space="preserve">مدين (علينا)</t>
  </si>
  <si>
    <t xml:space="preserve">دائن (مدفوع)</t>
  </si>
  <si>
    <t xml:space="preserve">الرصيد التراكمي</t>
  </si>
  <si>
    <t xml:space="preserve">المرجع (سند/فاتورة)</t>
  </si>
  <si>
    <t xml:space="preserve">ملاحظات التدقيق</t>
  </si>
  <si>
    <t xml:space="preserve">قيد عكسي: يرجى التأكيد</t>
  </si>
  <si>
    <t xml:space="preserve">كشف حساب — العلواني</t>
  </si>
  <si>
    <t xml:space="preserve">ليمون</t>
  </si>
  <si>
    <t xml:space="preserve">سداد سند/76204</t>
  </si>
  <si>
    <t xml:space="preserve">سند 76204</t>
  </si>
  <si>
    <t xml:space="preserve">كشف حساب — رجب المصري</t>
  </si>
  <si>
    <t xml:space="preserve">كشف حساب — الجوهرة</t>
  </si>
  <si>
    <t xml:space="preserve">سداد سند/19041</t>
  </si>
  <si>
    <t xml:space="preserve">سند 19041</t>
  </si>
  <si>
    <t xml:space="preserve">سداد سند/19096</t>
  </si>
  <si>
    <t xml:space="preserve">سند 19096</t>
  </si>
  <si>
    <t xml:space="preserve">سداد سند/19147</t>
  </si>
  <si>
    <t xml:space="preserve">سند 19147</t>
  </si>
  <si>
    <t xml:space="preserve">سداد سند/19203</t>
  </si>
  <si>
    <t xml:space="preserve">سند 19203</t>
  </si>
  <si>
    <t xml:space="preserve">كشف حساب — جبار البيشي</t>
  </si>
  <si>
    <t xml:space="preserve">فاتورة 347</t>
  </si>
  <si>
    <t xml:space="preserve">فاتورة 361</t>
  </si>
  <si>
    <t xml:space="preserve">سداد سند/6787</t>
  </si>
  <si>
    <t xml:space="preserve">سند 6787</t>
  </si>
  <si>
    <t xml:space="preserve">فاتورة 349/362/368</t>
  </si>
  <si>
    <t xml:space="preserve">شبكة تحويل سند/6713</t>
  </si>
  <si>
    <t xml:space="preserve">سند 6713</t>
  </si>
  <si>
    <t xml:space="preserve">سداد سند/5568</t>
  </si>
  <si>
    <t xml:space="preserve">سند 5568</t>
  </si>
  <si>
    <t xml:space="preserve">فاتورة 406</t>
  </si>
  <si>
    <t xml:space="preserve">فاتورة 371/394/409/419</t>
  </si>
  <si>
    <t xml:space="preserve">سداد سند/5578</t>
  </si>
  <si>
    <t xml:space="preserve">سند 5578</t>
  </si>
  <si>
    <t xml:space="preserve">شبكة تحويل سند/6718</t>
  </si>
  <si>
    <t xml:space="preserve">سند 6718</t>
  </si>
  <si>
    <t xml:space="preserve">شبكة تحويل سند/6719</t>
  </si>
  <si>
    <t xml:space="preserve">سند 6719</t>
  </si>
  <si>
    <t xml:space="preserve">كشف حساب — عزم الإنجاز</t>
  </si>
  <si>
    <t xml:space="preserve">كعك علب</t>
  </si>
  <si>
    <t xml:space="preserve">خوخ علب</t>
  </si>
  <si>
    <t xml:space="preserve">نكترين علب</t>
  </si>
  <si>
    <t xml:space="preserve">سداد سند/79896</t>
  </si>
  <si>
    <t xml:space="preserve">سند 79896</t>
  </si>
  <si>
    <t xml:space="preserve">سداد سند/79948</t>
  </si>
  <si>
    <t xml:space="preserve">سند 79948</t>
  </si>
  <si>
    <t xml:space="preserve">سداد سند/79988</t>
  </si>
  <si>
    <t xml:space="preserve">سند 79988</t>
  </si>
  <si>
    <t xml:space="preserve">كشف حساب — ثمار العالمي</t>
  </si>
  <si>
    <t xml:space="preserve">كشف حساب — عبدالرحمن قدري</t>
  </si>
  <si>
    <t xml:space="preserve">نكترين وزن</t>
  </si>
  <si>
    <t xml:space="preserve">كشف حساب — معتصم الحصباني</t>
  </si>
  <si>
    <t xml:space="preserve">كشف حساب — عبر الإقليم</t>
  </si>
  <si>
    <t xml:space="preserve">نكترين علبة</t>
  </si>
  <si>
    <t xml:space="preserve">سداد نقدي</t>
  </si>
  <si>
    <t xml:space="preserve">سداد سند/12743</t>
  </si>
  <si>
    <t xml:space="preserve">سند 12743</t>
  </si>
  <si>
    <t xml:space="preserve">سداد سند/12829</t>
  </si>
  <si>
    <t xml:space="preserve">سند 12829</t>
  </si>
  <si>
    <t xml:space="preserve">سداد سند/12901</t>
  </si>
  <si>
    <t xml:space="preserve">سند 12901</t>
  </si>
  <si>
    <t xml:space="preserve">سداد سند/7882</t>
  </si>
  <si>
    <t xml:space="preserve">سند 7882</t>
  </si>
  <si>
    <t xml:space="preserve">سداد سند/7922</t>
  </si>
  <si>
    <t xml:space="preserve">سند 7922</t>
  </si>
  <si>
    <t xml:space="preserve">كشف حساب — العجم</t>
  </si>
  <si>
    <t xml:space="preserve">سداد سند/16761</t>
  </si>
  <si>
    <t xml:space="preserve">سند 16761</t>
  </si>
  <si>
    <t xml:space="preserve">سداد سند/16800</t>
  </si>
  <si>
    <t xml:space="preserve">سند 16800</t>
  </si>
  <si>
    <t xml:space="preserve">سداد سند/16833</t>
  </si>
  <si>
    <t xml:space="preserve">سند 16833</t>
  </si>
  <si>
    <t xml:space="preserve">سداد سند/16867</t>
  </si>
  <si>
    <t xml:space="preserve">سند 16867</t>
  </si>
  <si>
    <t xml:space="preserve">سداد سند/16898</t>
  </si>
  <si>
    <t xml:space="preserve">سند 16898</t>
  </si>
  <si>
    <t xml:space="preserve">سداد سند/16918</t>
  </si>
  <si>
    <t xml:space="preserve">سند 16918</t>
  </si>
  <si>
    <t xml:space="preserve">سداد سند/16958</t>
  </si>
  <si>
    <t xml:space="preserve">سند 16958</t>
  </si>
  <si>
    <t xml:space="preserve">كشف حساب — البشري</t>
  </si>
  <si>
    <t xml:space="preserve">سداد سند/09235</t>
  </si>
  <si>
    <t xml:space="preserve">سند 09235</t>
  </si>
  <si>
    <t xml:space="preserve">سداد سند/09123</t>
  </si>
  <si>
    <t xml:space="preserve">سند 09123</t>
  </si>
  <si>
    <t xml:space="preserve">سداد سند/09021</t>
  </si>
  <si>
    <t xml:space="preserve">سند 09021</t>
  </si>
  <si>
    <t xml:space="preserve">سداد سند/09099</t>
  </si>
  <si>
    <t xml:space="preserve">سند 09099</t>
  </si>
  <si>
    <t xml:space="preserve">سداد سند/14633</t>
  </si>
  <si>
    <t xml:space="preserve">سند 14633</t>
  </si>
  <si>
    <t xml:space="preserve">سداد سند/15544</t>
  </si>
  <si>
    <t xml:space="preserve">سند 15544</t>
  </si>
  <si>
    <t xml:space="preserve">سداد سند/15833</t>
  </si>
  <si>
    <t xml:space="preserve">سند 15833</t>
  </si>
  <si>
    <t xml:space="preserve">سداد سند/15558</t>
  </si>
  <si>
    <t xml:space="preserve">سند 15558</t>
  </si>
  <si>
    <t xml:space="preserve">سداد سند/15595</t>
  </si>
  <si>
    <t xml:space="preserve">سند 15595</t>
  </si>
  <si>
    <t xml:space="preserve">سداد سند/15919</t>
  </si>
  <si>
    <t xml:space="preserve">سند 15919</t>
  </si>
  <si>
    <t xml:space="preserve">سداد سند/15951</t>
  </si>
  <si>
    <t xml:space="preserve">سند 15951</t>
  </si>
  <si>
    <t xml:space="preserve">كشف حساب — نجمة العالم</t>
  </si>
  <si>
    <t xml:space="preserve">سداد سند/016360</t>
  </si>
  <si>
    <t xml:space="preserve">سند 016360</t>
  </si>
  <si>
    <t xml:space="preserve">كشف حساب — الأغذية الطازجة</t>
  </si>
  <si>
    <t xml:space="preserve">اسم اليوم الأصلي لا يطابق التاريخ</t>
  </si>
  <si>
    <t xml:space="preserve">سداد سند/18904</t>
  </si>
  <si>
    <t xml:space="preserve">سند 18904</t>
  </si>
  <si>
    <t xml:space="preserve">سداد سند/18940</t>
  </si>
  <si>
    <t xml:space="preserve">سند 18940</t>
  </si>
  <si>
    <t xml:space="preserve">كشف حساب — جوري فروت</t>
  </si>
  <si>
    <t xml:space="preserve">كشف حساب — جابر القرشي</t>
  </si>
  <si>
    <t xml:space="preserve">كشف حساب — ثلاجة نخيل</t>
  </si>
  <si>
    <t xml:space="preserve">سداد سند/0205</t>
  </si>
  <si>
    <t xml:space="preserve">سند 0205</t>
  </si>
  <si>
    <t xml:space="preserve">كشف حساب — اباصرة</t>
  </si>
  <si>
    <t xml:space="preserve">كشف حساب — عبدالقادر</t>
  </si>
  <si>
    <t xml:space="preserve">سداد فراولة</t>
  </si>
  <si>
    <t xml:space="preserve">دفعة</t>
  </si>
  <si>
    <t xml:space="preserve">كشف حساب — نخبة الاغصان</t>
  </si>
  <si>
    <t xml:space="preserve">شبكة تحويل</t>
  </si>
  <si>
    <t xml:space="preserve">كاكا</t>
  </si>
  <si>
    <t xml:space="preserve">كشف حساب — فصل الاعمال</t>
  </si>
  <si>
    <t xml:space="preserve">سداد سند /11226</t>
  </si>
  <si>
    <t xml:space="preserve">سند 11226</t>
  </si>
  <si>
    <t xml:space="preserve">سداد سند/11258</t>
  </si>
  <si>
    <t xml:space="preserve">سند 11258</t>
  </si>
  <si>
    <t xml:space="preserve">سداد سند/11308</t>
  </si>
  <si>
    <t xml:space="preserve">سند 11308</t>
  </si>
  <si>
    <t xml:space="preserve">سداد سند/11367</t>
  </si>
  <si>
    <t xml:space="preserve">سند 11367</t>
  </si>
  <si>
    <t xml:space="preserve">سداد سند/11415</t>
  </si>
  <si>
    <t xml:space="preserve">سند 11415</t>
  </si>
  <si>
    <t xml:space="preserve">سداد سند /11452</t>
  </si>
  <si>
    <t xml:space="preserve">سند 11452</t>
  </si>
  <si>
    <t xml:space="preserve">تم خصم 97</t>
  </si>
  <si>
    <t xml:space="preserve">كشف حساب — توت المتقدمة</t>
  </si>
  <si>
    <t xml:space="preserve">سداد سند/16204</t>
  </si>
  <si>
    <t xml:space="preserve">سند 16204</t>
  </si>
  <si>
    <t xml:space="preserve">سداد سند/16244</t>
  </si>
  <si>
    <t xml:space="preserve">سند 16244</t>
  </si>
  <si>
    <t xml:space="preserve">سداد سند/16283</t>
  </si>
  <si>
    <t xml:space="preserve">سند 16283</t>
  </si>
  <si>
    <t xml:space="preserve">سداد سند/16317</t>
  </si>
  <si>
    <t xml:space="preserve">سند 16317</t>
  </si>
  <si>
    <t xml:space="preserve">سداد سند/16333</t>
  </si>
  <si>
    <t xml:space="preserve">سند 16333</t>
  </si>
  <si>
    <t xml:space="preserve">كشف حساب — حمدان</t>
  </si>
  <si>
    <t xml:space="preserve">سداد رمان مصري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</si>
</sst>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.00;[RED]\-#,##0.00;\-"/>
    <numFmt numFmtId="167" formatCode="dd/mm/yyyy"/>
    <numFmt numFmtId="168" formatCode="#,##0"/>
    <numFmt numFmtId="169" formatCode="#,##0.00"/>
    <numFmt numFmtId="170" formatCode="#,##0;[RED]\-#,##0;\-"/>
    <numFmt numFmtId="171" formatCode="0.0%"/>
    <numFmt numFmtId="172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4E3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9"/>
      <name val="Arial"/>
      <family val="0"/>
      <charset val="1"/>
    </font>
    <font>
      <b val="true"/>
      <sz val="9"/>
      <color rgb="FFB00020"/>
      <name val="Arial"/>
      <family val="0"/>
      <charset val="1"/>
    </font>
    <font>
      <b val="true"/>
      <sz val="9"/>
      <color rgb="FF1E7B34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b val="true"/>
      <sz val="10"/>
      <color rgb="FFC77700"/>
      <name val="Arial"/>
      <family val="0"/>
      <charset val="1"/>
    </font>
    <font>
      <b val="true"/>
      <sz val="10"/>
      <color rgb="FF2E7D5B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C77700"/>
      <name val="Arial"/>
      <family val="0"/>
      <charset val="1"/>
    </font>
    <font>
      <b val="true"/>
      <sz val="9"/>
      <color rgb="FF2E7D5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4E3D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1F4E3D"/>
      <name val="Arial"/>
      <family val="0"/>
      <charset val="1"/>
    </font>
    <font>
      <sz val="9"/>
      <color rgb="FFB0002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2E7D5B"/>
        <bgColor rgb="FF1E7B34"/>
      </patternFill>
    </fill>
    <fill>
      <patternFill patternType="solid">
        <fgColor rgb="FFF4F9F6"/>
        <bgColor rgb="FFF7FAF8"/>
      </patternFill>
    </fill>
    <fill>
      <patternFill patternType="solid">
        <fgColor rgb="FFE8F3EE"/>
        <bgColor rgb="FFE6F4EA"/>
      </patternFill>
    </fill>
    <fill>
      <patternFill patternType="solid">
        <fgColor rgb="FFFDECEA"/>
        <bgColor rgb="FFFFF8E1"/>
      </patternFill>
    </fill>
    <fill>
      <patternFill patternType="solid">
        <fgColor rgb="FFFFFFFF"/>
        <bgColor rgb="FFF9F9F9"/>
      </patternFill>
    </fill>
    <fill>
      <patternFill patternType="solid">
        <fgColor rgb="FFF7FAF8"/>
        <bgColor rgb="FFF9F9F9"/>
      </patternFill>
    </fill>
    <fill>
      <patternFill patternType="solid">
        <fgColor rgb="FFFFF8E1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BF"/>
      </left>
      <right style="thin">
        <color rgb="FFB7C9BF"/>
      </right>
      <top style="thin">
        <color rgb="FFB7C9BF"/>
      </top>
      <bottom style="thin">
        <color rgb="FFB7C9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E7D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B00020"/>
          <bgColor rgb="FF000000"/>
        </patternFill>
      </fill>
    </dxf>
    <dxf>
      <font>
        <b val="1"/>
        <color rgb="FFB00020"/>
      </font>
      <fill>
        <patternFill>
          <bgColor rgb="FFFDECEA"/>
        </patternFill>
      </fill>
    </dxf>
    <dxf>
      <font>
        <color rgb="FF1E7B34"/>
      </font>
      <fill>
        <patternFill>
          <bgColor rgb="FFE6F4EA"/>
        </patternFill>
      </fill>
    </dxf>
    <dxf>
      <font>
        <b val="1"/>
        <color rgb="FF1565C0"/>
      </font>
    </dxf>
    <dxf>
      <fill>
        <patternFill patternType="solid">
          <fgColor rgb="FF1F4E3D"/>
          <bgColor rgb="FF000000"/>
        </patternFill>
      </fill>
    </dxf>
    <dxf>
      <fill>
        <patternFill patternType="solid">
          <fgColor rgb="FFC77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E7B34"/>
      <rgbColor rgb="FF000080"/>
      <rgbColor rgb="FF808000"/>
      <rgbColor rgb="FF800080"/>
      <rgbColor rgb="FF008080"/>
      <rgbColor rgb="FFB7C9BF"/>
      <rgbColor rgb="FF878787"/>
      <rgbColor rgb="FF9999FF"/>
      <rgbColor rgb="FF993366"/>
      <rgbColor rgb="FFFFF8E1"/>
      <rgbColor rgb="FFE6F4E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EE"/>
      <rgbColor rgb="FFF4F9F6"/>
      <rgbColor rgb="FFFDECEA"/>
      <rgbColor rgb="FFF7FAF8"/>
      <rgbColor rgb="FFFF99CC"/>
      <rgbColor rgb="FFCC99FF"/>
      <rgbColor rgb="FFF9F9F9"/>
      <rgbColor rgb="FF1565C0"/>
      <rgbColor rgb="FF33CCCC"/>
      <rgbColor rgb="FF99CC00"/>
      <rgbColor rgb="FFFFCC00"/>
      <rgbColor rgb="FFFF9900"/>
      <rgbColor rgb="FFC77700"/>
      <rgbColor rgb="FF666666"/>
      <rgbColor rgb="FF777777"/>
      <rgbColor rgb="FF003366"/>
      <rgbColor rgb="FF2E7D5B"/>
      <rgbColor rgb="FF003300"/>
      <rgbColor rgb="FF333300"/>
      <rgbColor rgb="FF993300"/>
      <rgbColor rgb="FF993366"/>
      <rgbColor rgb="FF555555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الأرصدة حسب الحساب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الملخص!F8</c:f>
              <c:strCache>
                <c:ptCount val="1"/>
                <c:pt idx="0">
                  <c:v>الرصيد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الملخص!$B$9:$B$31</c:f>
              <c:strCache>
                <c:ptCount val="23"/>
                <c:pt idx="0">
                  <c:v>المزارع المبدع</c:v>
                </c:pt>
                <c:pt idx="1">
                  <c:v>العلواني</c:v>
                </c:pt>
                <c:pt idx="2">
                  <c:v>رجب المصري</c:v>
                </c:pt>
                <c:pt idx="3">
                  <c:v>الجوهرة</c:v>
                </c:pt>
                <c:pt idx="4">
                  <c:v>جبار البيشي</c:v>
                </c:pt>
                <c:pt idx="5">
                  <c:v>عزم الإنجاز</c:v>
                </c:pt>
                <c:pt idx="6">
                  <c:v>ثمار العالمي</c:v>
                </c:pt>
                <c:pt idx="7">
                  <c:v>عبدالرحمن قدري</c:v>
                </c:pt>
                <c:pt idx="8">
                  <c:v>معتصم الحصباني</c:v>
                </c:pt>
                <c:pt idx="9">
                  <c:v>عبر الإقليم</c:v>
                </c:pt>
                <c:pt idx="10">
                  <c:v>العجم</c:v>
                </c:pt>
                <c:pt idx="11">
                  <c:v>البشري</c:v>
                </c:pt>
                <c:pt idx="12">
                  <c:v>نجمة العالم</c:v>
                </c:pt>
                <c:pt idx="13">
                  <c:v>الأغذية الطازجة</c:v>
                </c:pt>
                <c:pt idx="14">
                  <c:v>جوري فروت</c:v>
                </c:pt>
                <c:pt idx="15">
                  <c:v>جابر القرشي</c:v>
                </c:pt>
                <c:pt idx="16">
                  <c:v>ثلاجة نخيل</c:v>
                </c:pt>
                <c:pt idx="17">
                  <c:v>اباصرة</c:v>
                </c:pt>
                <c:pt idx="18">
                  <c:v>عبدالقادر</c:v>
                </c:pt>
                <c:pt idx="19">
                  <c:v>نخبة الاغصان</c:v>
                </c:pt>
                <c:pt idx="20">
                  <c:v>فصل الاعمال</c:v>
                </c:pt>
                <c:pt idx="21">
                  <c:v>توت المتقدمة</c:v>
                </c:pt>
                <c:pt idx="22">
                  <c:v>حمدان</c:v>
                </c:pt>
              </c:strCache>
            </c:strRef>
          </c:cat>
          <c:val>
            <c:numRef>
              <c:f>الملخص!$F$9:$F$31</c:f>
              <c:numCache>
                <c:formatCode>#,##0.00;[RED]\-#,##0.00;\-</c:formatCode>
                <c:ptCount val="23"/>
                <c:pt idx="0">
                  <c:v>0</c:v>
                </c:pt>
                <c:pt idx="1">
                  <c:v>1622.5</c:v>
                </c:pt>
                <c:pt idx="2">
                  <c:v>3047.5</c:v>
                </c:pt>
                <c:pt idx="3">
                  <c:v>5365.45</c:v>
                </c:pt>
                <c:pt idx="4">
                  <c:v>28970.05</c:v>
                </c:pt>
                <c:pt idx="5">
                  <c:v>2</c:v>
                </c:pt>
                <c:pt idx="6">
                  <c:v>-0.4</c:v>
                </c:pt>
                <c:pt idx="7">
                  <c:v>0</c:v>
                </c:pt>
                <c:pt idx="8">
                  <c:v>2850.85</c:v>
                </c:pt>
                <c:pt idx="9">
                  <c:v>14262.65</c:v>
                </c:pt>
                <c:pt idx="10">
                  <c:v>1780.25</c:v>
                </c:pt>
                <c:pt idx="11">
                  <c:v>13306.25</c:v>
                </c:pt>
                <c:pt idx="12">
                  <c:v>5308</c:v>
                </c:pt>
                <c:pt idx="13">
                  <c:v>17788.25</c:v>
                </c:pt>
                <c:pt idx="14">
                  <c:v>515.6</c:v>
                </c:pt>
                <c:pt idx="15">
                  <c:v>3956</c:v>
                </c:pt>
                <c:pt idx="16">
                  <c:v>1.35</c:v>
                </c:pt>
                <c:pt idx="17">
                  <c:v>0</c:v>
                </c:pt>
                <c:pt idx="18">
                  <c:v>0</c:v>
                </c:pt>
                <c:pt idx="19">
                  <c:v>-1028</c:v>
                </c:pt>
                <c:pt idx="20">
                  <c:v>0.5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gapWidth val="150"/>
        <c:overlap val="0"/>
        <c:axId val="4760363"/>
        <c:axId val="85783490"/>
      </c:barChart>
      <c:catAx>
        <c:axId val="476036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83490"/>
        <c:crosses val="autoZero"/>
        <c:auto val="1"/>
        <c:lblAlgn val="ctr"/>
        <c:lblOffset val="100"/>
        <c:noMultiLvlLbl val="0"/>
      </c:catAx>
      <c:valAx>
        <c:axId val="85783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-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03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أعلى 10 أصناف (الإجمالي)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'تحليل الأصناف'!G3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الأصناف'!$B$4:$B$13</c:f>
              <c:strCache>
                <c:ptCount val="10"/>
                <c:pt idx="0">
                  <c:v>فراولة</c:v>
                </c:pt>
                <c:pt idx="1">
                  <c:v>رمان وسط</c:v>
                </c:pt>
                <c:pt idx="2">
                  <c:v>افندي افريقي</c:v>
                </c:pt>
                <c:pt idx="3">
                  <c:v>عنب تركي</c:v>
                </c:pt>
                <c:pt idx="4">
                  <c:v>كيوي</c:v>
                </c:pt>
                <c:pt idx="5">
                  <c:v>رمان مصري</c:v>
                </c:pt>
                <c:pt idx="6">
                  <c:v>كاكا لبناني</c:v>
                </c:pt>
                <c:pt idx="7">
                  <c:v>برتقال عصير</c:v>
                </c:pt>
                <c:pt idx="8">
                  <c:v>تفاح سلة</c:v>
                </c:pt>
                <c:pt idx="9">
                  <c:v>ليمون تركي</c:v>
                </c:pt>
              </c:strCache>
            </c:strRef>
          </c:cat>
          <c:val>
            <c:numRef>
              <c:f>'تحليل الأصناف'!$G$4:$G$13</c:f>
              <c:numCache>
                <c:formatCode>#,##0.00;[RED]\-#,##0.00;\-</c:formatCode>
                <c:ptCount val="10"/>
                <c:pt idx="0">
                  <c:v>94352</c:v>
                </c:pt>
                <c:pt idx="1">
                  <c:v>32109.15</c:v>
                </c:pt>
                <c:pt idx="2">
                  <c:v>24472</c:v>
                </c:pt>
                <c:pt idx="3">
                  <c:v>23874</c:v>
                </c:pt>
                <c:pt idx="4">
                  <c:v>21115.15</c:v>
                </c:pt>
                <c:pt idx="5">
                  <c:v>17641</c:v>
                </c:pt>
                <c:pt idx="6">
                  <c:v>15732</c:v>
                </c:pt>
                <c:pt idx="7">
                  <c:v>14530.25</c:v>
                </c:pt>
                <c:pt idx="8">
                  <c:v>14266.9</c:v>
                </c:pt>
                <c:pt idx="9">
                  <c:v>9947.5</c:v>
                </c:pt>
              </c:numCache>
            </c:numRef>
          </c:val>
        </c:ser>
        <c:gapWidth val="150"/>
        <c:overlap val="0"/>
        <c:axId val="38904413"/>
        <c:axId val="28979871"/>
      </c:barChart>
      <c:catAx>
        <c:axId val="3890441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79871"/>
        <c:crosses val="autoZero"/>
        <c:auto val="1"/>
        <c:lblAlgn val="ctr"/>
        <c:lblOffset val="100"/>
        <c:noMultiLvlLbl val="0"/>
      </c:catAx>
      <c:valAx>
        <c:axId val="28979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-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044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-255960</xdr:colOff>
      <xdr:row>6</xdr:row>
      <xdr:rowOff>97200</xdr:rowOff>
    </xdr:from>
    <xdr:to>
      <xdr:col>21</xdr:col>
      <xdr:colOff>0</xdr:colOff>
      <xdr:row>25</xdr:row>
      <xdr:rowOff>12960</xdr:rowOff>
    </xdr:to>
    <xdr:graphicFrame>
      <xdr:nvGraphicFramePr>
        <xdr:cNvPr id="0" name="Chart 1"/>
        <xdr:cNvGraphicFramePr/>
      </xdr:nvGraphicFramePr>
      <xdr:xfrm>
        <a:off x="-16943760" y="1762200"/>
        <a:ext cx="5759640" cy="372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-255960</xdr:colOff>
      <xdr:row>1</xdr:row>
      <xdr:rowOff>160560</xdr:rowOff>
    </xdr:from>
    <xdr:to>
      <xdr:col>21</xdr:col>
      <xdr:colOff>0</xdr:colOff>
      <xdr:row>18</xdr:row>
      <xdr:rowOff>161640</xdr:rowOff>
    </xdr:to>
    <xdr:graphicFrame>
      <xdr:nvGraphicFramePr>
        <xdr:cNvPr id="1" name="Chart 1"/>
        <xdr:cNvGraphicFramePr/>
      </xdr:nvGraphicFramePr>
      <xdr:xfrm>
        <a:off x="-162388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<Relationship Id="rId2" Type="http://schemas.openxmlformats.org/officeDocument/2006/relationships/hyperlink" Target="&#1603;&#1588;&#1608;&#1601;_&#1575;&#1604;&#1605;&#1608;&#1585;&#1583;&#1610;&#1606;_&#1605;&#1583;&#1602;&#1602;&#1577;.xlsx" TargetMode="External"/><Relationship Id="rId3" Type="http://schemas.openxmlformats.org/officeDocument/2006/relationships/hyperlink" Target="&#1603;&#1588;&#1608;&#1601;_&#1575;&#1604;&#1605;&#1608;&#1585;&#1583;&#1610;&#1606;_&#1605;&#1583;&#1602;&#1602;&#1577;.xlsx" TargetMode="External"/><Relationship Id="rId4" Type="http://schemas.openxmlformats.org/officeDocument/2006/relationships/hyperlink" Target="&#1603;&#1588;&#1608;&#1601;_&#1575;&#1604;&#1605;&#1608;&#1585;&#1583;&#1610;&#1606;_&#1605;&#1583;&#1602;&#1602;&#1577;.xlsx" TargetMode="External"/><Relationship Id="rId5" Type="http://schemas.openxmlformats.org/officeDocument/2006/relationships/hyperlink" Target="&#1603;&#1588;&#1608;&#1601;_&#1575;&#1604;&#1605;&#1608;&#1585;&#1583;&#1610;&#1606;_&#1605;&#1583;&#1602;&#1602;&#1577;.xlsx" TargetMode="External"/><Relationship Id="rId6" Type="http://schemas.openxmlformats.org/officeDocument/2006/relationships/hyperlink" Target="&#1603;&#1588;&#1608;&#1601;_&#1575;&#1604;&#1605;&#1608;&#1585;&#1583;&#1610;&#1606;_&#1605;&#1583;&#1602;&#1602;&#1577;.xlsx" TargetMode="External"/><Relationship Id="rId7" Type="http://schemas.openxmlformats.org/officeDocument/2006/relationships/hyperlink" Target="&#1603;&#1588;&#1608;&#1601;_&#1575;&#1604;&#1605;&#1608;&#1585;&#1583;&#1610;&#1606;_&#1605;&#1583;&#1602;&#1602;&#1577;.xlsx" TargetMode="External"/><Relationship Id="rId8" Type="http://schemas.openxmlformats.org/officeDocument/2006/relationships/hyperlink" Target="&#1603;&#1588;&#1608;&#1601;_&#1575;&#1604;&#1605;&#1608;&#1585;&#1583;&#1610;&#1606;_&#1605;&#1583;&#1602;&#1602;&#1577;.xlsx" TargetMode="External"/><Relationship Id="rId9" Type="http://schemas.openxmlformats.org/officeDocument/2006/relationships/hyperlink" Target="&#1603;&#1588;&#1608;&#1601;_&#1575;&#1604;&#1605;&#1608;&#1585;&#1583;&#1610;&#1606;_&#1605;&#1583;&#1602;&#1602;&#1577;.xlsx" TargetMode="External"/><Relationship Id="rId10" Type="http://schemas.openxmlformats.org/officeDocument/2006/relationships/hyperlink" Target="&#1603;&#1588;&#1608;&#1601;_&#1575;&#1604;&#1605;&#1608;&#1585;&#1583;&#1610;&#1606;_&#1605;&#1583;&#1602;&#1602;&#1577;.xlsx" TargetMode="External"/><Relationship Id="rId11" Type="http://schemas.openxmlformats.org/officeDocument/2006/relationships/hyperlink" Target="&#1603;&#1588;&#1608;&#1601;_&#1575;&#1604;&#1605;&#1608;&#1585;&#1583;&#1610;&#1606;_&#1605;&#1583;&#1602;&#1602;&#1577;.xlsx" TargetMode="External"/><Relationship Id="rId12" Type="http://schemas.openxmlformats.org/officeDocument/2006/relationships/hyperlink" Target="&#1603;&#1588;&#1608;&#1601;_&#1575;&#1604;&#1605;&#1608;&#1585;&#1583;&#1610;&#1606;_&#1605;&#1583;&#1602;&#1602;&#1577;.xlsx" TargetMode="External"/><Relationship Id="rId13" Type="http://schemas.openxmlformats.org/officeDocument/2006/relationships/hyperlink" Target="&#1603;&#1588;&#1608;&#1601;_&#1575;&#1604;&#1605;&#1608;&#1585;&#1583;&#1610;&#1606;_&#1605;&#1583;&#1602;&#1602;&#1577;.xlsx" TargetMode="External"/><Relationship Id="rId14" Type="http://schemas.openxmlformats.org/officeDocument/2006/relationships/hyperlink" Target="&#1603;&#1588;&#1608;&#1601;_&#1575;&#1604;&#1605;&#1608;&#1585;&#1583;&#1610;&#1606;_&#1605;&#1583;&#1602;&#1602;&#1577;.xlsx" TargetMode="External"/><Relationship Id="rId15" Type="http://schemas.openxmlformats.org/officeDocument/2006/relationships/hyperlink" Target="&#1603;&#1588;&#1608;&#1601;_&#1575;&#1604;&#1605;&#1608;&#1585;&#1583;&#1610;&#1606;_&#1605;&#1583;&#1602;&#1602;&#1577;.xlsx" TargetMode="External"/><Relationship Id="rId16" Type="http://schemas.openxmlformats.org/officeDocument/2006/relationships/hyperlink" Target="&#1603;&#1588;&#1608;&#1601;_&#1575;&#1604;&#1605;&#1608;&#1585;&#1583;&#1610;&#1606;_&#1605;&#1583;&#1602;&#1602;&#1577;.xlsx" TargetMode="External"/><Relationship Id="rId17" Type="http://schemas.openxmlformats.org/officeDocument/2006/relationships/hyperlink" Target="&#1603;&#1588;&#1608;&#1601;_&#1575;&#1604;&#1605;&#1608;&#1585;&#1583;&#1610;&#1606;_&#1605;&#1583;&#1602;&#1602;&#1577;.xlsx" TargetMode="External"/><Relationship Id="rId18" Type="http://schemas.openxmlformats.org/officeDocument/2006/relationships/hyperlink" Target="&#1603;&#1588;&#1608;&#1601;_&#1575;&#1604;&#1605;&#1608;&#1585;&#1583;&#1610;&#1606;_&#1605;&#1583;&#1602;&#1602;&#1577;.xlsx" TargetMode="External"/><Relationship Id="rId19" Type="http://schemas.openxmlformats.org/officeDocument/2006/relationships/hyperlink" Target="&#1603;&#1588;&#1608;&#1601;_&#1575;&#1604;&#1605;&#1608;&#1585;&#1583;&#1610;&#1606;_&#1605;&#1583;&#1602;&#1602;&#1577;.xlsx" TargetMode="External"/><Relationship Id="rId20" Type="http://schemas.openxmlformats.org/officeDocument/2006/relationships/hyperlink" Target="&#1603;&#1588;&#1608;&#1601;_&#1575;&#1604;&#1605;&#1608;&#1585;&#1583;&#1610;&#1606;_&#1605;&#1583;&#1602;&#1602;&#1577;.xlsx" TargetMode="External"/><Relationship Id="rId21" Type="http://schemas.openxmlformats.org/officeDocument/2006/relationships/hyperlink" Target="&#1603;&#1588;&#1608;&#1601;_&#1575;&#1604;&#1605;&#1608;&#1585;&#1583;&#1610;&#1606;_&#1605;&#1583;&#1602;&#1602;&#1577;.xlsx" TargetMode="External"/><Relationship Id="rId22" Type="http://schemas.openxmlformats.org/officeDocument/2006/relationships/hyperlink" Target="&#1603;&#1588;&#1608;&#1601;_&#1575;&#1604;&#1605;&#1608;&#1585;&#1583;&#1610;&#1606;_&#1605;&#1583;&#1602;&#1602;&#1577;.xlsx" TargetMode="External"/><Relationship Id="rId23" Type="http://schemas.openxmlformats.org/officeDocument/2006/relationships/hyperlink" Target="&#1603;&#1588;&#1608;&#1601;_&#1575;&#1604;&#1605;&#1608;&#1585;&#1583;&#1610;&#1606;_&#1605;&#1583;&#1602;&#1602;&#1577;.xlsx" TargetMode="External"/><Relationship Id="rId24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<Relationship Id="rId2" Type="http://schemas.openxmlformats.org/officeDocument/2006/relationships/hyperlink" Target="&#1603;&#1588;&#1608;&#1601;_&#1575;&#1604;&#1605;&#1608;&#1585;&#1583;&#1610;&#1606;_&#1605;&#1583;&#1602;&#1602;&#1577;.xlsx" TargetMode="External"/><Relationship Id="rId3" Type="http://schemas.openxmlformats.org/officeDocument/2006/relationships/hyperlink" Target="&#1603;&#1588;&#1608;&#1601;_&#1575;&#1604;&#1605;&#1608;&#1585;&#1583;&#1610;&#1606;_&#1605;&#1583;&#1602;&#1602;&#1577;.xlsx" TargetMode="External"/><Relationship Id="rId4" Type="http://schemas.openxmlformats.org/officeDocument/2006/relationships/hyperlink" Target="&#1603;&#1588;&#1608;&#1601;_&#1575;&#1604;&#1605;&#1608;&#1585;&#1583;&#1610;&#1606;_&#1605;&#1583;&#1602;&#1602;&#1577;.xlsx" TargetMode="External"/><Relationship Id="rId5" Type="http://schemas.openxmlformats.org/officeDocument/2006/relationships/hyperlink" Target="&#1603;&#1588;&#1608;&#1601;_&#1575;&#1604;&#1605;&#1608;&#1585;&#1583;&#1610;&#1606;_&#1605;&#1583;&#1602;&#1602;&#1577;.xlsx" TargetMode="External"/><Relationship Id="rId6" Type="http://schemas.openxmlformats.org/officeDocument/2006/relationships/hyperlink" Target="&#1603;&#1588;&#1608;&#1601;_&#1575;&#1604;&#1605;&#1608;&#1585;&#1583;&#1610;&#1606;_&#1605;&#1583;&#1602;&#1602;&#1577;.xlsx" TargetMode="External"/><Relationship Id="rId7" Type="http://schemas.openxmlformats.org/officeDocument/2006/relationships/hyperlink" Target="&#1603;&#1588;&#1608;&#1601;_&#1575;&#1604;&#1605;&#1608;&#1585;&#1583;&#1610;&#1606;_&#1605;&#1583;&#1602;&#1602;&#1577;.xlsx" TargetMode="External"/><Relationship Id="rId8" Type="http://schemas.openxmlformats.org/officeDocument/2006/relationships/hyperlink" Target="&#1603;&#1588;&#1608;&#1601;_&#1575;&#1604;&#1605;&#1608;&#1585;&#1583;&#1610;&#1606;_&#1605;&#1583;&#1602;&#1602;&#1577;.xlsx" TargetMode="External"/><Relationship Id="rId9" Type="http://schemas.openxmlformats.org/officeDocument/2006/relationships/hyperlink" Target="&#1603;&#1588;&#1608;&#1601;_&#1575;&#1604;&#1605;&#1608;&#1585;&#1583;&#1610;&#1606;_&#1605;&#1583;&#1602;&#1602;&#1577;.xlsx" TargetMode="External"/><Relationship Id="rId10" Type="http://schemas.openxmlformats.org/officeDocument/2006/relationships/hyperlink" Target="&#1603;&#1588;&#1608;&#1601;_&#1575;&#1604;&#1605;&#1608;&#1585;&#1583;&#1610;&#1606;_&#1605;&#1583;&#1602;&#1602;&#1577;.xlsx" TargetMode="External"/><Relationship Id="rId11" Type="http://schemas.openxmlformats.org/officeDocument/2006/relationships/hyperlink" Target="&#1603;&#1588;&#1608;&#1601;_&#1575;&#1604;&#1605;&#1608;&#1585;&#1583;&#1610;&#1606;_&#1605;&#1583;&#1602;&#1602;&#1577;.xlsx" TargetMode="External"/><Relationship Id="rId12" Type="http://schemas.openxmlformats.org/officeDocument/2006/relationships/hyperlink" Target="&#1603;&#1588;&#1608;&#1601;_&#1575;&#1604;&#1605;&#1608;&#1585;&#1583;&#1610;&#1606;_&#1605;&#1583;&#1602;&#1602;&#1577;.xlsx" TargetMode="External"/><Relationship Id="rId13" Type="http://schemas.openxmlformats.org/officeDocument/2006/relationships/hyperlink" Target="&#1603;&#1588;&#1608;&#1601;_&#1575;&#1604;&#1605;&#1608;&#1585;&#1583;&#1610;&#1606;_&#1605;&#1583;&#1602;&#1602;&#1577;.xlsx" TargetMode="External"/><Relationship Id="rId14" Type="http://schemas.openxmlformats.org/officeDocument/2006/relationships/hyperlink" Target="&#1603;&#1588;&#1608;&#1601;_&#1575;&#1604;&#1605;&#1608;&#1585;&#1583;&#1610;&#1606;_&#1605;&#1583;&#1602;&#1602;&#1577;.xlsx" TargetMode="External"/><Relationship Id="rId15" Type="http://schemas.openxmlformats.org/officeDocument/2006/relationships/hyperlink" Target="&#1603;&#1588;&#1608;&#1601;_&#1575;&#1604;&#1605;&#1608;&#1585;&#1583;&#1610;&#1606;_&#1605;&#1583;&#1602;&#1602;&#1577;.xlsx" TargetMode="External"/><Relationship Id="rId16" Type="http://schemas.openxmlformats.org/officeDocument/2006/relationships/hyperlink" Target="&#1603;&#1588;&#1608;&#1601;_&#1575;&#1604;&#1605;&#1608;&#1585;&#1583;&#1610;&#1606;_&#1605;&#1583;&#1602;&#1602;&#1577;.xlsx" TargetMode="External"/><Relationship Id="rId17" Type="http://schemas.openxmlformats.org/officeDocument/2006/relationships/hyperlink" Target="&#1603;&#1588;&#1608;&#1601;_&#1575;&#1604;&#1605;&#1608;&#1585;&#1583;&#1610;&#1606;_&#1605;&#1583;&#1602;&#1602;&#1577;.xlsx" TargetMode="External"/><Relationship Id="rId18" Type="http://schemas.openxmlformats.org/officeDocument/2006/relationships/hyperlink" Target="&#1603;&#1588;&#1608;&#1601;_&#1575;&#1604;&#1605;&#1608;&#1585;&#1583;&#1610;&#1606;_&#1605;&#1583;&#1602;&#1602;&#1577;.xlsx" TargetMode="External"/><Relationship Id="rId19" Type="http://schemas.openxmlformats.org/officeDocument/2006/relationships/hyperlink" Target="&#1603;&#1588;&#1608;&#1601;_&#1575;&#1604;&#1605;&#1608;&#1585;&#1583;&#1610;&#1606;_&#1605;&#1583;&#1602;&#1602;&#1577;.xlsx" TargetMode="External"/><Relationship Id="rId20" Type="http://schemas.openxmlformats.org/officeDocument/2006/relationships/hyperlink" Target="&#1603;&#1588;&#1608;&#1601;_&#1575;&#1604;&#1605;&#1608;&#1585;&#1583;&#1610;&#1606;_&#1605;&#1583;&#1602;&#1602;&#1577;.xlsx" TargetMode="External"/><Relationship Id="rId21" Type="http://schemas.openxmlformats.org/officeDocument/2006/relationships/hyperlink" Target="&#1603;&#1588;&#1608;&#1601;_&#1575;&#1604;&#1605;&#1608;&#1585;&#1583;&#1610;&#1606;_&#1605;&#1583;&#1602;&#1602;&#1577;.xlsx" TargetMode="External"/><Relationship Id="rId22" Type="http://schemas.openxmlformats.org/officeDocument/2006/relationships/hyperlink" Target="&#1603;&#1588;&#1608;&#1601;_&#1575;&#1604;&#1605;&#1608;&#1585;&#1583;&#1610;&#1606;_&#1605;&#1583;&#1602;&#1602;&#1577;.xlsx" TargetMode="External"/><Relationship Id="rId23" Type="http://schemas.openxmlformats.org/officeDocument/2006/relationships/hyperlink" Target="&#1603;&#1588;&#1608;&#1601;_&#1575;&#1604;&#1605;&#1608;&#1585;&#1583;&#1610;&#1606;_&#1605;&#1583;&#1602;&#1602;&#1577;.xlsx" TargetMode="External"/><Relationship Id="rId24" Type="http://schemas.openxmlformats.org/officeDocument/2006/relationships/hyperlink" Target="&#1603;&#1588;&#1608;&#1601;_&#1575;&#1604;&#1605;&#1608;&#1585;&#1583;&#1610;&#1606;_&#1605;&#1583;&#1602;&#1602;&#1577;.xlsx" TargetMode="External"/><Relationship Id="rId25" Type="http://schemas.openxmlformats.org/officeDocument/2006/relationships/hyperlink" Target="&#1603;&#1588;&#1608;&#1601;_&#1575;&#1604;&#1605;&#1608;&#1585;&#1583;&#1610;&#1606;_&#1605;&#1583;&#1602;&#1602;&#1577;.xlsx" TargetMode="External"/><Relationship Id="rId26" Type="http://schemas.openxmlformats.org/officeDocument/2006/relationships/hyperlink" Target="&#1603;&#1588;&#1608;&#1601;_&#1575;&#1604;&#1605;&#1608;&#1585;&#1583;&#1610;&#1606;_&#1605;&#1583;&#1602;&#1602;&#1577;.xlsx" TargetMode="External"/><Relationship Id="rId27" Type="http://schemas.openxmlformats.org/officeDocument/2006/relationships/hyperlink" Target="&#1603;&#1588;&#1608;&#1601;_&#1575;&#1604;&#1605;&#1608;&#1585;&#1583;&#1610;&#1606;_&#1605;&#1583;&#1602;&#1602;&#1577;.xlsx" TargetMode="External"/><Relationship Id="rId28" Type="http://schemas.openxmlformats.org/officeDocument/2006/relationships/hyperlink" Target="&#1603;&#1588;&#1608;&#1601;_&#1575;&#1604;&#1605;&#1608;&#1585;&#1583;&#1610;&#1606;_&#1605;&#1583;&#1602;&#1602;&#1577;.xlsx" TargetMode="External"/><Relationship Id="rId29" Type="http://schemas.openxmlformats.org/officeDocument/2006/relationships/hyperlink" Target="&#1603;&#1588;&#1608;&#1601;_&#1575;&#1604;&#1605;&#1608;&#1585;&#1583;&#1610;&#1606;_&#1605;&#1583;&#1602;&#1602;&#1577;.xlsx" TargetMode="External"/><Relationship Id="rId30" Type="http://schemas.openxmlformats.org/officeDocument/2006/relationships/hyperlink" Target="&#1603;&#1588;&#1608;&#1601;_&#1575;&#1604;&#1605;&#1608;&#1585;&#1583;&#1610;&#1606;_&#1605;&#1583;&#1602;&#1602;&#1577;.xlsx" TargetMode="External"/><Relationship Id="rId31" Type="http://schemas.openxmlformats.org/officeDocument/2006/relationships/hyperlink" Target="&#1603;&#1588;&#1608;&#1601;_&#1575;&#1604;&#1605;&#1608;&#1585;&#1583;&#1610;&#1606;_&#1605;&#1583;&#1602;&#1602;&#1577;.xlsx" TargetMode="External"/><Relationship Id="rId32" Type="http://schemas.openxmlformats.org/officeDocument/2006/relationships/hyperlink" Target="&#1603;&#1588;&#1608;&#1601;_&#1575;&#1604;&#1605;&#1608;&#1585;&#1583;&#1610;&#1606;_&#1605;&#1583;&#1602;&#1602;&#1577;.xlsx" TargetMode="External"/><Relationship Id="rId33" Type="http://schemas.openxmlformats.org/officeDocument/2006/relationships/hyperlink" Target="&#1603;&#1588;&#1608;&#1601;_&#1575;&#1604;&#1605;&#1608;&#1585;&#1583;&#1610;&#1606;_&#1605;&#1583;&#1602;&#1602;&#1577;.xlsx" TargetMode="External"/><Relationship Id="rId34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605;&#1608;&#1585;&#1583;&#1610;&#1606;_&#1605;&#1583;&#1602;&#1602;&#1577;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K32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2.35" hidden="false" customHeight="false" outlineLevel="0" collapsed="false">
      <c r="B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I4" s="3" t="s">
        <v>7</v>
      </c>
    </row>
    <row r="5" customFormat="false" ht="30" hidden="false" customHeight="true" outlineLevel="0" collapsed="false">
      <c r="B5" s="4" t="n">
        <f aca="false">COUNTA(B9:B31)</f>
        <v>23</v>
      </c>
      <c r="D5" s="5" t="n">
        <f aca="false">SUMIFS('سجل الحركات'!J4:J229,'سجل الحركات'!E4:E229,"بضاعة")</f>
        <v>325170.1</v>
      </c>
      <c r="E5" s="5" t="n">
        <f aca="false">E32</f>
        <v>227481.3</v>
      </c>
      <c r="F5" s="5" t="n">
        <f aca="false">F32</f>
        <v>97748.8</v>
      </c>
      <c r="G5" s="4" t="n">
        <f aca="false">COUNTIF(K9:K31,"مستحق علينا")</f>
        <v>15</v>
      </c>
      <c r="I5" s="4" t="n">
        <f aca="false">COUNTA('ملاحظات التدقيق'!B5:B1000)</f>
        <v>37</v>
      </c>
    </row>
    <row r="8" customFormat="false" ht="30" hidden="false" customHeight="true" outlineLevel="0" collapsed="false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</row>
    <row r="9" customFormat="false" ht="15" hidden="false" customHeight="false" outlineLevel="0" collapsed="false">
      <c r="A9" s="7" t="n">
        <v>1</v>
      </c>
      <c r="B9" s="8" t="s">
        <v>19</v>
      </c>
      <c r="C9" s="7" t="n">
        <f aca="false">COUNTA('المزارع المبدع'!D7:D1000)</f>
        <v>2</v>
      </c>
      <c r="D9" s="9" t="n">
        <f aca="false">'المزارع المبدع'!F4</f>
        <v>60</v>
      </c>
      <c r="E9" s="9" t="n">
        <f aca="false">'المزارع المبدع'!G4</f>
        <v>60</v>
      </c>
      <c r="F9" s="10" t="n">
        <f aca="false">'المزارع المبدع'!H4</f>
        <v>0</v>
      </c>
      <c r="G9" s="9" t="n">
        <f aca="false">'المزارع المبدع'!I4</f>
        <v>0</v>
      </c>
      <c r="H9" s="11" t="n">
        <f aca="false">'المزارع المبدع'!D4</f>
        <v>46296</v>
      </c>
      <c r="I9" s="11" t="n">
        <f aca="false">'المزارع المبدع'!E4</f>
        <v>46297</v>
      </c>
      <c r="J9" s="11" t="str">
        <f aca="false">'المزارع المبدع'!J4</f>
        <v/>
      </c>
      <c r="K9" s="7" t="str">
        <f aca="false">'المزارع المبدع'!K4</f>
        <v>مسدد</v>
      </c>
    </row>
    <row r="10" customFormat="false" ht="15" hidden="false" customHeight="false" outlineLevel="0" collapsed="false">
      <c r="A10" s="7" t="n">
        <v>2</v>
      </c>
      <c r="B10" s="8" t="s">
        <v>20</v>
      </c>
      <c r="C10" s="7" t="n">
        <f aca="false">COUNTA(العلواني!D7:D1000)</f>
        <v>2</v>
      </c>
      <c r="D10" s="9" t="n">
        <f aca="false">العلواني!F4</f>
        <v>3622.5</v>
      </c>
      <c r="E10" s="9" t="n">
        <f aca="false">العلواني!G4</f>
        <v>2000</v>
      </c>
      <c r="F10" s="10" t="n">
        <f aca="false">العلواني!H4</f>
        <v>1622.5</v>
      </c>
      <c r="G10" s="9" t="n">
        <f aca="false">العلواني!I4</f>
        <v>472.5</v>
      </c>
      <c r="H10" s="11" t="n">
        <f aca="false">العلواني!D4</f>
        <v>46318</v>
      </c>
      <c r="I10" s="11" t="n">
        <f aca="false">العلواني!E4</f>
        <v>46324</v>
      </c>
      <c r="J10" s="11" t="n">
        <f aca="false">العلواني!J4</f>
        <v>46324</v>
      </c>
      <c r="K10" s="7" t="str">
        <f aca="false">العلواني!K4</f>
        <v>مستحق علينا</v>
      </c>
    </row>
    <row r="11" customFormat="false" ht="15" hidden="false" customHeight="false" outlineLevel="0" collapsed="false">
      <c r="A11" s="7" t="n">
        <v>3</v>
      </c>
      <c r="B11" s="8" t="s">
        <v>21</v>
      </c>
      <c r="C11" s="7" t="n">
        <f aca="false">COUNTA('رجب المصري'!D7:D1000)</f>
        <v>1</v>
      </c>
      <c r="D11" s="9" t="n">
        <f aca="false">'رجب المصري'!F4</f>
        <v>3047.5</v>
      </c>
      <c r="E11" s="9" t="n">
        <f aca="false">'رجب المصري'!G4</f>
        <v>0</v>
      </c>
      <c r="F11" s="10" t="n">
        <f aca="false">'رجب المصري'!H4</f>
        <v>3047.5</v>
      </c>
      <c r="G11" s="9" t="n">
        <f aca="false">'رجب المصري'!I4</f>
        <v>397.5</v>
      </c>
      <c r="H11" s="11" t="n">
        <f aca="false">'رجب المصري'!D4</f>
        <v>46324</v>
      </c>
      <c r="I11" s="11" t="n">
        <f aca="false">'رجب المصري'!E4</f>
        <v>46324</v>
      </c>
      <c r="J11" s="11" t="str">
        <f aca="false">'رجب المصري'!J4</f>
        <v/>
      </c>
      <c r="K11" s="7" t="str">
        <f aca="false">'رجب المصري'!K4</f>
        <v>مستحق علينا</v>
      </c>
    </row>
    <row r="12" customFormat="false" ht="15" hidden="false" customHeight="false" outlineLevel="0" collapsed="false">
      <c r="A12" s="7" t="n">
        <v>4</v>
      </c>
      <c r="B12" s="8" t="s">
        <v>22</v>
      </c>
      <c r="C12" s="7" t="n">
        <f aca="false">COUNTA(الجوهرة!D7:D1000)</f>
        <v>6</v>
      </c>
      <c r="D12" s="9" t="n">
        <f aca="false">الجوهرة!F4</f>
        <v>11365.45</v>
      </c>
      <c r="E12" s="9" t="n">
        <f aca="false">الجوهرة!G4</f>
        <v>6000</v>
      </c>
      <c r="F12" s="10" t="n">
        <f aca="false">الجوهرة!H4</f>
        <v>5365.45</v>
      </c>
      <c r="G12" s="9" t="n">
        <f aca="false">الجوهرة!I4</f>
        <v>1482.45</v>
      </c>
      <c r="H12" s="11" t="n">
        <f aca="false">الجوهرة!D4</f>
        <v>46318</v>
      </c>
      <c r="I12" s="11" t="n">
        <f aca="false">الجوهرة!E4</f>
        <v>46325</v>
      </c>
      <c r="J12" s="11" t="n">
        <f aca="false">الجوهرة!J4</f>
        <v>46325</v>
      </c>
      <c r="K12" s="7" t="str">
        <f aca="false">الجوهرة!K4</f>
        <v>مستحق علينا</v>
      </c>
    </row>
    <row r="13" customFormat="false" ht="15" hidden="false" customHeight="false" outlineLevel="0" collapsed="false">
      <c r="A13" s="7" t="n">
        <v>5</v>
      </c>
      <c r="B13" s="8" t="s">
        <v>23</v>
      </c>
      <c r="C13" s="7" t="n">
        <f aca="false">COUNTA('جبار البيشي'!D7:D1000)</f>
        <v>63</v>
      </c>
      <c r="D13" s="9" t="n">
        <f aca="false">'جبار البيشي'!F4</f>
        <v>146146.6</v>
      </c>
      <c r="E13" s="9" t="n">
        <f aca="false">'جبار البيشي'!G4</f>
        <v>117176.55</v>
      </c>
      <c r="F13" s="10" t="n">
        <f aca="false">'جبار البيشي'!H4</f>
        <v>28970.05</v>
      </c>
      <c r="G13" s="9" t="n">
        <f aca="false">'جبار البيشي'!I4</f>
        <v>19062.6</v>
      </c>
      <c r="H13" s="11" t="n">
        <f aca="false">'جبار البيشي'!D4</f>
        <v>46297</v>
      </c>
      <c r="I13" s="11" t="n">
        <f aca="false">'جبار البيشي'!E4</f>
        <v>46325</v>
      </c>
      <c r="J13" s="11" t="n">
        <f aca="false">'جبار البيشي'!J4</f>
        <v>46324</v>
      </c>
      <c r="K13" s="7" t="str">
        <f aca="false">'جبار البيشي'!K4</f>
        <v>مستحق علينا</v>
      </c>
    </row>
    <row r="14" customFormat="false" ht="15" hidden="false" customHeight="false" outlineLevel="0" collapsed="false">
      <c r="A14" s="7" t="n">
        <v>6</v>
      </c>
      <c r="B14" s="8" t="s">
        <v>24</v>
      </c>
      <c r="C14" s="7" t="n">
        <f aca="false">COUNTA('عزم الانجاز'!D7:D1000)</f>
        <v>6</v>
      </c>
      <c r="D14" s="9" t="n">
        <f aca="false">'عزم الانجاز'!F4</f>
        <v>3312</v>
      </c>
      <c r="E14" s="9" t="n">
        <f aca="false">'عزم الانجاز'!G4</f>
        <v>3310</v>
      </c>
      <c r="F14" s="10" t="n">
        <f aca="false">'عزم الانجاز'!H4</f>
        <v>2</v>
      </c>
      <c r="G14" s="9" t="n">
        <f aca="false">'عزم الانجاز'!I4</f>
        <v>432</v>
      </c>
      <c r="H14" s="11" t="n">
        <f aca="false">'عزم الانجاز'!D4</f>
        <v>46317</v>
      </c>
      <c r="I14" s="11" t="n">
        <f aca="false">'عزم الانجاز'!E4</f>
        <v>46324</v>
      </c>
      <c r="J14" s="11" t="n">
        <f aca="false">'عزم الانجاز'!J4</f>
        <v>46324</v>
      </c>
      <c r="K14" s="7" t="str">
        <f aca="false">'عزم الانجاز'!K4</f>
        <v>مستحق علينا</v>
      </c>
    </row>
    <row r="15" customFormat="false" ht="15" hidden="false" customHeight="false" outlineLevel="0" collapsed="false">
      <c r="A15" s="7" t="n">
        <v>7</v>
      </c>
      <c r="B15" s="8" t="s">
        <v>25</v>
      </c>
      <c r="C15" s="7" t="n">
        <f aca="false">COUNTA('ثمار العالمي'!D7:D1000)</f>
        <v>2</v>
      </c>
      <c r="D15" s="9" t="n">
        <f aca="false">'ثمار العالمي'!F4</f>
        <v>349.6</v>
      </c>
      <c r="E15" s="9" t="n">
        <f aca="false">'ثمار العالمي'!G4</f>
        <v>350</v>
      </c>
      <c r="F15" s="10" t="n">
        <f aca="false">'ثمار العالمي'!H4</f>
        <v>-0.4</v>
      </c>
      <c r="G15" s="9" t="n">
        <f aca="false">'ثمار العالمي'!I4</f>
        <v>45.6</v>
      </c>
      <c r="H15" s="11" t="n">
        <f aca="false">'ثمار العالمي'!D4</f>
        <v>46305</v>
      </c>
      <c r="I15" s="11" t="n">
        <f aca="false">'ثمار العالمي'!E4</f>
        <v>46306</v>
      </c>
      <c r="J15" s="11" t="n">
        <f aca="false">'ثمار العالمي'!J4</f>
        <v>46306</v>
      </c>
      <c r="K15" s="7" t="str">
        <f aca="false">'ثمار العالمي'!K4</f>
        <v>رصيد لنا</v>
      </c>
    </row>
    <row r="16" customFormat="false" ht="15" hidden="false" customHeight="false" outlineLevel="0" collapsed="false">
      <c r="A16" s="7" t="n">
        <v>8</v>
      </c>
      <c r="B16" s="8" t="s">
        <v>26</v>
      </c>
      <c r="C16" s="7" t="n">
        <f aca="false">COUNTA('عبدالرحمن قدري'!D7:D1000)</f>
        <v>2</v>
      </c>
      <c r="D16" s="9" t="n">
        <f aca="false">'عبدالرحمن قدري'!F4</f>
        <v>460</v>
      </c>
      <c r="E16" s="9" t="n">
        <f aca="false">'عبدالرحمن قدري'!G4</f>
        <v>460</v>
      </c>
      <c r="F16" s="10" t="n">
        <f aca="false">'عبدالرحمن قدري'!H4</f>
        <v>0</v>
      </c>
      <c r="G16" s="9" t="n">
        <f aca="false">'عبدالرحمن قدري'!I4</f>
        <v>60</v>
      </c>
      <c r="H16" s="11" t="n">
        <f aca="false">'عبدالرحمن قدري'!D4</f>
        <v>46313</v>
      </c>
      <c r="I16" s="11" t="n">
        <f aca="false">'عبدالرحمن قدري'!E4</f>
        <v>46321</v>
      </c>
      <c r="J16" s="11" t="n">
        <f aca="false">'عبدالرحمن قدري'!J4</f>
        <v>46321</v>
      </c>
      <c r="K16" s="7" t="str">
        <f aca="false">'عبدالرحمن قدري'!K4</f>
        <v>مسدد</v>
      </c>
    </row>
    <row r="17" customFormat="false" ht="15" hidden="false" customHeight="false" outlineLevel="0" collapsed="false">
      <c r="A17" s="7" t="n">
        <v>9</v>
      </c>
      <c r="B17" s="8" t="s">
        <v>27</v>
      </c>
      <c r="C17" s="7" t="n">
        <f aca="false">COUNTA('معتصم الحصباني'!D7:D1000)</f>
        <v>2</v>
      </c>
      <c r="D17" s="9" t="n">
        <f aca="false">'معتصم الحصباني'!F4</f>
        <v>2850.85</v>
      </c>
      <c r="E17" s="9" t="n">
        <f aca="false">'معتصم الحصباني'!G4</f>
        <v>0</v>
      </c>
      <c r="F17" s="10" t="n">
        <f aca="false">'معتصم الحصباني'!H4</f>
        <v>2850.85</v>
      </c>
      <c r="G17" s="9" t="n">
        <f aca="false">'معتصم الحصباني'!I4</f>
        <v>371.85</v>
      </c>
      <c r="H17" s="11" t="n">
        <f aca="false">'معتصم الحصباني'!D4</f>
        <v>46324</v>
      </c>
      <c r="I17" s="11" t="n">
        <f aca="false">'معتصم الحصباني'!E4</f>
        <v>46324</v>
      </c>
      <c r="J17" s="11" t="str">
        <f aca="false">'معتصم الحصباني'!J4</f>
        <v/>
      </c>
      <c r="K17" s="7" t="str">
        <f aca="false">'معتصم الحصباني'!K4</f>
        <v>مستحق علينا</v>
      </c>
    </row>
    <row r="18" customFormat="false" ht="15" hidden="false" customHeight="false" outlineLevel="0" collapsed="false">
      <c r="A18" s="7" t="n">
        <v>10</v>
      </c>
      <c r="B18" s="8" t="s">
        <v>28</v>
      </c>
      <c r="C18" s="7" t="n">
        <f aca="false">COUNTA('عبر الاقليم'!D7:D1000)</f>
        <v>28</v>
      </c>
      <c r="D18" s="9" t="n">
        <f aca="false">'عبر الاقليم'!F4</f>
        <v>34935.65</v>
      </c>
      <c r="E18" s="9" t="n">
        <f aca="false">'عبر الاقليم'!G4</f>
        <v>20673</v>
      </c>
      <c r="F18" s="10" t="n">
        <f aca="false">'عبر الاقليم'!H4</f>
        <v>14262.65</v>
      </c>
      <c r="G18" s="9" t="n">
        <f aca="false">'عبر الاقليم'!I4</f>
        <v>3394.65</v>
      </c>
      <c r="H18" s="11" t="n">
        <f aca="false">'عبر الاقليم'!D4</f>
        <v>46297</v>
      </c>
      <c r="I18" s="11" t="n">
        <f aca="false">'عبر الاقليم'!E4</f>
        <v>46324</v>
      </c>
      <c r="J18" s="11" t="n">
        <f aca="false">'عبر الاقليم'!J4</f>
        <v>46322</v>
      </c>
      <c r="K18" s="7" t="str">
        <f aca="false">'عبر الاقليم'!K4</f>
        <v>مستحق علينا</v>
      </c>
    </row>
    <row r="19" customFormat="false" ht="15" hidden="false" customHeight="false" outlineLevel="0" collapsed="false">
      <c r="A19" s="7" t="n">
        <v>11</v>
      </c>
      <c r="B19" s="8" t="s">
        <v>29</v>
      </c>
      <c r="C19" s="7" t="n">
        <f aca="false">COUNTA(العجم!D7:D1000)</f>
        <v>12</v>
      </c>
      <c r="D19" s="9" t="n">
        <f aca="false">العجم!F4</f>
        <v>15680.25</v>
      </c>
      <c r="E19" s="9" t="n">
        <f aca="false">العجم!G4</f>
        <v>13900</v>
      </c>
      <c r="F19" s="10" t="n">
        <f aca="false">العجم!H4</f>
        <v>1780.25</v>
      </c>
      <c r="G19" s="9" t="n">
        <f aca="false">العجم!I4</f>
        <v>2045.25</v>
      </c>
      <c r="H19" s="11" t="n">
        <f aca="false">العجم!D4</f>
        <v>46308</v>
      </c>
      <c r="I19" s="11" t="n">
        <f aca="false">العجم!E4</f>
        <v>46321</v>
      </c>
      <c r="J19" s="11" t="n">
        <f aca="false">العجم!J4</f>
        <v>46321</v>
      </c>
      <c r="K19" s="7" t="str">
        <f aca="false">العجم!K4</f>
        <v>مستحق علينا</v>
      </c>
    </row>
    <row r="20" customFormat="false" ht="15" hidden="false" customHeight="false" outlineLevel="0" collapsed="false">
      <c r="A20" s="7" t="n">
        <v>12</v>
      </c>
      <c r="B20" s="8" t="s">
        <v>30</v>
      </c>
      <c r="C20" s="7" t="n">
        <f aca="false">COUNTA(البشري!D7:D1000)</f>
        <v>25</v>
      </c>
      <c r="D20" s="9" t="n">
        <f aca="false">البشري!F4</f>
        <v>37806.25</v>
      </c>
      <c r="E20" s="9" t="n">
        <f aca="false">البشري!G4</f>
        <v>24500</v>
      </c>
      <c r="F20" s="10" t="n">
        <f aca="false">البشري!H4</f>
        <v>13306.25</v>
      </c>
      <c r="G20" s="9" t="n">
        <f aca="false">البشري!I4</f>
        <v>4931.25</v>
      </c>
      <c r="H20" s="11" t="n">
        <f aca="false">البشري!D4</f>
        <v>46303</v>
      </c>
      <c r="I20" s="11" t="n">
        <f aca="false">البشري!E4</f>
        <v>46324</v>
      </c>
      <c r="J20" s="11" t="n">
        <f aca="false">البشري!J4</f>
        <v>46324</v>
      </c>
      <c r="K20" s="7" t="str">
        <f aca="false">البشري!K4</f>
        <v>مستحق علينا</v>
      </c>
    </row>
    <row r="21" customFormat="false" ht="15" hidden="false" customHeight="false" outlineLevel="0" collapsed="false">
      <c r="A21" s="7" t="n">
        <v>13</v>
      </c>
      <c r="B21" s="8" t="s">
        <v>31</v>
      </c>
      <c r="C21" s="7" t="n">
        <f aca="false">COUNTA('نجمة العالم'!D7:D1000)</f>
        <v>4</v>
      </c>
      <c r="D21" s="9" t="n">
        <f aca="false">'نجمة العالم'!F4</f>
        <v>9008</v>
      </c>
      <c r="E21" s="9" t="n">
        <f aca="false">'نجمة العالم'!G4</f>
        <v>3700</v>
      </c>
      <c r="F21" s="10" t="n">
        <f aca="false">'نجمة العالم'!H4</f>
        <v>5308</v>
      </c>
      <c r="G21" s="9" t="n">
        <f aca="false">'نجمة العالم'!I4</f>
        <v>888</v>
      </c>
      <c r="H21" s="11" t="n">
        <f aca="false">'نجمة العالم'!D4</f>
        <v>46320</v>
      </c>
      <c r="I21" s="11" t="n">
        <f aca="false">'نجمة العالم'!E4</f>
        <v>46324</v>
      </c>
      <c r="J21" s="11" t="n">
        <f aca="false">'نجمة العالم'!J4</f>
        <v>46324</v>
      </c>
      <c r="K21" s="7" t="str">
        <f aca="false">'نجمة العالم'!K4</f>
        <v>مستحق علينا</v>
      </c>
    </row>
    <row r="22" customFormat="false" ht="15" hidden="false" customHeight="false" outlineLevel="0" collapsed="false">
      <c r="A22" s="7" t="n">
        <v>14</v>
      </c>
      <c r="B22" s="8" t="s">
        <v>32</v>
      </c>
      <c r="C22" s="7" t="n">
        <f aca="false">COUNTA('الاغذية الطازجة'!D7:D1000)</f>
        <v>7</v>
      </c>
      <c r="D22" s="9" t="n">
        <f aca="false">'الاغذية الطازجة'!F4</f>
        <v>24788.25</v>
      </c>
      <c r="E22" s="9" t="n">
        <f aca="false">'الاغذية الطازجة'!G4</f>
        <v>7000</v>
      </c>
      <c r="F22" s="10" t="n">
        <f aca="false">'الاغذية الطازجة'!H4</f>
        <v>17788.25</v>
      </c>
      <c r="G22" s="9" t="n">
        <f aca="false">'الاغذية الطازجة'!I4</f>
        <v>3233.25</v>
      </c>
      <c r="H22" s="11" t="n">
        <f aca="false">'الاغذية الطازجة'!D4</f>
        <v>46310</v>
      </c>
      <c r="I22" s="11" t="n">
        <f aca="false">'الاغذية الطازجة'!E4</f>
        <v>46325</v>
      </c>
      <c r="J22" s="11" t="n">
        <f aca="false">'الاغذية الطازجة'!J4</f>
        <v>46324</v>
      </c>
      <c r="K22" s="7" t="str">
        <f aca="false">'الاغذية الطازجة'!K4</f>
        <v>مستحق علينا</v>
      </c>
    </row>
    <row r="23" customFormat="false" ht="15" hidden="false" customHeight="false" outlineLevel="0" collapsed="false">
      <c r="A23" s="7" t="n">
        <v>15</v>
      </c>
      <c r="B23" s="8" t="s">
        <v>33</v>
      </c>
      <c r="C23" s="7" t="n">
        <f aca="false">COUNTA('جوري فروت'!D7:D1000)</f>
        <v>4</v>
      </c>
      <c r="D23" s="9" t="n">
        <f aca="false">'جوري فروت'!F4</f>
        <v>2925.6</v>
      </c>
      <c r="E23" s="9" t="n">
        <f aca="false">'جوري فروت'!G4</f>
        <v>2410</v>
      </c>
      <c r="F23" s="10" t="n">
        <f aca="false">'جوري فروت'!H4</f>
        <v>515.6</v>
      </c>
      <c r="G23" s="9" t="n">
        <f aca="false">'جوري فروت'!I4</f>
        <v>381.6</v>
      </c>
      <c r="H23" s="11" t="n">
        <f aca="false">'جوري فروت'!D4</f>
        <v>46323</v>
      </c>
      <c r="I23" s="11" t="n">
        <f aca="false">'جوري فروت'!E4</f>
        <v>46324</v>
      </c>
      <c r="J23" s="11" t="n">
        <f aca="false">'جوري فروت'!J4</f>
        <v>46324</v>
      </c>
      <c r="K23" s="7" t="str">
        <f aca="false">'جوري فروت'!K4</f>
        <v>مستحق علينا</v>
      </c>
    </row>
    <row r="24" customFormat="false" ht="15" hidden="false" customHeight="false" outlineLevel="0" collapsed="false">
      <c r="A24" s="7" t="n">
        <v>16</v>
      </c>
      <c r="B24" s="8" t="s">
        <v>34</v>
      </c>
      <c r="C24" s="7" t="n">
        <f aca="false">COUNTA('جابر القرشي'!D7:D1000)</f>
        <v>1</v>
      </c>
      <c r="D24" s="9" t="n">
        <f aca="false">'جابر القرشي'!F4</f>
        <v>3956</v>
      </c>
      <c r="E24" s="9" t="n">
        <f aca="false">'جابر القرشي'!G4</f>
        <v>0</v>
      </c>
      <c r="F24" s="10" t="n">
        <f aca="false">'جابر القرشي'!H4</f>
        <v>3956</v>
      </c>
      <c r="G24" s="9" t="n">
        <f aca="false">'جابر القرشي'!I4</f>
        <v>516</v>
      </c>
      <c r="H24" s="11" t="n">
        <f aca="false">'جابر القرشي'!D4</f>
        <v>46325</v>
      </c>
      <c r="I24" s="11" t="n">
        <f aca="false">'جابر القرشي'!E4</f>
        <v>46325</v>
      </c>
      <c r="J24" s="11" t="str">
        <f aca="false">'جابر القرشي'!J4</f>
        <v/>
      </c>
      <c r="K24" s="7" t="str">
        <f aca="false">'جابر القرشي'!K4</f>
        <v>مستحق علينا</v>
      </c>
    </row>
    <row r="25" customFormat="false" ht="15" hidden="false" customHeight="false" outlineLevel="0" collapsed="false">
      <c r="A25" s="7" t="n">
        <v>17</v>
      </c>
      <c r="B25" s="8" t="s">
        <v>35</v>
      </c>
      <c r="C25" s="7" t="n">
        <f aca="false">COUNTA('ثلاجة نخيل'!D7:D1000)</f>
        <v>3</v>
      </c>
      <c r="D25" s="9" t="n">
        <f aca="false">'ثلاجة نخيل'!F4</f>
        <v>3391.35</v>
      </c>
      <c r="E25" s="9" t="n">
        <f aca="false">'ثلاجة نخيل'!G4</f>
        <v>3390</v>
      </c>
      <c r="F25" s="10" t="n">
        <f aca="false">'ثلاجة نخيل'!H4</f>
        <v>1.35</v>
      </c>
      <c r="G25" s="9" t="n">
        <f aca="false">'ثلاجة نخيل'!I4</f>
        <v>442.35</v>
      </c>
      <c r="H25" s="11" t="n">
        <f aca="false">'ثلاجة نخيل'!D4</f>
        <v>46310</v>
      </c>
      <c r="I25" s="11" t="n">
        <f aca="false">'ثلاجة نخيل'!E4</f>
        <v>46325</v>
      </c>
      <c r="J25" s="11" t="n">
        <f aca="false">'ثلاجة نخيل'!J4</f>
        <v>46325</v>
      </c>
      <c r="K25" s="7" t="str">
        <f aca="false">'ثلاجة نخيل'!K4</f>
        <v>مستحق علينا</v>
      </c>
    </row>
    <row r="26" customFormat="false" ht="15" hidden="false" customHeight="false" outlineLevel="0" collapsed="false">
      <c r="A26" s="7" t="n">
        <v>18</v>
      </c>
      <c r="B26" s="8" t="s">
        <v>36</v>
      </c>
      <c r="C26" s="7" t="n">
        <f aca="false">COUNTA(اباصرة!D7:D1000)</f>
        <v>2</v>
      </c>
      <c r="D26" s="9" t="n">
        <f aca="false">اباصرة!F4</f>
        <v>603.75</v>
      </c>
      <c r="E26" s="9" t="n">
        <f aca="false">اباصرة!G4</f>
        <v>603.75</v>
      </c>
      <c r="F26" s="10" t="n">
        <f aca="false">اباصرة!H4</f>
        <v>0</v>
      </c>
      <c r="G26" s="9" t="n">
        <f aca="false">اباصرة!I4</f>
        <v>157.5</v>
      </c>
      <c r="H26" s="11" t="n">
        <f aca="false">اباصرة!D4</f>
        <v>46316</v>
      </c>
      <c r="I26" s="11" t="n">
        <f aca="false">اباصرة!E4</f>
        <v>46319</v>
      </c>
      <c r="J26" s="11" t="str">
        <f aca="false">اباصرة!J4</f>
        <v/>
      </c>
      <c r="K26" s="7" t="str">
        <f aca="false">اباصرة!K4</f>
        <v>مسدد</v>
      </c>
    </row>
    <row r="27" customFormat="false" ht="15" hidden="false" customHeight="false" outlineLevel="0" collapsed="false">
      <c r="A27" s="7" t="n">
        <v>19</v>
      </c>
      <c r="B27" s="8" t="s">
        <v>37</v>
      </c>
      <c r="C27" s="7" t="n">
        <f aca="false">COUNTA(عبدالقادر!D7:D1000)</f>
        <v>9</v>
      </c>
      <c r="D27" s="9" t="n">
        <f aca="false">عبدالقادر!F4</f>
        <v>4505</v>
      </c>
      <c r="E27" s="9" t="n">
        <f aca="false">عبدالقادر!G4</f>
        <v>4505</v>
      </c>
      <c r="F27" s="10" t="n">
        <f aca="false">عبدالقادر!H4</f>
        <v>0</v>
      </c>
      <c r="G27" s="9" t="n">
        <f aca="false">عبدالقادر!I4</f>
        <v>0</v>
      </c>
      <c r="H27" s="11" t="n">
        <f aca="false">عبدالقادر!D4</f>
        <v>46299</v>
      </c>
      <c r="I27" s="11" t="n">
        <f aca="false">عبدالقادر!E4</f>
        <v>46317</v>
      </c>
      <c r="J27" s="11" t="n">
        <f aca="false">عبدالقادر!J4</f>
        <v>46317</v>
      </c>
      <c r="K27" s="7" t="str">
        <f aca="false">عبدالقادر!K4</f>
        <v>مسدد</v>
      </c>
    </row>
    <row r="28" customFormat="false" ht="15" hidden="false" customHeight="false" outlineLevel="0" collapsed="false">
      <c r="A28" s="7" t="n">
        <v>20</v>
      </c>
      <c r="B28" s="8" t="s">
        <v>38</v>
      </c>
      <c r="C28" s="7" t="n">
        <f aca="false">COUNTA('نخبه الاغصان'!D7:D1000)</f>
        <v>28</v>
      </c>
      <c r="D28" s="9" t="n">
        <f aca="false">'نخبه الاغصان'!F4</f>
        <v>5778</v>
      </c>
      <c r="E28" s="9" t="n">
        <f aca="false">'نخبه الاغصان'!G4</f>
        <v>6806</v>
      </c>
      <c r="F28" s="10" t="n">
        <f aca="false">'نخبه الاغصان'!H4</f>
        <v>-1028</v>
      </c>
      <c r="G28" s="9" t="n">
        <f aca="false">'نخبه الاغصان'!I4</f>
        <v>351</v>
      </c>
      <c r="H28" s="11" t="n">
        <f aca="false">'نخبه الاغصان'!D4</f>
        <v>46297</v>
      </c>
      <c r="I28" s="11" t="n">
        <f aca="false">'نخبه الاغصان'!E4</f>
        <v>46324</v>
      </c>
      <c r="J28" s="11" t="n">
        <f aca="false">'نخبه الاغصان'!J4</f>
        <v>46323</v>
      </c>
      <c r="K28" s="7" t="str">
        <f aca="false">'نخبه الاغصان'!K4</f>
        <v>رصيد لنا</v>
      </c>
    </row>
    <row r="29" customFormat="false" ht="15" hidden="false" customHeight="false" outlineLevel="0" collapsed="false">
      <c r="A29" s="7" t="n">
        <v>21</v>
      </c>
      <c r="B29" s="8" t="s">
        <v>39</v>
      </c>
      <c r="C29" s="7" t="n">
        <f aca="false">COUNTA('فصل الاعمال'!D7:D1000)</f>
        <v>9</v>
      </c>
      <c r="D29" s="9" t="n">
        <f aca="false">'فصل الاعمال'!F4</f>
        <v>4197.5</v>
      </c>
      <c r="E29" s="9" t="n">
        <f aca="false">'فصل الاعمال'!G4</f>
        <v>4197</v>
      </c>
      <c r="F29" s="10" t="n">
        <f aca="false">'فصل الاعمال'!H4</f>
        <v>0.5</v>
      </c>
      <c r="G29" s="9" t="n">
        <f aca="false">'فصل الاعمال'!I4</f>
        <v>547.5</v>
      </c>
      <c r="H29" s="11" t="n">
        <f aca="false">'فصل الاعمال'!D4</f>
        <v>46299</v>
      </c>
      <c r="I29" s="11" t="n">
        <f aca="false">'فصل الاعمال'!E4</f>
        <v>46317</v>
      </c>
      <c r="J29" s="11" t="n">
        <f aca="false">'فصل الاعمال'!J4</f>
        <v>46317</v>
      </c>
      <c r="K29" s="7" t="str">
        <f aca="false">'فصل الاعمال'!K4</f>
        <v>مستحق علينا</v>
      </c>
    </row>
    <row r="30" customFormat="false" ht="15" hidden="false" customHeight="false" outlineLevel="0" collapsed="false">
      <c r="A30" s="7" t="n">
        <v>22</v>
      </c>
      <c r="B30" s="8" t="s">
        <v>40</v>
      </c>
      <c r="C30" s="7" t="n">
        <f aca="false">COUNTA('توت المتقدمة'!D7:D1000)</f>
        <v>6</v>
      </c>
      <c r="D30" s="9" t="n">
        <f aca="false">'توت المتقدمة'!F4</f>
        <v>4140</v>
      </c>
      <c r="E30" s="9" t="n">
        <f aca="false">'توت المتقدمة'!G4</f>
        <v>4140</v>
      </c>
      <c r="F30" s="10" t="n">
        <f aca="false">'توت المتقدمة'!H4</f>
        <v>0</v>
      </c>
      <c r="G30" s="9" t="n">
        <f aca="false">'توت المتقدمة'!I4</f>
        <v>540</v>
      </c>
      <c r="H30" s="11" t="n">
        <f aca="false">'توت المتقدمة'!D4</f>
        <v>46312</v>
      </c>
      <c r="I30" s="11" t="n">
        <f aca="false">'توت المتقدمة'!E4</f>
        <v>46321</v>
      </c>
      <c r="J30" s="11" t="n">
        <f aca="false">'توت المتقدمة'!J4</f>
        <v>46321</v>
      </c>
      <c r="K30" s="7" t="str">
        <f aca="false">'توت المتقدمة'!K4</f>
        <v>مسدد</v>
      </c>
    </row>
    <row r="31" customFormat="false" ht="15" hidden="false" customHeight="false" outlineLevel="0" collapsed="false">
      <c r="A31" s="7" t="n">
        <v>23</v>
      </c>
      <c r="B31" s="8" t="s">
        <v>41</v>
      </c>
      <c r="C31" s="7" t="n">
        <f aca="false">COUNTA(حمدان!D7:D1000)</f>
        <v>2</v>
      </c>
      <c r="D31" s="9" t="n">
        <f aca="false">حمدان!F4</f>
        <v>2300</v>
      </c>
      <c r="E31" s="9" t="n">
        <f aca="false">حمدان!G4</f>
        <v>2300</v>
      </c>
      <c r="F31" s="10" t="n">
        <f aca="false">حمدان!H4</f>
        <v>0</v>
      </c>
      <c r="G31" s="9" t="n">
        <f aca="false">حمدان!I4</f>
        <v>300</v>
      </c>
      <c r="H31" s="11" t="n">
        <f aca="false">حمدان!D4</f>
        <v>46304</v>
      </c>
      <c r="I31" s="11" t="n">
        <f aca="false">حمدان!E4</f>
        <v>46306</v>
      </c>
      <c r="J31" s="11" t="n">
        <f aca="false">حمدان!J4</f>
        <v>46306</v>
      </c>
      <c r="K31" s="7" t="str">
        <f aca="false">حمدان!K4</f>
        <v>مسدد</v>
      </c>
    </row>
    <row r="32" customFormat="false" ht="15" hidden="false" customHeight="false" outlineLevel="0" collapsed="false">
      <c r="B32" s="12" t="s">
        <v>42</v>
      </c>
      <c r="C32" s="13" t="n">
        <f aca="false">SUM(C9:C31)</f>
        <v>226</v>
      </c>
      <c r="D32" s="14" t="n">
        <f aca="false">SUM(D9:D31)</f>
        <v>325230.1</v>
      </c>
      <c r="E32" s="14" t="n">
        <f aca="false">SUM(E9:E31)</f>
        <v>227481.3</v>
      </c>
      <c r="F32" s="14" t="n">
        <f aca="false">SUM(F9:F31)</f>
        <v>97748.8</v>
      </c>
      <c r="G32" s="14" t="n">
        <f aca="false">SUM(G9:G31)</f>
        <v>40052.85</v>
      </c>
    </row>
  </sheetData>
  <autoFilter ref="A8:K31"/>
  <mergeCells count="2">
    <mergeCell ref="A1:K1"/>
    <mergeCell ref="A2:K2"/>
  </mergeCells>
  <conditionalFormatting sqref="K9:K31">
    <cfRule type="expression" priority="2" aboveAverage="0" equalAverage="0" bottom="0" percent="0" rank="0" text="" dxfId="9">
      <formula>K9="مستحق علينا"</formula>
    </cfRule>
    <cfRule type="expression" priority="3" aboveAverage="0" equalAverage="0" bottom="0" percent="0" rank="0" text="" dxfId="10">
      <formula>K9="مسدد"</formula>
    </cfRule>
  </conditionalFormatting>
  <conditionalFormatting sqref="F9:F31">
    <cfRule type="expression" priority="4" aboveAverage="0" equalAverage="0" bottom="0" percent="0" rank="0" text="" dxfId="11">
      <formula>F9&lt;0</formula>
    </cfRule>
  </conditionalFormatting>
  <hyperlinks>
    <hyperlink ref="B9" r:id="rId1" location="'المزارع%20المبدع'!A1" display="المزارع المبدع"/>
    <hyperlink ref="B10" r:id="rId2" location="'العلواني'!A1" display="العلواني"/>
    <hyperlink ref="B11" r:id="rId3" location="'رجب%20المصري'!A1" display="رجب المصري"/>
    <hyperlink ref="B12" r:id="rId4" location="'الجوهرة'!A1" display="الجوهرة"/>
    <hyperlink ref="B13" r:id="rId5" location="'جبار%20البيشي'!A1" display="جبار البيشي"/>
    <hyperlink ref="B14" r:id="rId6" location="'عزم%20الانجاز'!A1" display="عزم الإنجاز"/>
    <hyperlink ref="B15" r:id="rId7" location="'ثمار%20العالمي'!A1" display="ثمار العالمي"/>
    <hyperlink ref="B16" r:id="rId8" location="'عبدالرحمن%20قدري'!A1" display="عبدالرحمن قدري"/>
    <hyperlink ref="B17" r:id="rId9" location="'معتصم%20الحصباني'!A1" display="معتصم الحصباني"/>
    <hyperlink ref="B18" r:id="rId10" location="'عبر%20الاقليم'!A1" display="عبر الإقليم"/>
    <hyperlink ref="B19" r:id="rId11" location="'العجم'!A1" display="العجم"/>
    <hyperlink ref="B20" r:id="rId12" location="'البشري'!A1" display="البشري"/>
    <hyperlink ref="B21" r:id="rId13" location="'نجمة%20العالم'!A1" display="نجمة العالم"/>
    <hyperlink ref="B22" r:id="rId14" location="'الاغذية%20الطازجة'!A1" display="الأغذية الطازجة"/>
    <hyperlink ref="B23" r:id="rId15" location="'جوري%20فروت'!A1" display="جوري فروت"/>
    <hyperlink ref="B24" r:id="rId16" location="'جابر%20القرشي'!A1" display="جابر القرشي"/>
    <hyperlink ref="B25" r:id="rId17" location="'ثلاجة%20نخيل'!A1" display="ثلاجة نخيل"/>
    <hyperlink ref="B26" r:id="rId18" location="'اباصرة'!A1" display="اباصرة"/>
    <hyperlink ref="B27" r:id="rId19" location="'عبدالقادر'!A1" display="عبدالقادر"/>
    <hyperlink ref="B28" r:id="rId20" location="'نخبه%20الاغصان'!A1" display="نخبة الاغصان"/>
    <hyperlink ref="B29" r:id="rId21" location="'فصل%20الاعمال'!A1" display="فصل الاعمال"/>
    <hyperlink ref="B30" r:id="rId22" location="'توت%20المتقدمة'!A1" display="توت المتقدمة"/>
    <hyperlink ref="B31" r:id="rId23" location="'حمدان'!A1" display="حمدان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K23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1" min="10" style="0" width="13"/>
  </cols>
  <sheetData>
    <row r="1" customFormat="false" ht="17.35" hidden="false" customHeight="true" outlineLevel="0" collapsed="false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1.9" hidden="false" customHeight="false" outlineLevel="0" collapsed="false">
      <c r="A2" s="16" t="s">
        <v>44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15" hidden="false" customHeight="false" outlineLevel="0" collapsed="false">
      <c r="A3" s="6" t="s">
        <v>9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53</v>
      </c>
      <c r="K3" s="6" t="s">
        <v>54</v>
      </c>
    </row>
    <row r="4" customFormat="false" ht="15" hidden="false" customHeight="false" outlineLevel="0" collapsed="false">
      <c r="A4" s="17" t="s">
        <v>19</v>
      </c>
      <c r="B4" s="11" t="n">
        <f aca="false">'المزارع المبدع'!C7</f>
        <v>46296</v>
      </c>
      <c r="C4" s="17" t="str">
        <f aca="false">'المزارع المبدع'!D7</f>
        <v>حبحب</v>
      </c>
      <c r="D4" s="17" t="s">
        <v>55</v>
      </c>
      <c r="E4" s="7" t="s">
        <v>56</v>
      </c>
      <c r="F4" s="18" t="n">
        <f aca="false">IF('المزارع المبدع'!E7="","",'المزارع المبدع'!E7)</f>
        <v>2</v>
      </c>
      <c r="G4" s="19" t="n">
        <f aca="false">IF('المزارع المبدع'!F7="","",'المزارع المبدع'!F7)</f>
        <v>30</v>
      </c>
      <c r="H4" s="9" t="n">
        <f aca="false">IF(F4="","",ROUND(F4*G4,2))</f>
        <v>60</v>
      </c>
      <c r="I4" s="9" t="n">
        <f aca="false">IF(F4="","",ROUND(H4*IF(N('المزارع المبدع'!G7)&gt;1,'المزارع المبدع'!G7-1,0),2))</f>
        <v>0</v>
      </c>
      <c r="J4" s="9" t="n">
        <f aca="false">N('المزارع المبدع'!H7)</f>
        <v>0</v>
      </c>
      <c r="K4" s="9" t="n">
        <f aca="false">N('المزارع المبدع'!I7)</f>
        <v>60</v>
      </c>
    </row>
    <row r="5" customFormat="false" ht="15" hidden="false" customHeight="false" outlineLevel="0" collapsed="false">
      <c r="A5" s="17" t="s">
        <v>19</v>
      </c>
      <c r="B5" s="11" t="n">
        <f aca="false">'المزارع المبدع'!C8</f>
        <v>46297</v>
      </c>
      <c r="C5" s="17" t="str">
        <f aca="false">'المزارع المبدع'!D8</f>
        <v>سداد</v>
      </c>
      <c r="D5" s="17"/>
      <c r="E5" s="7" t="s">
        <v>57</v>
      </c>
      <c r="F5" s="7" t="str">
        <f aca="false">IF('المزارع المبدع'!E8="","",'المزارع المبدع'!E8)</f>
        <v/>
      </c>
      <c r="G5" s="19" t="str">
        <f aca="false">IF('المزارع المبدع'!F8="","",'المزارع المبدع'!F8)</f>
        <v/>
      </c>
      <c r="H5" s="9" t="str">
        <f aca="false">IF(F5="","",ROUND(F5*G5,2))</f>
        <v/>
      </c>
      <c r="I5" s="9" t="str">
        <f aca="false">IF(F5="","",ROUND(H5*IF(N('المزارع المبدع'!G8)&gt;1,'المزارع المبدع'!G8-1,0),2))</f>
        <v/>
      </c>
      <c r="J5" s="9" t="n">
        <f aca="false">N('المزارع المبدع'!H8)</f>
        <v>60</v>
      </c>
      <c r="K5" s="9" t="n">
        <f aca="false">N('المزارع المبدع'!I8)</f>
        <v>0</v>
      </c>
    </row>
    <row r="6" customFormat="false" ht="15" hidden="false" customHeight="false" outlineLevel="0" collapsed="false">
      <c r="A6" s="17" t="s">
        <v>20</v>
      </c>
      <c r="B6" s="11" t="n">
        <f aca="false">العلواني!C7</f>
        <v>46318</v>
      </c>
      <c r="C6" s="17" t="str">
        <f aca="false">العلواني!D7</f>
        <v>ليمون</v>
      </c>
      <c r="D6" s="17" t="s">
        <v>58</v>
      </c>
      <c r="E6" s="7" t="s">
        <v>59</v>
      </c>
      <c r="F6" s="18" t="n">
        <f aca="false">IF(العلواني!E7="","",العلواني!E7)</f>
        <v>70</v>
      </c>
      <c r="G6" s="19" t="n">
        <f aca="false">IF(العلواني!F7="","",العلواني!F7)</f>
        <v>45</v>
      </c>
      <c r="H6" s="9" t="n">
        <f aca="false">IF(F6="","",ROUND(F6*G6,2))</f>
        <v>3150</v>
      </c>
      <c r="I6" s="9" t="n">
        <f aca="false">IF(F6="","",ROUND(H6*IF(N(العلواني!G7)&gt;1,العلواني!G7-1,0),2))</f>
        <v>472.5</v>
      </c>
      <c r="J6" s="9" t="n">
        <f aca="false">N(العلواني!H7)</f>
        <v>3622.5</v>
      </c>
      <c r="K6" s="9" t="n">
        <f aca="false">N(العلواني!I7)</f>
        <v>0</v>
      </c>
    </row>
    <row r="7" customFormat="false" ht="15" hidden="false" customHeight="false" outlineLevel="0" collapsed="false">
      <c r="A7" s="17" t="s">
        <v>20</v>
      </c>
      <c r="B7" s="11" t="n">
        <f aca="false">العلواني!C8</f>
        <v>46324</v>
      </c>
      <c r="C7" s="17" t="str">
        <f aca="false">العلواني!D8</f>
        <v>سداد سند/76204</v>
      </c>
      <c r="D7" s="17"/>
      <c r="E7" s="7" t="s">
        <v>57</v>
      </c>
      <c r="F7" s="7" t="str">
        <f aca="false">IF(العلواني!E8="","",العلواني!E8)</f>
        <v/>
      </c>
      <c r="G7" s="19" t="str">
        <f aca="false">IF(العلواني!F8="","",العلواني!F8)</f>
        <v/>
      </c>
      <c r="H7" s="9" t="str">
        <f aca="false">IF(F7="","",ROUND(F7*G7,2))</f>
        <v/>
      </c>
      <c r="I7" s="9" t="str">
        <f aca="false">IF(F7="","",ROUND(H7*IF(N(العلواني!G8)&gt;1,العلواني!G8-1,0),2))</f>
        <v/>
      </c>
      <c r="J7" s="9" t="n">
        <f aca="false">N(العلواني!H8)</f>
        <v>0</v>
      </c>
      <c r="K7" s="9" t="n">
        <f aca="false">N(العلواني!I8)</f>
        <v>2000</v>
      </c>
    </row>
    <row r="8" customFormat="false" ht="15" hidden="false" customHeight="false" outlineLevel="0" collapsed="false">
      <c r="A8" s="17" t="s">
        <v>21</v>
      </c>
      <c r="B8" s="11" t="n">
        <f aca="false">'رجب المصري'!C7</f>
        <v>46324</v>
      </c>
      <c r="C8" s="17" t="str">
        <f aca="false">'رجب المصري'!D7</f>
        <v>عنب تركي</v>
      </c>
      <c r="D8" s="17" t="s">
        <v>60</v>
      </c>
      <c r="E8" s="7" t="s">
        <v>59</v>
      </c>
      <c r="F8" s="18" t="n">
        <f aca="false">IF('رجب المصري'!E7="","",'رجب المصري'!E7)</f>
        <v>53</v>
      </c>
      <c r="G8" s="19" t="n">
        <f aca="false">IF('رجب المصري'!F7="","",'رجب المصري'!F7)</f>
        <v>50</v>
      </c>
      <c r="H8" s="9" t="n">
        <f aca="false">IF(F8="","",ROUND(F8*G8,2))</f>
        <v>2650</v>
      </c>
      <c r="I8" s="9" t="n">
        <f aca="false">IF(F8="","",ROUND(H8*IF(N('رجب المصري'!G7)&gt;1,'رجب المصري'!G7-1,0),2))</f>
        <v>397.5</v>
      </c>
      <c r="J8" s="9" t="n">
        <f aca="false">N('رجب المصري'!H7)</f>
        <v>3047.5</v>
      </c>
      <c r="K8" s="9" t="n">
        <f aca="false">N('رجب المصري'!I7)</f>
        <v>0</v>
      </c>
    </row>
    <row r="9" customFormat="false" ht="15" hidden="false" customHeight="false" outlineLevel="0" collapsed="false">
      <c r="A9" s="17" t="s">
        <v>22</v>
      </c>
      <c r="B9" s="11" t="n">
        <f aca="false">الجوهرة!C7</f>
        <v>46318</v>
      </c>
      <c r="C9" s="17" t="str">
        <f aca="false">الجوهرة!D7</f>
        <v>برتقال عصير</v>
      </c>
      <c r="D9" s="17" t="s">
        <v>61</v>
      </c>
      <c r="E9" s="7" t="s">
        <v>59</v>
      </c>
      <c r="F9" s="18" t="n">
        <f aca="false">IF(الجوهرة!E7="","",الجوهرة!E7)</f>
        <v>79</v>
      </c>
      <c r="G9" s="19" t="n">
        <f aca="false">IF(الجوهرة!F7="","",الجوهرة!F7)</f>
        <v>85</v>
      </c>
      <c r="H9" s="9" t="n">
        <f aca="false">IF(F9="","",ROUND(F9*G9,2))</f>
        <v>6715</v>
      </c>
      <c r="I9" s="9" t="n">
        <f aca="false">IF(F9="","",ROUND(H9*IF(N(الجوهرة!G7)&gt;1,الجوهرة!G7-1,0),2))</f>
        <v>1007.25</v>
      </c>
      <c r="J9" s="9" t="n">
        <f aca="false">N(الجوهرة!H7)</f>
        <v>7722.25</v>
      </c>
      <c r="K9" s="9" t="n">
        <f aca="false">N(الجوهرة!I7)</f>
        <v>0</v>
      </c>
    </row>
    <row r="10" customFormat="false" ht="15" hidden="false" customHeight="false" outlineLevel="0" collapsed="false">
      <c r="A10" s="17" t="s">
        <v>22</v>
      </c>
      <c r="B10" s="11" t="n">
        <f aca="false">الجوهرة!C8</f>
        <v>46319</v>
      </c>
      <c r="C10" s="17" t="str">
        <f aca="false">الجوهرة!D8</f>
        <v>سداد سند/19041</v>
      </c>
      <c r="D10" s="17"/>
      <c r="E10" s="7" t="s">
        <v>57</v>
      </c>
      <c r="F10" s="7" t="str">
        <f aca="false">IF(الجوهرة!E8="","",الجوهرة!E8)</f>
        <v/>
      </c>
      <c r="G10" s="19" t="str">
        <f aca="false">IF(الجوهرة!F8="","",الجوهرة!F8)</f>
        <v/>
      </c>
      <c r="H10" s="9" t="str">
        <f aca="false">IF(F10="","",ROUND(F10*G10,2))</f>
        <v/>
      </c>
      <c r="I10" s="9" t="str">
        <f aca="false">IF(F10="","",ROUND(H10*IF(N(الجوهرة!G8)&gt;1,الجوهرة!G8-1,0),2))</f>
        <v/>
      </c>
      <c r="J10" s="9" t="n">
        <f aca="false">N(الجوهرة!H8)</f>
        <v>0</v>
      </c>
      <c r="K10" s="9" t="n">
        <f aca="false">N(الجوهرة!I8)</f>
        <v>1000</v>
      </c>
    </row>
    <row r="11" customFormat="false" ht="15" hidden="false" customHeight="false" outlineLevel="0" collapsed="false">
      <c r="A11" s="17" t="s">
        <v>22</v>
      </c>
      <c r="B11" s="11" t="n">
        <f aca="false">الجوهرة!C9</f>
        <v>46321</v>
      </c>
      <c r="C11" s="17" t="str">
        <f aca="false">الجوهرة!D9</f>
        <v>سداد سند/19096</v>
      </c>
      <c r="D11" s="17"/>
      <c r="E11" s="7" t="s">
        <v>57</v>
      </c>
      <c r="F11" s="7" t="str">
        <f aca="false">IF(الجوهرة!E9="","",الجوهرة!E9)</f>
        <v/>
      </c>
      <c r="G11" s="19" t="str">
        <f aca="false">IF(الجوهرة!F9="","",الجوهرة!F9)</f>
        <v/>
      </c>
      <c r="H11" s="9" t="str">
        <f aca="false">IF(F11="","",ROUND(F11*G11,2))</f>
        <v/>
      </c>
      <c r="I11" s="9" t="str">
        <f aca="false">IF(F11="","",ROUND(H11*IF(N(الجوهرة!G9)&gt;1,الجوهرة!G9-1,0),2))</f>
        <v/>
      </c>
      <c r="J11" s="9" t="n">
        <f aca="false">N(الجوهرة!H9)</f>
        <v>0</v>
      </c>
      <c r="K11" s="9" t="n">
        <f aca="false">N(الجوهرة!I9)</f>
        <v>1000</v>
      </c>
    </row>
    <row r="12" customFormat="false" ht="15" hidden="false" customHeight="false" outlineLevel="0" collapsed="false">
      <c r="A12" s="17" t="s">
        <v>22</v>
      </c>
      <c r="B12" s="11" t="n">
        <f aca="false">الجوهرة!C10</f>
        <v>46323</v>
      </c>
      <c r="C12" s="17" t="str">
        <f aca="false">الجوهرة!D10</f>
        <v>سداد سند/19147</v>
      </c>
      <c r="D12" s="17"/>
      <c r="E12" s="7" t="s">
        <v>57</v>
      </c>
      <c r="F12" s="7" t="str">
        <f aca="false">IF(الجوهرة!E10="","",الجوهرة!E10)</f>
        <v/>
      </c>
      <c r="G12" s="19" t="str">
        <f aca="false">IF(الجوهرة!F10="","",الجوهرة!F10)</f>
        <v/>
      </c>
      <c r="H12" s="9" t="str">
        <f aca="false">IF(F12="","",ROUND(F12*G12,2))</f>
        <v/>
      </c>
      <c r="I12" s="9" t="str">
        <f aca="false">IF(F12="","",ROUND(H12*IF(N(الجوهرة!G10)&gt;1,الجوهرة!G10-1,0),2))</f>
        <v/>
      </c>
      <c r="J12" s="9" t="n">
        <f aca="false">N(الجوهرة!H10)</f>
        <v>0</v>
      </c>
      <c r="K12" s="9" t="n">
        <f aca="false">N(الجوهرة!I10)</f>
        <v>2000</v>
      </c>
    </row>
    <row r="13" customFormat="false" ht="15" hidden="false" customHeight="false" outlineLevel="0" collapsed="false">
      <c r="A13" s="17" t="s">
        <v>22</v>
      </c>
      <c r="B13" s="11" t="n">
        <f aca="false">الجوهرة!C11</f>
        <v>46324</v>
      </c>
      <c r="C13" s="17" t="str">
        <f aca="false">الجوهرة!D11</f>
        <v>كيوي</v>
      </c>
      <c r="D13" s="17" t="s">
        <v>62</v>
      </c>
      <c r="E13" s="7" t="s">
        <v>59</v>
      </c>
      <c r="F13" s="18" t="n">
        <f aca="false">IF(الجوهرة!E11="","",الجوهرة!E11)</f>
        <v>96</v>
      </c>
      <c r="G13" s="19" t="n">
        <f aca="false">IF(الجوهرة!F11="","",الجوهرة!F11)</f>
        <v>33</v>
      </c>
      <c r="H13" s="9" t="n">
        <f aca="false">IF(F13="","",ROUND(F13*G13,2))</f>
        <v>3168</v>
      </c>
      <c r="I13" s="9" t="n">
        <f aca="false">IF(F13="","",ROUND(H13*IF(N(الجوهرة!G11)&gt;1,الجوهرة!G11-1,0),2))</f>
        <v>475.2</v>
      </c>
      <c r="J13" s="9" t="n">
        <f aca="false">N(الجوهرة!H11)</f>
        <v>3643.2</v>
      </c>
      <c r="K13" s="9" t="n">
        <f aca="false">N(الجوهرة!I11)</f>
        <v>0</v>
      </c>
    </row>
    <row r="14" customFormat="false" ht="15" hidden="false" customHeight="false" outlineLevel="0" collapsed="false">
      <c r="A14" s="17" t="s">
        <v>22</v>
      </c>
      <c r="B14" s="11" t="n">
        <f aca="false">الجوهرة!C12</f>
        <v>46325</v>
      </c>
      <c r="C14" s="17" t="str">
        <f aca="false">الجوهرة!D12</f>
        <v>سداد سند/19203</v>
      </c>
      <c r="D14" s="17"/>
      <c r="E14" s="7" t="s">
        <v>57</v>
      </c>
      <c r="F14" s="7" t="str">
        <f aca="false">IF(الجوهرة!E12="","",الجوهرة!E12)</f>
        <v/>
      </c>
      <c r="G14" s="19" t="str">
        <f aca="false">IF(الجوهرة!F12="","",الجوهرة!F12)</f>
        <v/>
      </c>
      <c r="H14" s="9" t="str">
        <f aca="false">IF(F14="","",ROUND(F14*G14,2))</f>
        <v/>
      </c>
      <c r="I14" s="9" t="str">
        <f aca="false">IF(F14="","",ROUND(H14*IF(N(الجوهرة!G12)&gt;1,الجوهرة!G12-1,0),2))</f>
        <v/>
      </c>
      <c r="J14" s="9" t="n">
        <f aca="false">N(الجوهرة!H12)</f>
        <v>0</v>
      </c>
      <c r="K14" s="9" t="n">
        <f aca="false">N(الجوهرة!I12)</f>
        <v>2000</v>
      </c>
    </row>
    <row r="15" customFormat="false" ht="15" hidden="false" customHeight="false" outlineLevel="0" collapsed="false">
      <c r="A15" s="17" t="s">
        <v>23</v>
      </c>
      <c r="B15" s="11" t="n">
        <f aca="false">'جبار البيشي'!C7</f>
        <v>46297</v>
      </c>
      <c r="C15" s="17" t="str">
        <f aca="false">'جبار البيشي'!D7</f>
        <v>فراولة</v>
      </c>
      <c r="D15" s="17" t="s">
        <v>63</v>
      </c>
      <c r="E15" s="7" t="s">
        <v>59</v>
      </c>
      <c r="F15" s="18" t="n">
        <f aca="false">IF('جبار البيشي'!E7="","",'جبار البيشي'!E7)</f>
        <v>60</v>
      </c>
      <c r="G15" s="19" t="n">
        <f aca="false">IF('جبار البيشي'!F7="","",'جبار البيشي'!F7)</f>
        <v>85</v>
      </c>
      <c r="H15" s="9" t="n">
        <f aca="false">IF(F15="","",ROUND(F15*G15,2))</f>
        <v>5100</v>
      </c>
      <c r="I15" s="9" t="n">
        <f aca="false">IF(F15="","",ROUND(H15*IF(N('جبار البيشي'!G7)&gt;1,'جبار البيشي'!G7-1,0),2))</f>
        <v>765</v>
      </c>
      <c r="J15" s="9" t="n">
        <f aca="false">N('جبار البيشي'!H7)</f>
        <v>5865</v>
      </c>
      <c r="K15" s="9" t="n">
        <f aca="false">N('جبار البيشي'!I7)</f>
        <v>0</v>
      </c>
    </row>
    <row r="16" customFormat="false" ht="15" hidden="false" customHeight="false" outlineLevel="0" collapsed="false">
      <c r="A16" s="17" t="s">
        <v>23</v>
      </c>
      <c r="B16" s="11" t="n">
        <f aca="false">'جبار البيشي'!C8</f>
        <v>46298</v>
      </c>
      <c r="C16" s="17" t="str">
        <f aca="false">'جبار البيشي'!D8</f>
        <v>بخارة تركي</v>
      </c>
      <c r="D16" s="17" t="s">
        <v>64</v>
      </c>
      <c r="E16" s="7" t="s">
        <v>59</v>
      </c>
      <c r="F16" s="18" t="n">
        <f aca="false">IF('جبار البيشي'!E8="","",'جبار البيشي'!E8)</f>
        <v>295</v>
      </c>
      <c r="G16" s="19" t="n">
        <f aca="false">IF('جبار البيشي'!F8="","",'جبار البيشي'!F8)</f>
        <v>20</v>
      </c>
      <c r="H16" s="9" t="n">
        <f aca="false">IF(F16="","",ROUND(F16*G16,2))</f>
        <v>5900</v>
      </c>
      <c r="I16" s="9" t="n">
        <f aca="false">IF(F16="","",ROUND(H16*IF(N('جبار البيشي'!G8)&gt;1,'جبار البيشي'!G8-1,0),2))</f>
        <v>885</v>
      </c>
      <c r="J16" s="9" t="n">
        <f aca="false">N('جبار البيشي'!H8)</f>
        <v>6785</v>
      </c>
      <c r="K16" s="9" t="n">
        <f aca="false">N('جبار البيشي'!I8)</f>
        <v>0</v>
      </c>
    </row>
    <row r="17" customFormat="false" ht="15" hidden="false" customHeight="false" outlineLevel="0" collapsed="false">
      <c r="A17" s="17" t="s">
        <v>23</v>
      </c>
      <c r="B17" s="11" t="n">
        <f aca="false">'جبار البيشي'!C9</f>
        <v>46298</v>
      </c>
      <c r="C17" s="17" t="str">
        <f aca="false">'جبار البيشي'!D9</f>
        <v>فراولة</v>
      </c>
      <c r="D17" s="17" t="s">
        <v>63</v>
      </c>
      <c r="E17" s="7" t="s">
        <v>59</v>
      </c>
      <c r="F17" s="18" t="n">
        <f aca="false">IF('جبار البيشي'!E9="","",'جبار البيشي'!E9)</f>
        <v>33</v>
      </c>
      <c r="G17" s="19" t="n">
        <f aca="false">IF('جبار البيشي'!F9="","",'جبار البيشي'!F9)</f>
        <v>80</v>
      </c>
      <c r="H17" s="9" t="n">
        <f aca="false">IF(F17="","",ROUND(F17*G17,2))</f>
        <v>2640</v>
      </c>
      <c r="I17" s="9" t="n">
        <f aca="false">IF(F17="","",ROUND(H17*IF(N('جبار البيشي'!G9)&gt;1,'جبار البيشي'!G9-1,0),2))</f>
        <v>396</v>
      </c>
      <c r="J17" s="9" t="n">
        <f aca="false">N('جبار البيشي'!H9)</f>
        <v>3036</v>
      </c>
      <c r="K17" s="9" t="n">
        <f aca="false">N('جبار البيشي'!I9)</f>
        <v>0</v>
      </c>
    </row>
    <row r="18" customFormat="false" ht="15" hidden="false" customHeight="false" outlineLevel="0" collapsed="false">
      <c r="A18" s="17" t="s">
        <v>23</v>
      </c>
      <c r="B18" s="11" t="n">
        <f aca="false">'جبار البيشي'!C10</f>
        <v>46299</v>
      </c>
      <c r="C18" s="17" t="str">
        <f aca="false">'جبار البيشي'!D10</f>
        <v>سداد حوالة مجني</v>
      </c>
      <c r="D18" s="17"/>
      <c r="E18" s="7" t="s">
        <v>65</v>
      </c>
      <c r="F18" s="7" t="str">
        <f aca="false">IF('جبار البيشي'!E10="","",'جبار البيشي'!E10)</f>
        <v/>
      </c>
      <c r="G18" s="19" t="str">
        <f aca="false">IF('جبار البيشي'!F10="","",'جبار البيشي'!F10)</f>
        <v/>
      </c>
      <c r="H18" s="9" t="str">
        <f aca="false">IF(F18="","",ROUND(F18*G18,2))</f>
        <v/>
      </c>
      <c r="I18" s="9" t="str">
        <f aca="false">IF(F18="","",ROUND(H18*IF(N('جبار البيشي'!G10)&gt;1,'جبار البيشي'!G10-1,0),2))</f>
        <v/>
      </c>
      <c r="J18" s="9" t="n">
        <f aca="false">N('جبار البيشي'!H10)</f>
        <v>0</v>
      </c>
      <c r="K18" s="9" t="n">
        <f aca="false">N('جبار البيشي'!I10)</f>
        <v>4508</v>
      </c>
    </row>
    <row r="19" customFormat="false" ht="15" hidden="false" customHeight="false" outlineLevel="0" collapsed="false">
      <c r="A19" s="17" t="s">
        <v>23</v>
      </c>
      <c r="B19" s="11" t="n">
        <f aca="false">'جبار البيشي'!C11</f>
        <v>46299</v>
      </c>
      <c r="C19" s="17" t="str">
        <f aca="false">'جبار البيشي'!D11</f>
        <v>سداد حوالة مصنع امداد</v>
      </c>
      <c r="D19" s="17"/>
      <c r="E19" s="7" t="s">
        <v>65</v>
      </c>
      <c r="F19" s="7" t="str">
        <f aca="false">IF('جبار البيشي'!E11="","",'جبار البيشي'!E11)</f>
        <v/>
      </c>
      <c r="G19" s="19" t="str">
        <f aca="false">IF('جبار البيشي'!F11="","",'جبار البيشي'!F11)</f>
        <v/>
      </c>
      <c r="H19" s="9" t="str">
        <f aca="false">IF(F19="","",ROUND(F19*G19,2))</f>
        <v/>
      </c>
      <c r="I19" s="9" t="str">
        <f aca="false">IF(F19="","",ROUND(H19*IF(N('جبار البيشي'!G11)&gt;1,'جبار البيشي'!G11-1,0),2))</f>
        <v/>
      </c>
      <c r="J19" s="9" t="n">
        <f aca="false">N('جبار البيشي'!H11)</f>
        <v>0</v>
      </c>
      <c r="K19" s="9" t="n">
        <f aca="false">N('جبار البيشي'!I11)</f>
        <v>362.25</v>
      </c>
    </row>
    <row r="20" customFormat="false" ht="15" hidden="false" customHeight="false" outlineLevel="0" collapsed="false">
      <c r="A20" s="17" t="s">
        <v>23</v>
      </c>
      <c r="B20" s="11" t="n">
        <f aca="false">'جبار البيشي'!C12</f>
        <v>46300</v>
      </c>
      <c r="C20" s="17" t="str">
        <f aca="false">'جبار البيشي'!D12</f>
        <v>سداد فاتورة مصنع امداد افوكادو مقاصه</v>
      </c>
      <c r="D20" s="17"/>
      <c r="E20" s="7" t="s">
        <v>66</v>
      </c>
      <c r="F20" s="7" t="str">
        <f aca="false">IF('جبار البيشي'!E12="","",'جبار البيشي'!E12)</f>
        <v/>
      </c>
      <c r="G20" s="19" t="str">
        <f aca="false">IF('جبار البيشي'!F12="","",'جبار البيشي'!F12)</f>
        <v/>
      </c>
      <c r="H20" s="9" t="str">
        <f aca="false">IF(F20="","",ROUND(F20*G20,2))</f>
        <v/>
      </c>
      <c r="I20" s="9" t="str">
        <f aca="false">IF(F20="","",ROUND(H20*IF(N('جبار البيشي'!G12)&gt;1,'جبار البيشي'!G12-1,0),2))</f>
        <v/>
      </c>
      <c r="J20" s="9" t="n">
        <f aca="false">N('جبار البيشي'!H12)</f>
        <v>0</v>
      </c>
      <c r="K20" s="9" t="n">
        <f aca="false">N('جبار البيشي'!I12)</f>
        <v>770.5</v>
      </c>
    </row>
    <row r="21" customFormat="false" ht="15" hidden="false" customHeight="false" outlineLevel="0" collapsed="false">
      <c r="A21" s="17" t="s">
        <v>23</v>
      </c>
      <c r="B21" s="11" t="n">
        <f aca="false">'جبار البيشي'!C13</f>
        <v>46301</v>
      </c>
      <c r="C21" s="17" t="str">
        <f aca="false">'جبار البيشي'!D13</f>
        <v>رمان وسط</v>
      </c>
      <c r="D21" s="17" t="s">
        <v>67</v>
      </c>
      <c r="E21" s="7" t="s">
        <v>59</v>
      </c>
      <c r="F21" s="18" t="n">
        <f aca="false">IF('جبار البيشي'!E13="","",'جبار البيشي'!E13)</f>
        <v>215</v>
      </c>
      <c r="G21" s="19" t="n">
        <f aca="false">IF('جبار البيشي'!F13="","",'جبار البيشي'!F13)</f>
        <v>16</v>
      </c>
      <c r="H21" s="9" t="n">
        <f aca="false">IF(F21="","",ROUND(F21*G21,2))</f>
        <v>3440</v>
      </c>
      <c r="I21" s="9" t="n">
        <f aca="false">IF(F21="","",ROUND(H21*IF(N('جبار البيشي'!G13)&gt;1,'جبار البيشي'!G13-1,0),2))</f>
        <v>516</v>
      </c>
      <c r="J21" s="9" t="n">
        <f aca="false">N('جبار البيشي'!H13)</f>
        <v>3956</v>
      </c>
      <c r="K21" s="9" t="n">
        <f aca="false">N('جبار البيشي'!I13)</f>
        <v>0</v>
      </c>
    </row>
    <row r="22" customFormat="false" ht="15" hidden="false" customHeight="false" outlineLevel="0" collapsed="false">
      <c r="A22" s="17" t="s">
        <v>23</v>
      </c>
      <c r="B22" s="11" t="n">
        <f aca="false">'جبار البيشي'!C14</f>
        <v>46301</v>
      </c>
      <c r="C22" s="17" t="str">
        <f aca="false">'جبار البيشي'!D14</f>
        <v>نكتارين</v>
      </c>
      <c r="D22" s="17" t="s">
        <v>68</v>
      </c>
      <c r="E22" s="7" t="s">
        <v>59</v>
      </c>
      <c r="F22" s="18" t="n">
        <f aca="false">IF('جبار البيشي'!E14="","",'جبار البيشي'!E14)</f>
        <v>9</v>
      </c>
      <c r="G22" s="19" t="n">
        <f aca="false">IF('جبار البيشي'!F14="","",'جبار البيشي'!F14)</f>
        <v>11</v>
      </c>
      <c r="H22" s="9" t="n">
        <f aca="false">IF(F22="","",ROUND(F22*G22,2))</f>
        <v>99</v>
      </c>
      <c r="I22" s="9" t="n">
        <f aca="false">IF(F22="","",ROUND(H22*IF(N('جبار البيشي'!G14)&gt;1,'جبار البيشي'!G14-1,0),2))</f>
        <v>14.85</v>
      </c>
      <c r="J22" s="9" t="n">
        <f aca="false">N('جبار البيشي'!H14)</f>
        <v>113.85</v>
      </c>
      <c r="K22" s="9" t="n">
        <f aca="false">N('جبار البيشي'!I14)</f>
        <v>0</v>
      </c>
    </row>
    <row r="23" customFormat="false" ht="15" hidden="false" customHeight="false" outlineLevel="0" collapsed="false">
      <c r="A23" s="17" t="s">
        <v>23</v>
      </c>
      <c r="B23" s="11" t="n">
        <f aca="false">'جبار البيشي'!C15</f>
        <v>46301</v>
      </c>
      <c r="C23" s="17" t="str">
        <f aca="false">'جبار البيشي'!D15</f>
        <v>سداد مقاصه مع فاتورة أبو عجاج رمان</v>
      </c>
      <c r="D23" s="17"/>
      <c r="E23" s="7" t="s">
        <v>66</v>
      </c>
      <c r="F23" s="7" t="str">
        <f aca="false">IF('جبار البيشي'!E15="","",'جبار البيشي'!E15)</f>
        <v/>
      </c>
      <c r="G23" s="19" t="str">
        <f aca="false">IF('جبار البيشي'!F15="","",'جبار البيشي'!F15)</f>
        <v/>
      </c>
      <c r="H23" s="9" t="str">
        <f aca="false">IF(F23="","",ROUND(F23*G23,2))</f>
        <v/>
      </c>
      <c r="I23" s="9" t="str">
        <f aca="false">IF(F23="","",ROUND(H23*IF(N('جبار البيشي'!G15)&gt;1,'جبار البيشي'!G15-1,0),2))</f>
        <v/>
      </c>
      <c r="J23" s="9" t="n">
        <f aca="false">N('جبار البيشي'!H15)</f>
        <v>0</v>
      </c>
      <c r="K23" s="9" t="n">
        <f aca="false">N('جبار البيشي'!I15)</f>
        <v>4048</v>
      </c>
    </row>
    <row r="24" customFormat="false" ht="15" hidden="false" customHeight="false" outlineLevel="0" collapsed="false">
      <c r="A24" s="17" t="s">
        <v>23</v>
      </c>
      <c r="B24" s="11" t="n">
        <f aca="false">'جبار البيشي'!C16</f>
        <v>46302</v>
      </c>
      <c r="C24" s="17" t="str">
        <f aca="false">'جبار البيشي'!D16</f>
        <v>نكتارين</v>
      </c>
      <c r="D24" s="17" t="s">
        <v>68</v>
      </c>
      <c r="E24" s="7" t="s">
        <v>59</v>
      </c>
      <c r="F24" s="18" t="n">
        <f aca="false">IF('جبار البيشي'!E16="","",'جبار البيشي'!E16)</f>
        <v>26</v>
      </c>
      <c r="G24" s="19" t="n">
        <f aca="false">IF('جبار البيشي'!F16="","",'جبار البيشي'!F16)</f>
        <v>11</v>
      </c>
      <c r="H24" s="9" t="n">
        <f aca="false">IF(F24="","",ROUND(F24*G24,2))</f>
        <v>286</v>
      </c>
      <c r="I24" s="9" t="n">
        <f aca="false">IF(F24="","",ROUND(H24*IF(N('جبار البيشي'!G16)&gt;1,'جبار البيشي'!G16-1,0),2))</f>
        <v>42.9</v>
      </c>
      <c r="J24" s="9" t="n">
        <f aca="false">N('جبار البيشي'!H16)</f>
        <v>328.9</v>
      </c>
      <c r="K24" s="9" t="n">
        <f aca="false">N('جبار البيشي'!I16)</f>
        <v>0</v>
      </c>
    </row>
    <row r="25" customFormat="false" ht="15" hidden="false" customHeight="false" outlineLevel="0" collapsed="false">
      <c r="A25" s="17" t="s">
        <v>23</v>
      </c>
      <c r="B25" s="11" t="n">
        <f aca="false">'جبار البيشي'!C17</f>
        <v>46303</v>
      </c>
      <c r="C25" s="17" t="str">
        <f aca="false">'جبار البيشي'!D17</f>
        <v>فراولة</v>
      </c>
      <c r="D25" s="17" t="s">
        <v>63</v>
      </c>
      <c r="E25" s="7" t="s">
        <v>59</v>
      </c>
      <c r="F25" s="18" t="n">
        <f aca="false">IF('جبار البيشي'!E17="","",'جبار البيشي'!E17)</f>
        <v>80</v>
      </c>
      <c r="G25" s="19" t="n">
        <f aca="false">IF('جبار البيشي'!F17="","",'جبار البيشي'!F17)</f>
        <v>95</v>
      </c>
      <c r="H25" s="9" t="n">
        <f aca="false">IF(F25="","",ROUND(F25*G25,2))</f>
        <v>7600</v>
      </c>
      <c r="I25" s="9" t="n">
        <f aca="false">IF(F25="","",ROUND(H25*IF(N('جبار البيشي'!G17)&gt;1,'جبار البيشي'!G17-1,0),2))</f>
        <v>1140</v>
      </c>
      <c r="J25" s="9" t="n">
        <f aca="false">N('جبار البيشي'!H17)</f>
        <v>8740</v>
      </c>
      <c r="K25" s="9" t="n">
        <f aca="false">N('جبار البيشي'!I17)</f>
        <v>0</v>
      </c>
    </row>
    <row r="26" customFormat="false" ht="15" hidden="false" customHeight="false" outlineLevel="0" collapsed="false">
      <c r="A26" s="17" t="s">
        <v>23</v>
      </c>
      <c r="B26" s="11" t="n">
        <f aca="false">'جبار البيشي'!C18</f>
        <v>46304</v>
      </c>
      <c r="C26" s="17" t="str">
        <f aca="false">'جبار البيشي'!D18</f>
        <v>رمان وسط</v>
      </c>
      <c r="D26" s="17" t="s">
        <v>67</v>
      </c>
      <c r="E26" s="7" t="s">
        <v>59</v>
      </c>
      <c r="F26" s="18" t="n">
        <f aca="false">IF('جبار البيشي'!E18="","",'جبار البيشي'!E18)</f>
        <v>220</v>
      </c>
      <c r="G26" s="19" t="n">
        <f aca="false">IF('جبار البيشي'!F18="","",'جبار البيشي'!F18)</f>
        <v>15</v>
      </c>
      <c r="H26" s="9" t="n">
        <f aca="false">IF(F26="","",ROUND(F26*G26,2))</f>
        <v>3300</v>
      </c>
      <c r="I26" s="9" t="n">
        <f aca="false">IF(F26="","",ROUND(H26*IF(N('جبار البيشي'!G18)&gt;1,'جبار البيشي'!G18-1,0),2))</f>
        <v>495</v>
      </c>
      <c r="J26" s="9" t="n">
        <f aca="false">N('جبار البيشي'!H18)</f>
        <v>3795</v>
      </c>
      <c r="K26" s="9" t="n">
        <f aca="false">N('جبار البيشي'!I18)</f>
        <v>0</v>
      </c>
    </row>
    <row r="27" customFormat="false" ht="15" hidden="false" customHeight="false" outlineLevel="0" collapsed="false">
      <c r="A27" s="17" t="s">
        <v>23</v>
      </c>
      <c r="B27" s="11" t="n">
        <f aca="false">'جبار البيشي'!C19</f>
        <v>46304</v>
      </c>
      <c r="C27" s="17" t="str">
        <f aca="false">'جبار البيشي'!D19</f>
        <v>فراولة</v>
      </c>
      <c r="D27" s="17" t="s">
        <v>63</v>
      </c>
      <c r="E27" s="7" t="s">
        <v>59</v>
      </c>
      <c r="F27" s="18" t="n">
        <f aca="false">IF('جبار البيشي'!E19="","",'جبار البيشي'!E19)</f>
        <v>74</v>
      </c>
      <c r="G27" s="19" t="n">
        <f aca="false">IF('جبار البيشي'!F19="","",'جبار البيشي'!F19)</f>
        <v>100</v>
      </c>
      <c r="H27" s="9" t="n">
        <f aca="false">IF(F27="","",ROUND(F27*G27,2))</f>
        <v>7400</v>
      </c>
      <c r="I27" s="9" t="n">
        <f aca="false">IF(F27="","",ROUND(H27*IF(N('جبار البيشي'!G19)&gt;1,'جبار البيشي'!G19-1,0),2))</f>
        <v>1110</v>
      </c>
      <c r="J27" s="9" t="n">
        <f aca="false">N('جبار البيشي'!H19)</f>
        <v>8510</v>
      </c>
      <c r="K27" s="9" t="n">
        <f aca="false">N('جبار البيشي'!I19)</f>
        <v>0</v>
      </c>
    </row>
    <row r="28" customFormat="false" ht="15" hidden="false" customHeight="false" outlineLevel="0" collapsed="false">
      <c r="A28" s="17" t="s">
        <v>23</v>
      </c>
      <c r="B28" s="11" t="n">
        <f aca="false">'جبار البيشي'!C20</f>
        <v>46304</v>
      </c>
      <c r="C28" s="17" t="str">
        <f aca="false">'جبار البيشي'!D20</f>
        <v>ليمون تركي</v>
      </c>
      <c r="D28" s="17" t="s">
        <v>58</v>
      </c>
      <c r="E28" s="7" t="s">
        <v>59</v>
      </c>
      <c r="F28" s="18" t="n">
        <f aca="false">IF('جبار البيشي'!E20="","",'جبار البيشي'!E20)</f>
        <v>100</v>
      </c>
      <c r="G28" s="19" t="n">
        <f aca="false">IF('جبار البيشي'!F20="","",'جبار البيشي'!F20)</f>
        <v>30</v>
      </c>
      <c r="H28" s="9" t="n">
        <f aca="false">IF(F28="","",ROUND(F28*G28,2))</f>
        <v>3000</v>
      </c>
      <c r="I28" s="9" t="n">
        <f aca="false">IF(F28="","",ROUND(H28*IF(N('جبار البيشي'!G20)&gt;1,'جبار البيشي'!G20-1,0),2))</f>
        <v>450</v>
      </c>
      <c r="J28" s="9" t="n">
        <f aca="false">N('جبار البيشي'!H20)</f>
        <v>3450</v>
      </c>
      <c r="K28" s="9" t="n">
        <f aca="false">N('جبار البيشي'!I20)</f>
        <v>0</v>
      </c>
    </row>
    <row r="29" customFormat="false" ht="15" hidden="false" customHeight="false" outlineLevel="0" collapsed="false">
      <c r="A29" s="17" t="s">
        <v>23</v>
      </c>
      <c r="B29" s="11" t="n">
        <f aca="false">'جبار البيشي'!C21</f>
        <v>46304</v>
      </c>
      <c r="C29" s="17" t="str">
        <f aca="false">'جبار البيشي'!D21</f>
        <v>مقاصه مع صادق مكه</v>
      </c>
      <c r="D29" s="17"/>
      <c r="E29" s="7" t="s">
        <v>66</v>
      </c>
      <c r="F29" s="7" t="str">
        <f aca="false">IF('جبار البيشي'!E21="","",'جبار البيشي'!E21)</f>
        <v/>
      </c>
      <c r="G29" s="19" t="str">
        <f aca="false">IF('جبار البيشي'!F21="","",'جبار البيشي'!F21)</f>
        <v/>
      </c>
      <c r="H29" s="9" t="str">
        <f aca="false">IF(F29="","",ROUND(F29*G29,2))</f>
        <v/>
      </c>
      <c r="I29" s="9" t="str">
        <f aca="false">IF(F29="","",ROUND(H29*IF(N('جبار البيشي'!G21)&gt;1,'جبار البيشي'!G21-1,0),2))</f>
        <v/>
      </c>
      <c r="J29" s="9" t="n">
        <f aca="false">N('جبار البيشي'!H21)</f>
        <v>0</v>
      </c>
      <c r="K29" s="9" t="n">
        <f aca="false">N('جبار البيشي'!I21)</f>
        <v>8935.5</v>
      </c>
    </row>
    <row r="30" customFormat="false" ht="15" hidden="false" customHeight="false" outlineLevel="0" collapsed="false">
      <c r="A30" s="17" t="s">
        <v>23</v>
      </c>
      <c r="B30" s="11" t="n">
        <f aca="false">'جبار البيشي'!C22</f>
        <v>46305</v>
      </c>
      <c r="C30" s="17" t="str">
        <f aca="false">'جبار البيشي'!D22</f>
        <v>كمثري عكاظ</v>
      </c>
      <c r="D30" s="17" t="s">
        <v>69</v>
      </c>
      <c r="E30" s="7" t="s">
        <v>59</v>
      </c>
      <c r="F30" s="18" t="n">
        <f aca="false">IF('جبار البيشي'!E22="","",'جبار البيشي'!E22)</f>
        <v>112</v>
      </c>
      <c r="G30" s="19" t="n">
        <f aca="false">IF('جبار البيشي'!F22="","",'جبار البيشي'!F22)</f>
        <v>6</v>
      </c>
      <c r="H30" s="9" t="n">
        <f aca="false">IF(F30="","",ROUND(F30*G30,2))</f>
        <v>672</v>
      </c>
      <c r="I30" s="9" t="n">
        <f aca="false">IF(F30="","",ROUND(H30*IF(N('جبار البيشي'!G22)&gt;1,'جبار البيشي'!G22-1,0),2))</f>
        <v>100.8</v>
      </c>
      <c r="J30" s="9" t="n">
        <f aca="false">N('جبار البيشي'!H22)</f>
        <v>772.8</v>
      </c>
      <c r="K30" s="9" t="n">
        <f aca="false">N('جبار البيشي'!I22)</f>
        <v>0</v>
      </c>
    </row>
    <row r="31" customFormat="false" ht="15" hidden="false" customHeight="false" outlineLevel="0" collapsed="false">
      <c r="A31" s="17" t="s">
        <v>23</v>
      </c>
      <c r="B31" s="11" t="n">
        <f aca="false">'جبار البيشي'!C23</f>
        <v>46305</v>
      </c>
      <c r="C31" s="17" t="str">
        <f aca="false">'جبار البيشي'!D23</f>
        <v>بخارة صحن</v>
      </c>
      <c r="D31" s="17" t="s">
        <v>70</v>
      </c>
      <c r="E31" s="7" t="s">
        <v>59</v>
      </c>
      <c r="F31" s="18" t="n">
        <f aca="false">IF('جبار البيشي'!E23="","",'جبار البيشي'!E23)</f>
        <v>24</v>
      </c>
      <c r="G31" s="19" t="n">
        <f aca="false">IF('جبار البيشي'!F23="","",'جبار البيشي'!F23)</f>
        <v>9</v>
      </c>
      <c r="H31" s="9" t="n">
        <f aca="false">IF(F31="","",ROUND(F31*G31,2))</f>
        <v>216</v>
      </c>
      <c r="I31" s="9" t="n">
        <f aca="false">IF(F31="","",ROUND(H31*IF(N('جبار البيشي'!G23)&gt;1,'جبار البيشي'!G23-1,0),2))</f>
        <v>32.4</v>
      </c>
      <c r="J31" s="9" t="n">
        <f aca="false">N('جبار البيشي'!H23)</f>
        <v>248.4</v>
      </c>
      <c r="K31" s="9" t="n">
        <f aca="false">N('جبار البيشي'!I23)</f>
        <v>0</v>
      </c>
    </row>
    <row r="32" customFormat="false" ht="15" hidden="false" customHeight="false" outlineLevel="0" collapsed="false">
      <c r="A32" s="17" t="s">
        <v>23</v>
      </c>
      <c r="B32" s="11" t="n">
        <f aca="false">'جبار البيشي'!C24</f>
        <v>46305</v>
      </c>
      <c r="C32" s="17" t="str">
        <f aca="false">'جبار البيشي'!D24</f>
        <v>عنب مشكل</v>
      </c>
      <c r="D32" s="17" t="s">
        <v>71</v>
      </c>
      <c r="E32" s="7" t="s">
        <v>59</v>
      </c>
      <c r="F32" s="18" t="n">
        <f aca="false">IF('جبار البيشي'!E24="","",'جبار البيشي'!E24)</f>
        <v>16</v>
      </c>
      <c r="G32" s="19" t="n">
        <f aca="false">IF('جبار البيشي'!F24="","",'جبار البيشي'!F24)</f>
        <v>8</v>
      </c>
      <c r="H32" s="9" t="n">
        <f aca="false">IF(F32="","",ROUND(F32*G32,2))</f>
        <v>128</v>
      </c>
      <c r="I32" s="9" t="n">
        <f aca="false">IF(F32="","",ROUND(H32*IF(N('جبار البيشي'!G24)&gt;1,'جبار البيشي'!G24-1,0),2))</f>
        <v>19.2</v>
      </c>
      <c r="J32" s="9" t="n">
        <f aca="false">N('جبار البيشي'!H24)</f>
        <v>147.2</v>
      </c>
      <c r="K32" s="9" t="n">
        <f aca="false">N('جبار البيشي'!I24)</f>
        <v>0</v>
      </c>
    </row>
    <row r="33" customFormat="false" ht="15" hidden="false" customHeight="false" outlineLevel="0" collapsed="false">
      <c r="A33" s="17" t="s">
        <v>23</v>
      </c>
      <c r="B33" s="11" t="n">
        <f aca="false">'جبار البيشي'!C25</f>
        <v>46306</v>
      </c>
      <c r="C33" s="17" t="str">
        <f aca="false">'جبار البيشي'!D25</f>
        <v>ليمون تركي</v>
      </c>
      <c r="D33" s="17" t="s">
        <v>58</v>
      </c>
      <c r="E33" s="7" t="s">
        <v>59</v>
      </c>
      <c r="F33" s="18" t="n">
        <f aca="false">IF('جبار البيشي'!E25="","",'جبار البيشي'!E25)</f>
        <v>100</v>
      </c>
      <c r="G33" s="19" t="n">
        <f aca="false">IF('جبار البيشي'!F25="","",'جبار البيشي'!F25)</f>
        <v>25</v>
      </c>
      <c r="H33" s="9" t="n">
        <f aca="false">IF(F33="","",ROUND(F33*G33,2))</f>
        <v>2500</v>
      </c>
      <c r="I33" s="9" t="n">
        <f aca="false">IF(F33="","",ROUND(H33*IF(N('جبار البيشي'!G25)&gt;1,'جبار البيشي'!G25-1,0),2))</f>
        <v>375</v>
      </c>
      <c r="J33" s="9" t="n">
        <f aca="false">N('جبار البيشي'!H25)</f>
        <v>2875</v>
      </c>
      <c r="K33" s="9" t="n">
        <f aca="false">N('جبار البيشي'!I25)</f>
        <v>0</v>
      </c>
    </row>
    <row r="34" customFormat="false" ht="15" hidden="false" customHeight="false" outlineLevel="0" collapsed="false">
      <c r="A34" s="17" t="s">
        <v>23</v>
      </c>
      <c r="B34" s="11" t="n">
        <f aca="false">'جبار البيشي'!C26</f>
        <v>46306</v>
      </c>
      <c r="C34" s="17" t="str">
        <f aca="false">'جبار البيشي'!D26</f>
        <v>كمثري صحن</v>
      </c>
      <c r="D34" s="17" t="s">
        <v>72</v>
      </c>
      <c r="E34" s="7" t="s">
        <v>59</v>
      </c>
      <c r="F34" s="18" t="n">
        <f aca="false">IF('جبار البيشي'!E26="","",'جبار البيشي'!E26)</f>
        <v>48</v>
      </c>
      <c r="G34" s="19" t="n">
        <f aca="false">IF('جبار البيشي'!F26="","",'جبار البيشي'!F26)</f>
        <v>8</v>
      </c>
      <c r="H34" s="9" t="n">
        <f aca="false">IF(F34="","",ROUND(F34*G34,2))</f>
        <v>384</v>
      </c>
      <c r="I34" s="9" t="n">
        <f aca="false">IF(F34="","",ROUND(H34*IF(N('جبار البيشي'!G26)&gt;1,'جبار البيشي'!G26-1,0),2))</f>
        <v>57.6</v>
      </c>
      <c r="J34" s="9" t="n">
        <f aca="false">N('جبار البيشي'!H26)</f>
        <v>441.6</v>
      </c>
      <c r="K34" s="9" t="n">
        <f aca="false">N('جبار البيشي'!I26)</f>
        <v>0</v>
      </c>
    </row>
    <row r="35" customFormat="false" ht="15" hidden="false" customHeight="false" outlineLevel="0" collapsed="false">
      <c r="A35" s="17" t="s">
        <v>23</v>
      </c>
      <c r="B35" s="11" t="n">
        <f aca="false">'جبار البيشي'!C27</f>
        <v>46306</v>
      </c>
      <c r="C35" s="17" t="str">
        <f aca="false">'جبار البيشي'!D27</f>
        <v>عنب مشكل</v>
      </c>
      <c r="D35" s="17" t="s">
        <v>71</v>
      </c>
      <c r="E35" s="7" t="s">
        <v>59</v>
      </c>
      <c r="F35" s="18" t="n">
        <f aca="false">IF('جبار البيشي'!E27="","",'جبار البيشي'!E27)</f>
        <v>48</v>
      </c>
      <c r="G35" s="19" t="n">
        <f aca="false">IF('جبار البيشي'!F27="","",'جبار البيشي'!F27)</f>
        <v>8</v>
      </c>
      <c r="H35" s="9" t="n">
        <f aca="false">IF(F35="","",ROUND(F35*G35,2))</f>
        <v>384</v>
      </c>
      <c r="I35" s="9" t="n">
        <f aca="false">IF(F35="","",ROUND(H35*IF(N('جبار البيشي'!G27)&gt;1,'جبار البيشي'!G27-1,0),2))</f>
        <v>57.6</v>
      </c>
      <c r="J35" s="9" t="n">
        <f aca="false">N('جبار البيشي'!H27)</f>
        <v>441.6</v>
      </c>
      <c r="K35" s="9" t="n">
        <f aca="false">N('جبار البيشي'!I27)</f>
        <v>0</v>
      </c>
    </row>
    <row r="36" customFormat="false" ht="15" hidden="false" customHeight="false" outlineLevel="0" collapsed="false">
      <c r="A36" s="17" t="s">
        <v>23</v>
      </c>
      <c r="B36" s="11" t="n">
        <f aca="false">'جبار البيشي'!C28</f>
        <v>46306</v>
      </c>
      <c r="C36" s="17" t="str">
        <f aca="false">'جبار البيشي'!D28</f>
        <v>حوالة نقاوة بلس</v>
      </c>
      <c r="D36" s="17"/>
      <c r="E36" s="7" t="s">
        <v>65</v>
      </c>
      <c r="F36" s="7" t="str">
        <f aca="false">IF('جبار البيشي'!E28="","",'جبار البيشي'!E28)</f>
        <v/>
      </c>
      <c r="G36" s="19" t="str">
        <f aca="false">IF('جبار البيشي'!F28="","",'جبار البيشي'!F28)</f>
        <v/>
      </c>
      <c r="H36" s="9" t="str">
        <f aca="false">IF(F36="","",ROUND(F36*G36,2))</f>
        <v/>
      </c>
      <c r="I36" s="9" t="str">
        <f aca="false">IF(F36="","",ROUND(H36*IF(N('جبار البيشي'!G28)&gt;1,'جبار البيشي'!G28-1,0),2))</f>
        <v/>
      </c>
      <c r="J36" s="9" t="n">
        <f aca="false">N('جبار البيشي'!H28)</f>
        <v>0</v>
      </c>
      <c r="K36" s="9" t="n">
        <f aca="false">N('جبار البيشي'!I28)</f>
        <v>7728</v>
      </c>
    </row>
    <row r="37" customFormat="false" ht="15" hidden="false" customHeight="false" outlineLevel="0" collapsed="false">
      <c r="A37" s="17" t="s">
        <v>23</v>
      </c>
      <c r="B37" s="11" t="n">
        <f aca="false">'جبار البيشي'!C29</f>
        <v>46307</v>
      </c>
      <c r="C37" s="17" t="str">
        <f aca="false">'جبار البيشي'!D29</f>
        <v>كمثري صحن</v>
      </c>
      <c r="D37" s="17" t="s">
        <v>72</v>
      </c>
      <c r="E37" s="7" t="s">
        <v>59</v>
      </c>
      <c r="F37" s="18" t="n">
        <f aca="false">IF('جبار البيشي'!E29="","",'جبار البيشي'!E29)</f>
        <v>40</v>
      </c>
      <c r="G37" s="19" t="n">
        <f aca="false">IF('جبار البيشي'!F29="","",'جبار البيشي'!F29)</f>
        <v>8</v>
      </c>
      <c r="H37" s="9" t="n">
        <f aca="false">IF(F37="","",ROUND(F37*G37,2))</f>
        <v>320</v>
      </c>
      <c r="I37" s="9" t="n">
        <f aca="false">IF(F37="","",ROUND(H37*IF(N('جبار البيشي'!G29)&gt;1,'جبار البيشي'!G29-1,0),2))</f>
        <v>48</v>
      </c>
      <c r="J37" s="9" t="n">
        <f aca="false">N('جبار البيشي'!H29)</f>
        <v>368</v>
      </c>
      <c r="K37" s="9" t="n">
        <f aca="false">N('جبار البيشي'!I29)</f>
        <v>0</v>
      </c>
    </row>
    <row r="38" customFormat="false" ht="15" hidden="false" customHeight="false" outlineLevel="0" collapsed="false">
      <c r="A38" s="17" t="s">
        <v>23</v>
      </c>
      <c r="B38" s="11" t="n">
        <f aca="false">'جبار البيشي'!C30</f>
        <v>46307</v>
      </c>
      <c r="C38" s="17" t="str">
        <f aca="false">'جبار البيشي'!D30</f>
        <v>بخارة صحن</v>
      </c>
      <c r="D38" s="17" t="s">
        <v>70</v>
      </c>
      <c r="E38" s="7" t="s">
        <v>59</v>
      </c>
      <c r="F38" s="18" t="n">
        <f aca="false">IF('جبار البيشي'!E30="","",'جبار البيشي'!E30)</f>
        <v>16</v>
      </c>
      <c r="G38" s="19" t="n">
        <f aca="false">IF('جبار البيشي'!F30="","",'جبار البيشي'!F30)</f>
        <v>8</v>
      </c>
      <c r="H38" s="9" t="n">
        <f aca="false">IF(F38="","",ROUND(F38*G38,2))</f>
        <v>128</v>
      </c>
      <c r="I38" s="9" t="n">
        <f aca="false">IF(F38="","",ROUND(H38*IF(N('جبار البيشي'!G30)&gt;1,'جبار البيشي'!G30-1,0),2))</f>
        <v>19.2</v>
      </c>
      <c r="J38" s="9" t="n">
        <f aca="false">N('جبار البيشي'!H30)</f>
        <v>147.2</v>
      </c>
      <c r="K38" s="9" t="n">
        <f aca="false">N('جبار البيشي'!I30)</f>
        <v>0</v>
      </c>
    </row>
    <row r="39" customFormat="false" ht="15" hidden="false" customHeight="false" outlineLevel="0" collapsed="false">
      <c r="A39" s="17" t="s">
        <v>23</v>
      </c>
      <c r="B39" s="11" t="n">
        <f aca="false">'جبار البيشي'!C31</f>
        <v>46307</v>
      </c>
      <c r="C39" s="17" t="str">
        <f aca="false">'جبار البيشي'!D31</f>
        <v>كمثري عكاظ</v>
      </c>
      <c r="D39" s="17" t="s">
        <v>69</v>
      </c>
      <c r="E39" s="7" t="s">
        <v>59</v>
      </c>
      <c r="F39" s="18" t="n">
        <f aca="false">IF('جبار البيشي'!E31="","",'جبار البيشي'!E31)</f>
        <v>96</v>
      </c>
      <c r="G39" s="19" t="n">
        <f aca="false">IF('جبار البيشي'!F31="","",'جبار البيشي'!F31)</f>
        <v>7</v>
      </c>
      <c r="H39" s="9" t="n">
        <f aca="false">IF(F39="","",ROUND(F39*G39,2))</f>
        <v>672</v>
      </c>
      <c r="I39" s="9" t="n">
        <f aca="false">IF(F39="","",ROUND(H39*IF(N('جبار البيشي'!G31)&gt;1,'جبار البيشي'!G31-1,0),2))</f>
        <v>100.8</v>
      </c>
      <c r="J39" s="9" t="n">
        <f aca="false">N('جبار البيشي'!H31)</f>
        <v>772.8</v>
      </c>
      <c r="K39" s="9" t="n">
        <f aca="false">N('جبار البيشي'!I31)</f>
        <v>0</v>
      </c>
    </row>
    <row r="40" customFormat="false" ht="15" hidden="false" customHeight="false" outlineLevel="0" collapsed="false">
      <c r="A40" s="17" t="s">
        <v>23</v>
      </c>
      <c r="B40" s="11" t="n">
        <f aca="false">'جبار البيشي'!C32</f>
        <v>46307</v>
      </c>
      <c r="C40" s="17" t="str">
        <f aca="false">'جبار البيشي'!D32</f>
        <v>كمثري عكاظ</v>
      </c>
      <c r="D40" s="17" t="s">
        <v>69</v>
      </c>
      <c r="E40" s="7" t="s">
        <v>59</v>
      </c>
      <c r="F40" s="18" t="n">
        <f aca="false">IF('جبار البيشي'!E32="","",'جبار البيشي'!E32)</f>
        <v>15</v>
      </c>
      <c r="G40" s="19" t="n">
        <f aca="false">IF('جبار البيشي'!F32="","",'جبار البيشي'!F32)</f>
        <v>5</v>
      </c>
      <c r="H40" s="9" t="n">
        <f aca="false">IF(F40="","",ROUND(F40*G40,2))</f>
        <v>75</v>
      </c>
      <c r="I40" s="9" t="n">
        <f aca="false">IF(F40="","",ROUND(H40*IF(N('جبار البيشي'!G32)&gt;1,'جبار البيشي'!G32-1,0),2))</f>
        <v>11.25</v>
      </c>
      <c r="J40" s="9" t="n">
        <f aca="false">N('جبار البيشي'!H32)</f>
        <v>86.25</v>
      </c>
      <c r="K40" s="9" t="n">
        <f aca="false">N('جبار البيشي'!I32)</f>
        <v>0</v>
      </c>
    </row>
    <row r="41" customFormat="false" ht="15" hidden="false" customHeight="false" outlineLevel="0" collapsed="false">
      <c r="A41" s="17" t="s">
        <v>23</v>
      </c>
      <c r="B41" s="11" t="n">
        <f aca="false">'جبار البيشي'!C33</f>
        <v>46308</v>
      </c>
      <c r="C41" s="17" t="str">
        <f aca="false">'جبار البيشي'!D33</f>
        <v>حوالة نقاوة بلس</v>
      </c>
      <c r="D41" s="17"/>
      <c r="E41" s="7" t="s">
        <v>65</v>
      </c>
      <c r="F41" s="7" t="str">
        <f aca="false">IF('جبار البيشي'!E33="","",'جبار البيشي'!E33)</f>
        <v/>
      </c>
      <c r="G41" s="19" t="str">
        <f aca="false">IF('جبار البيشي'!F33="","",'جبار البيشي'!F33)</f>
        <v/>
      </c>
      <c r="H41" s="9" t="str">
        <f aca="false">IF(F41="","",ROUND(F41*G41,2))</f>
        <v/>
      </c>
      <c r="I41" s="9" t="str">
        <f aca="false">IF(F41="","",ROUND(H41*IF(N('جبار البيشي'!G33)&gt;1,'جبار البيشي'!G33-1,0),2))</f>
        <v/>
      </c>
      <c r="J41" s="9" t="n">
        <f aca="false">N('جبار البيشي'!H33)</f>
        <v>0</v>
      </c>
      <c r="K41" s="9" t="n">
        <f aca="false">N('جبار البيشي'!I33)</f>
        <v>5037</v>
      </c>
    </row>
    <row r="42" customFormat="false" ht="15" hidden="false" customHeight="false" outlineLevel="0" collapsed="false">
      <c r="A42" s="17" t="s">
        <v>23</v>
      </c>
      <c r="B42" s="11" t="n">
        <f aca="false">'جبار البيشي'!C34</f>
        <v>46309</v>
      </c>
      <c r="C42" s="17" t="str">
        <f aca="false">'جبار البيشي'!D34</f>
        <v>كمثري عكاظ</v>
      </c>
      <c r="D42" s="17" t="s">
        <v>69</v>
      </c>
      <c r="E42" s="7" t="s">
        <v>59</v>
      </c>
      <c r="F42" s="18" t="n">
        <f aca="false">IF('جبار البيشي'!E34="","",'جبار البيشي'!E34)</f>
        <v>80</v>
      </c>
      <c r="G42" s="19" t="n">
        <f aca="false">IF('جبار البيشي'!F34="","",'جبار البيشي'!F34)</f>
        <v>6</v>
      </c>
      <c r="H42" s="9" t="n">
        <f aca="false">IF(F42="","",ROUND(F42*G42,2))</f>
        <v>480</v>
      </c>
      <c r="I42" s="9" t="n">
        <f aca="false">IF(F42="","",ROUND(H42*IF(N('جبار البيشي'!G34)&gt;1,'جبار البيشي'!G34-1,0),2))</f>
        <v>72</v>
      </c>
      <c r="J42" s="9" t="n">
        <f aca="false">N('جبار البيشي'!H34)</f>
        <v>552</v>
      </c>
      <c r="K42" s="9" t="n">
        <f aca="false">N('جبار البيشي'!I34)</f>
        <v>0</v>
      </c>
    </row>
    <row r="43" customFormat="false" ht="15" hidden="false" customHeight="false" outlineLevel="0" collapsed="false">
      <c r="A43" s="17" t="s">
        <v>23</v>
      </c>
      <c r="B43" s="11" t="n">
        <f aca="false">'جبار البيشي'!C35</f>
        <v>46310</v>
      </c>
      <c r="C43" s="17" t="str">
        <f aca="false">'جبار البيشي'!D35</f>
        <v>فراولة</v>
      </c>
      <c r="D43" s="17" t="s">
        <v>63</v>
      </c>
      <c r="E43" s="7" t="s">
        <v>59</v>
      </c>
      <c r="F43" s="18" t="n">
        <f aca="false">IF('جبار البيشي'!E35="","",'جبار البيشي'!E35)</f>
        <v>50</v>
      </c>
      <c r="G43" s="19" t="n">
        <f aca="false">IF('جبار البيشي'!F35="","",'جبار البيشي'!F35)</f>
        <v>100</v>
      </c>
      <c r="H43" s="9" t="n">
        <f aca="false">IF(F43="","",ROUND(F43*G43,2))</f>
        <v>5000</v>
      </c>
      <c r="I43" s="9" t="n">
        <f aca="false">IF(F43="","",ROUND(H43*IF(N('جبار البيشي'!G35)&gt;1,'جبار البيشي'!G35-1,0),2))</f>
        <v>750</v>
      </c>
      <c r="J43" s="9" t="n">
        <f aca="false">N('جبار البيشي'!H35)</f>
        <v>5750</v>
      </c>
      <c r="K43" s="9" t="n">
        <f aca="false">N('جبار البيشي'!I35)</f>
        <v>0</v>
      </c>
    </row>
    <row r="44" customFormat="false" ht="15" hidden="false" customHeight="false" outlineLevel="0" collapsed="false">
      <c r="A44" s="17" t="s">
        <v>23</v>
      </c>
      <c r="B44" s="11" t="n">
        <f aca="false">'جبار البيشي'!C36</f>
        <v>46310</v>
      </c>
      <c r="C44" s="17" t="str">
        <f aca="false">'جبار البيشي'!D36</f>
        <v>رمان وسط</v>
      </c>
      <c r="D44" s="17" t="s">
        <v>67</v>
      </c>
      <c r="E44" s="7" t="s">
        <v>59</v>
      </c>
      <c r="F44" s="18" t="n">
        <f aca="false">IF('جبار البيشي'!E36="","",'جبار البيشي'!E36)</f>
        <v>220</v>
      </c>
      <c r="G44" s="19" t="n">
        <f aca="false">IF('جبار البيشي'!F36="","",'جبار البيشي'!F36)</f>
        <v>15</v>
      </c>
      <c r="H44" s="9" t="n">
        <f aca="false">IF(F44="","",ROUND(F44*G44,2))</f>
        <v>3300</v>
      </c>
      <c r="I44" s="9" t="n">
        <f aca="false">IF(F44="","",ROUND(H44*IF(N('جبار البيشي'!G36)&gt;1,'جبار البيشي'!G36-1,0),2))</f>
        <v>495</v>
      </c>
      <c r="J44" s="9" t="n">
        <f aca="false">N('جبار البيشي'!H36)</f>
        <v>3795</v>
      </c>
      <c r="K44" s="9" t="n">
        <f aca="false">N('جبار البيشي'!I36)</f>
        <v>0</v>
      </c>
    </row>
    <row r="45" customFormat="false" ht="15" hidden="false" customHeight="false" outlineLevel="0" collapsed="false">
      <c r="A45" s="17" t="s">
        <v>23</v>
      </c>
      <c r="B45" s="11" t="n">
        <f aca="false">'جبار البيشي'!C37</f>
        <v>46310</v>
      </c>
      <c r="C45" s="17" t="str">
        <f aca="false">'جبار البيشي'!D37</f>
        <v>تفاح احمر</v>
      </c>
      <c r="D45" s="17" t="s">
        <v>73</v>
      </c>
      <c r="E45" s="7" t="s">
        <v>59</v>
      </c>
      <c r="F45" s="18" t="n">
        <f aca="false">IF('جبار البيشي'!E37="","",'جبار البيشي'!E37)</f>
        <v>10</v>
      </c>
      <c r="G45" s="19" t="n">
        <f aca="false">IF('جبار البيشي'!F37="","",'جبار البيشي'!F37)</f>
        <v>8</v>
      </c>
      <c r="H45" s="9" t="n">
        <f aca="false">IF(F45="","",ROUND(F45*G45,2))</f>
        <v>80</v>
      </c>
      <c r="I45" s="9" t="n">
        <f aca="false">IF(F45="","",ROUND(H45*IF(N('جبار البيشي'!G37)&gt;1,'جبار البيشي'!G37-1,0),2))</f>
        <v>12</v>
      </c>
      <c r="J45" s="9" t="n">
        <f aca="false">N('جبار البيشي'!H37)</f>
        <v>92</v>
      </c>
      <c r="K45" s="9" t="n">
        <f aca="false">N('جبار البيشي'!I37)</f>
        <v>0</v>
      </c>
    </row>
    <row r="46" customFormat="false" ht="15" hidden="false" customHeight="false" outlineLevel="0" collapsed="false">
      <c r="A46" s="17" t="s">
        <v>23</v>
      </c>
      <c r="B46" s="11" t="n">
        <f aca="false">'جبار البيشي'!C38</f>
        <v>46311</v>
      </c>
      <c r="C46" s="17" t="str">
        <f aca="false">'جبار البيشي'!D38</f>
        <v>فراولة</v>
      </c>
      <c r="D46" s="17" t="s">
        <v>63</v>
      </c>
      <c r="E46" s="7" t="s">
        <v>59</v>
      </c>
      <c r="F46" s="18" t="n">
        <f aca="false">IF('جبار البيشي'!E38="","",'جبار البيشي'!E38)</f>
        <v>42</v>
      </c>
      <c r="G46" s="19" t="n">
        <f aca="false">IF('جبار البيشي'!F38="","",'جبار البيشي'!F38)</f>
        <v>100</v>
      </c>
      <c r="H46" s="9" t="n">
        <f aca="false">IF(F46="","",ROUND(F46*G46,2))</f>
        <v>4200</v>
      </c>
      <c r="I46" s="9" t="n">
        <f aca="false">IF(F46="","",ROUND(H46*IF(N('جبار البيشي'!G38)&gt;1,'جبار البيشي'!G38-1,0),2))</f>
        <v>630</v>
      </c>
      <c r="J46" s="9" t="n">
        <f aca="false">N('جبار البيشي'!H38)</f>
        <v>4830</v>
      </c>
      <c r="K46" s="9" t="n">
        <f aca="false">N('جبار البيشي'!I38)</f>
        <v>0</v>
      </c>
    </row>
    <row r="47" customFormat="false" ht="15" hidden="false" customHeight="false" outlineLevel="0" collapsed="false">
      <c r="A47" s="17" t="s">
        <v>23</v>
      </c>
      <c r="B47" s="11" t="n">
        <f aca="false">'جبار البيشي'!C39</f>
        <v>46313</v>
      </c>
      <c r="C47" s="17" t="str">
        <f aca="false">'جبار البيشي'!D39</f>
        <v>تفاح احمر</v>
      </c>
      <c r="D47" s="17" t="s">
        <v>73</v>
      </c>
      <c r="E47" s="7" t="s">
        <v>59</v>
      </c>
      <c r="F47" s="18" t="n">
        <f aca="false">IF('جبار البيشي'!E39="","",'جبار البيشي'!E39)</f>
        <v>20</v>
      </c>
      <c r="G47" s="19" t="n">
        <f aca="false">IF('جبار البيشي'!F39="","",'جبار البيشي'!F39)</f>
        <v>8</v>
      </c>
      <c r="H47" s="9" t="n">
        <f aca="false">IF(F47="","",ROUND(F47*G47,2))</f>
        <v>160</v>
      </c>
      <c r="I47" s="9" t="n">
        <f aca="false">IF(F47="","",ROUND(H47*IF(N('جبار البيشي'!G39)&gt;1,'جبار البيشي'!G39-1,0),2))</f>
        <v>24</v>
      </c>
      <c r="J47" s="9" t="n">
        <f aca="false">N('جبار البيشي'!H39)</f>
        <v>184</v>
      </c>
      <c r="K47" s="9" t="n">
        <f aca="false">N('جبار البيشي'!I39)</f>
        <v>0</v>
      </c>
    </row>
    <row r="48" customFormat="false" ht="15" hidden="false" customHeight="false" outlineLevel="0" collapsed="false">
      <c r="A48" s="17" t="s">
        <v>23</v>
      </c>
      <c r="B48" s="11" t="n">
        <f aca="false">'جبار البيشي'!C40</f>
        <v>46313</v>
      </c>
      <c r="C48" s="17" t="str">
        <f aca="false">'جبار البيشي'!D40</f>
        <v>رمان وسط</v>
      </c>
      <c r="D48" s="17" t="s">
        <v>67</v>
      </c>
      <c r="E48" s="7" t="s">
        <v>59</v>
      </c>
      <c r="F48" s="18" t="n">
        <f aca="false">IF('جبار البيشي'!E40="","",'جبار البيشي'!E40)</f>
        <v>210</v>
      </c>
      <c r="G48" s="19" t="n">
        <f aca="false">IF('جبار البيشي'!F40="","",'جبار البيشي'!F40)</f>
        <v>16</v>
      </c>
      <c r="H48" s="9" t="n">
        <f aca="false">IF(F48="","",ROUND(F48*G48,2))</f>
        <v>3360</v>
      </c>
      <c r="I48" s="9" t="n">
        <f aca="false">IF(F48="","",ROUND(H48*IF(N('جبار البيشي'!G40)&gt;1,'جبار البيشي'!G40-1,0),2))</f>
        <v>504</v>
      </c>
      <c r="J48" s="9" t="n">
        <f aca="false">N('جبار البيشي'!H40)</f>
        <v>3864</v>
      </c>
      <c r="K48" s="9" t="n">
        <f aca="false">N('جبار البيشي'!I40)</f>
        <v>0</v>
      </c>
    </row>
    <row r="49" customFormat="false" ht="15" hidden="false" customHeight="false" outlineLevel="0" collapsed="false">
      <c r="A49" s="17" t="s">
        <v>23</v>
      </c>
      <c r="B49" s="11" t="n">
        <f aca="false">'جبار البيشي'!C41</f>
        <v>46313</v>
      </c>
      <c r="C49" s="17" t="str">
        <f aca="false">'جبار البيشي'!D41</f>
        <v>فراولة</v>
      </c>
      <c r="D49" s="17" t="s">
        <v>63</v>
      </c>
      <c r="E49" s="7" t="s">
        <v>59</v>
      </c>
      <c r="F49" s="18" t="n">
        <f aca="false">IF('جبار البيشي'!E41="","",'جبار البيشي'!E41)</f>
        <v>50</v>
      </c>
      <c r="G49" s="19" t="n">
        <f aca="false">IF('جبار البيشي'!F41="","",'جبار البيشي'!F41)</f>
        <v>100</v>
      </c>
      <c r="H49" s="9" t="n">
        <f aca="false">IF(F49="","",ROUND(F49*G49,2))</f>
        <v>5000</v>
      </c>
      <c r="I49" s="9" t="n">
        <f aca="false">IF(F49="","",ROUND(H49*IF(N('جبار البيشي'!G41)&gt;1,'جبار البيشي'!G41-1,0),2))</f>
        <v>750</v>
      </c>
      <c r="J49" s="9" t="n">
        <f aca="false">N('جبار البيشي'!H41)</f>
        <v>5750</v>
      </c>
      <c r="K49" s="9" t="n">
        <f aca="false">N('جبار البيشي'!I41)</f>
        <v>0</v>
      </c>
    </row>
    <row r="50" customFormat="false" ht="15" hidden="false" customHeight="false" outlineLevel="0" collapsed="false">
      <c r="A50" s="17" t="s">
        <v>23</v>
      </c>
      <c r="B50" s="11" t="n">
        <f aca="false">'جبار البيشي'!C42</f>
        <v>46313</v>
      </c>
      <c r="C50" s="17" t="str">
        <f aca="false">'جبار البيشي'!D42</f>
        <v>حوالة نقاوة بلس</v>
      </c>
      <c r="D50" s="17"/>
      <c r="E50" s="7" t="s">
        <v>65</v>
      </c>
      <c r="F50" s="7" t="str">
        <f aca="false">IF('جبار البيشي'!E42="","",'جبار البيشي'!E42)</f>
        <v/>
      </c>
      <c r="G50" s="19" t="str">
        <f aca="false">IF('جبار البيشي'!F42="","",'جبار البيشي'!F42)</f>
        <v/>
      </c>
      <c r="H50" s="9" t="str">
        <f aca="false">IF(F50="","",ROUND(F50*G50,2))</f>
        <v/>
      </c>
      <c r="I50" s="9" t="str">
        <f aca="false">IF(F50="","",ROUND(H50*IF(N('جبار البيشي'!G42)&gt;1,'جبار البيشي'!G42-1,0),2))</f>
        <v/>
      </c>
      <c r="J50" s="9" t="n">
        <f aca="false">N('جبار البيشي'!H42)</f>
        <v>0</v>
      </c>
      <c r="K50" s="9" t="n">
        <f aca="false">N('جبار البيشي'!I42)</f>
        <v>2428</v>
      </c>
    </row>
    <row r="51" customFormat="false" ht="15" hidden="false" customHeight="false" outlineLevel="0" collapsed="false">
      <c r="A51" s="17" t="s">
        <v>23</v>
      </c>
      <c r="B51" s="11" t="n">
        <f aca="false">'جبار البيشي'!C43</f>
        <v>46314</v>
      </c>
      <c r="C51" s="17" t="str">
        <f aca="false">'جبار البيشي'!D43</f>
        <v>عنب تركي</v>
      </c>
      <c r="D51" s="17" t="s">
        <v>60</v>
      </c>
      <c r="E51" s="7" t="s">
        <v>59</v>
      </c>
      <c r="F51" s="18" t="n">
        <f aca="false">IF('جبار البيشي'!E43="","",'جبار البيشي'!E43)</f>
        <v>90</v>
      </c>
      <c r="G51" s="19" t="n">
        <f aca="false">IF('جبار البيشي'!F43="","",'جبار البيشي'!F43)</f>
        <v>65</v>
      </c>
      <c r="H51" s="9" t="n">
        <f aca="false">IF(F51="","",ROUND(F51*G51,2))</f>
        <v>5850</v>
      </c>
      <c r="I51" s="9" t="n">
        <f aca="false">IF(F51="","",ROUND(H51*IF(N('جبار البيشي'!G43)&gt;1,'جبار البيشي'!G43-1,0),2))</f>
        <v>877.5</v>
      </c>
      <c r="J51" s="9" t="n">
        <f aca="false">N('جبار البيشي'!H43)</f>
        <v>6727.5</v>
      </c>
      <c r="K51" s="9" t="n">
        <f aca="false">N('جبار البيشي'!I43)</f>
        <v>0</v>
      </c>
    </row>
    <row r="52" customFormat="false" ht="15" hidden="false" customHeight="false" outlineLevel="0" collapsed="false">
      <c r="A52" s="17" t="s">
        <v>23</v>
      </c>
      <c r="B52" s="11" t="n">
        <f aca="false">'جبار البيشي'!C44</f>
        <v>46314</v>
      </c>
      <c r="C52" s="17" t="str">
        <f aca="false">'جبار البيشي'!D44</f>
        <v>كاكا لبناني</v>
      </c>
      <c r="D52" s="17" t="s">
        <v>74</v>
      </c>
      <c r="E52" s="7" t="s">
        <v>59</v>
      </c>
      <c r="F52" s="18" t="n">
        <f aca="false">IF('جبار البيشي'!E44="","",'جبار البيشي'!E44)</f>
        <v>350</v>
      </c>
      <c r="G52" s="19" t="n">
        <f aca="false">IF('جبار البيشي'!F44="","",'جبار البيشي'!F44)</f>
        <v>16</v>
      </c>
      <c r="H52" s="9" t="n">
        <f aca="false">IF(F52="","",ROUND(F52*G52,2))</f>
        <v>5600</v>
      </c>
      <c r="I52" s="9" t="n">
        <f aca="false">IF(F52="","",ROUND(H52*IF(N('جبار البيشي'!G44)&gt;1,'جبار البيشي'!G44-1,0),2))</f>
        <v>840</v>
      </c>
      <c r="J52" s="9" t="n">
        <f aca="false">N('جبار البيشي'!H44)</f>
        <v>6440</v>
      </c>
      <c r="K52" s="9" t="n">
        <f aca="false">N('جبار البيشي'!I44)</f>
        <v>0</v>
      </c>
    </row>
    <row r="53" customFormat="false" ht="15" hidden="false" customHeight="false" outlineLevel="0" collapsed="false">
      <c r="A53" s="17" t="s">
        <v>23</v>
      </c>
      <c r="B53" s="11" t="n">
        <f aca="false">'جبار البيشي'!C45</f>
        <v>46315</v>
      </c>
      <c r="C53" s="17" t="str">
        <f aca="false">'جبار البيشي'!D45</f>
        <v>حوالة الحساني</v>
      </c>
      <c r="D53" s="17"/>
      <c r="E53" s="7" t="s">
        <v>65</v>
      </c>
      <c r="F53" s="7" t="str">
        <f aca="false">IF('جبار البيشي'!E45="","",'جبار البيشي'!E45)</f>
        <v/>
      </c>
      <c r="G53" s="19" t="str">
        <f aca="false">IF('جبار البيشي'!F45="","",'جبار البيشي'!F45)</f>
        <v/>
      </c>
      <c r="H53" s="9" t="str">
        <f aca="false">IF(F53="","",ROUND(F53*G53,2))</f>
        <v/>
      </c>
      <c r="I53" s="9" t="str">
        <f aca="false">IF(F53="","",ROUND(H53*IF(N('جبار البيشي'!G45)&gt;1,'جبار البيشي'!G45-1,0),2))</f>
        <v/>
      </c>
      <c r="J53" s="9" t="n">
        <f aca="false">N('جبار البيشي'!H45)</f>
        <v>0</v>
      </c>
      <c r="K53" s="9" t="n">
        <f aca="false">N('جبار البيشي'!I45)</f>
        <v>6626.3</v>
      </c>
    </row>
    <row r="54" customFormat="false" ht="15" hidden="false" customHeight="false" outlineLevel="0" collapsed="false">
      <c r="A54" s="17" t="s">
        <v>23</v>
      </c>
      <c r="B54" s="11" t="n">
        <f aca="false">'جبار البيشي'!C46</f>
        <v>46316</v>
      </c>
      <c r="C54" s="17" t="str">
        <f aca="false">'جبار البيشي'!D46</f>
        <v>عنب تركي</v>
      </c>
      <c r="D54" s="17" t="s">
        <v>60</v>
      </c>
      <c r="E54" s="7" t="s">
        <v>59</v>
      </c>
      <c r="F54" s="18" t="n">
        <f aca="false">IF('جبار البيشي'!E46="","",'جبار البيشي'!E46)</f>
        <v>70</v>
      </c>
      <c r="G54" s="19" t="n">
        <f aca="false">IF('جبار البيشي'!F46="","",'جبار البيشي'!F46)</f>
        <v>64</v>
      </c>
      <c r="H54" s="9" t="n">
        <f aca="false">IF(F54="","",ROUND(F54*G54,2))</f>
        <v>4480</v>
      </c>
      <c r="I54" s="9" t="n">
        <f aca="false">IF(F54="","",ROUND(H54*IF(N('جبار البيشي'!G46)&gt;1,'جبار البيشي'!G46-1,0),2))</f>
        <v>672</v>
      </c>
      <c r="J54" s="9" t="n">
        <f aca="false">N('جبار البيشي'!H46)</f>
        <v>5152</v>
      </c>
      <c r="K54" s="9" t="n">
        <f aca="false">N('جبار البيشي'!I46)</f>
        <v>0</v>
      </c>
    </row>
    <row r="55" customFormat="false" ht="15" hidden="false" customHeight="false" outlineLevel="0" collapsed="false">
      <c r="A55" s="17" t="s">
        <v>23</v>
      </c>
      <c r="B55" s="11" t="n">
        <f aca="false">'جبار البيشي'!C47</f>
        <v>46317</v>
      </c>
      <c r="C55" s="17" t="str">
        <f aca="false">'جبار البيشي'!D47</f>
        <v>كاكا لبناني</v>
      </c>
      <c r="D55" s="17" t="s">
        <v>74</v>
      </c>
      <c r="E55" s="7" t="s">
        <v>59</v>
      </c>
      <c r="F55" s="18" t="n">
        <f aca="false">IF('جبار البيشي'!E47="","",'جبار البيشي'!E47)</f>
        <v>415</v>
      </c>
      <c r="G55" s="19" t="n">
        <f aca="false">IF('جبار البيشي'!F47="","",'جبار البيشي'!F47)</f>
        <v>16</v>
      </c>
      <c r="H55" s="9" t="n">
        <f aca="false">IF(F55="","",ROUND(F55*G55,2))</f>
        <v>6640</v>
      </c>
      <c r="I55" s="9" t="n">
        <f aca="false">IF(F55="","",ROUND(H55*IF(N('جبار البيشي'!G47)&gt;1,'جبار البيشي'!G47-1,0),2))</f>
        <v>996</v>
      </c>
      <c r="J55" s="9" t="n">
        <f aca="false">N('جبار البيشي'!H47)</f>
        <v>7636</v>
      </c>
      <c r="K55" s="9" t="n">
        <f aca="false">N('جبار البيشي'!I47)</f>
        <v>0</v>
      </c>
    </row>
    <row r="56" customFormat="false" ht="15" hidden="false" customHeight="false" outlineLevel="0" collapsed="false">
      <c r="A56" s="17" t="s">
        <v>23</v>
      </c>
      <c r="B56" s="11" t="n">
        <f aca="false">'جبار البيشي'!C48</f>
        <v>46317</v>
      </c>
      <c r="C56" s="17" t="str">
        <f aca="false">'جبار البيشي'!D48</f>
        <v>فراولة</v>
      </c>
      <c r="D56" s="17" t="s">
        <v>63</v>
      </c>
      <c r="E56" s="7" t="s">
        <v>59</v>
      </c>
      <c r="F56" s="18" t="n">
        <f aca="false">IF('جبار البيشي'!E48="","",'جبار البيشي'!E48)</f>
        <v>84</v>
      </c>
      <c r="G56" s="19" t="n">
        <f aca="false">IF('جبار البيشي'!F48="","",'جبار البيشي'!F48)</f>
        <v>105</v>
      </c>
      <c r="H56" s="9" t="n">
        <f aca="false">IF(F56="","",ROUND(F56*G56,2))</f>
        <v>8820</v>
      </c>
      <c r="I56" s="9" t="n">
        <f aca="false">IF(F56="","",ROUND(H56*IF(N('جبار البيشي'!G48)&gt;1,'جبار البيشي'!G48-1,0),2))</f>
        <v>1323</v>
      </c>
      <c r="J56" s="9" t="n">
        <f aca="false">N('جبار البيشي'!H48)</f>
        <v>10143</v>
      </c>
      <c r="K56" s="9" t="n">
        <f aca="false">N('جبار البيشي'!I48)</f>
        <v>0</v>
      </c>
    </row>
    <row r="57" customFormat="false" ht="15" hidden="false" customHeight="false" outlineLevel="0" collapsed="false">
      <c r="A57" s="17" t="s">
        <v>23</v>
      </c>
      <c r="B57" s="11" t="n">
        <f aca="false">'جبار البيشي'!C49</f>
        <v>46317</v>
      </c>
      <c r="C57" s="17" t="str">
        <f aca="false">'جبار البيشي'!D49</f>
        <v>سداد سند/6787</v>
      </c>
      <c r="D57" s="17"/>
      <c r="E57" s="7" t="s">
        <v>57</v>
      </c>
      <c r="F57" s="7" t="str">
        <f aca="false">IF('جبار البيشي'!E49="","",'جبار البيشي'!E49)</f>
        <v/>
      </c>
      <c r="G57" s="19" t="str">
        <f aca="false">IF('جبار البيشي'!F49="","",'جبار البيشي'!F49)</f>
        <v/>
      </c>
      <c r="H57" s="9" t="str">
        <f aca="false">IF(F57="","",ROUND(F57*G57,2))</f>
        <v/>
      </c>
      <c r="I57" s="9" t="str">
        <f aca="false">IF(F57="","",ROUND(H57*IF(N('جبار البيشي'!G49)&gt;1,'جبار البيشي'!G49-1,0),2))</f>
        <v/>
      </c>
      <c r="J57" s="9" t="n">
        <f aca="false">N('جبار البيشي'!H49)</f>
        <v>0</v>
      </c>
      <c r="K57" s="9" t="n">
        <f aca="false">N('جبار البيشي'!I49)</f>
        <v>15000</v>
      </c>
    </row>
    <row r="58" customFormat="false" ht="15" hidden="false" customHeight="false" outlineLevel="0" collapsed="false">
      <c r="A58" s="17" t="s">
        <v>23</v>
      </c>
      <c r="B58" s="11" t="n">
        <f aca="false">'جبار البيشي'!C50</f>
        <v>46317</v>
      </c>
      <c r="C58" s="17" t="str">
        <f aca="false">'جبار البيشي'!D50</f>
        <v>حوالة بنكية محمد عادل</v>
      </c>
      <c r="D58" s="17"/>
      <c r="E58" s="7" t="s">
        <v>65</v>
      </c>
      <c r="F58" s="7" t="str">
        <f aca="false">IF('جبار البيشي'!E50="","",'جبار البيشي'!E50)</f>
        <v/>
      </c>
      <c r="G58" s="19" t="str">
        <f aca="false">IF('جبار البيشي'!F50="","",'جبار البيشي'!F50)</f>
        <v/>
      </c>
      <c r="H58" s="9" t="str">
        <f aca="false">IF(F58="","",ROUND(F58*G58,2))</f>
        <v/>
      </c>
      <c r="I58" s="9" t="str">
        <f aca="false">IF(F58="","",ROUND(H58*IF(N('جبار البيشي'!G50)&gt;1,'جبار البيشي'!G50-1,0),2))</f>
        <v/>
      </c>
      <c r="J58" s="9" t="n">
        <f aca="false">N('جبار البيشي'!H50)</f>
        <v>0</v>
      </c>
      <c r="K58" s="9" t="n">
        <f aca="false">N('جبار البيشي'!I50)</f>
        <v>3000</v>
      </c>
    </row>
    <row r="59" customFormat="false" ht="15" hidden="false" customHeight="false" outlineLevel="0" collapsed="false">
      <c r="A59" s="17" t="s">
        <v>23</v>
      </c>
      <c r="B59" s="11" t="n">
        <f aca="false">'جبار البيشي'!C51</f>
        <v>46318</v>
      </c>
      <c r="C59" s="17" t="str">
        <f aca="false">'جبار البيشي'!D51</f>
        <v>عنب تركي</v>
      </c>
      <c r="D59" s="17" t="s">
        <v>60</v>
      </c>
      <c r="E59" s="7" t="s">
        <v>59</v>
      </c>
      <c r="F59" s="18" t="n">
        <f aca="false">IF('جبار البيشي'!E51="","",'جبار البيشي'!E51)</f>
        <v>10</v>
      </c>
      <c r="G59" s="19" t="n">
        <f aca="false">IF('جبار البيشي'!F51="","",'جبار البيشي'!F51)</f>
        <v>63</v>
      </c>
      <c r="H59" s="9" t="n">
        <f aca="false">IF(F59="","",ROUND(F59*G59,2))</f>
        <v>630</v>
      </c>
      <c r="I59" s="9" t="n">
        <f aca="false">IF(F59="","",ROUND(H59*IF(N('جبار البيشي'!G51)&gt;1,'جبار البيشي'!G51-1,0),2))</f>
        <v>94.5</v>
      </c>
      <c r="J59" s="9" t="n">
        <f aca="false">N('جبار البيشي'!H51)</f>
        <v>724.5</v>
      </c>
      <c r="K59" s="9" t="n">
        <f aca="false">N('جبار البيشي'!I51)</f>
        <v>0</v>
      </c>
    </row>
    <row r="60" customFormat="false" ht="15" hidden="false" customHeight="false" outlineLevel="0" collapsed="false">
      <c r="A60" s="17" t="s">
        <v>23</v>
      </c>
      <c r="B60" s="11" t="n">
        <f aca="false">'جبار البيشي'!C52</f>
        <v>46319</v>
      </c>
      <c r="C60" s="17" t="str">
        <f aca="false">'جبار البيشي'!D52</f>
        <v>عنب تركي</v>
      </c>
      <c r="D60" s="17" t="s">
        <v>60</v>
      </c>
      <c r="E60" s="7" t="s">
        <v>59</v>
      </c>
      <c r="F60" s="18" t="n">
        <f aca="false">IF('جبار البيشي'!E52="","",'جبار البيشي'!E52)</f>
        <v>74</v>
      </c>
      <c r="G60" s="19" t="n">
        <f aca="false">IF('جبار البيشي'!F52="","",'جبار البيشي'!F52)</f>
        <v>59</v>
      </c>
      <c r="H60" s="9" t="n">
        <f aca="false">IF(F60="","",ROUND(F60*G60,2))</f>
        <v>4366</v>
      </c>
      <c r="I60" s="9" t="n">
        <f aca="false">IF(F60="","",ROUND(H60*IF(N('جبار البيشي'!G52)&gt;1,'جبار البيشي'!G52-1,0),2))</f>
        <v>654.9</v>
      </c>
      <c r="J60" s="9" t="n">
        <f aca="false">N('جبار البيشي'!H52)</f>
        <v>5020.9</v>
      </c>
      <c r="K60" s="9" t="n">
        <f aca="false">N('جبار البيشي'!I52)</f>
        <v>0</v>
      </c>
    </row>
    <row r="61" customFormat="false" ht="15" hidden="false" customHeight="false" outlineLevel="0" collapsed="false">
      <c r="A61" s="17" t="s">
        <v>23</v>
      </c>
      <c r="B61" s="11" t="n">
        <f aca="false">'جبار البيشي'!C53</f>
        <v>46319</v>
      </c>
      <c r="C61" s="17" t="str">
        <f aca="false">'جبار البيشي'!D53</f>
        <v>فراولة</v>
      </c>
      <c r="D61" s="17" t="s">
        <v>63</v>
      </c>
      <c r="E61" s="7" t="s">
        <v>59</v>
      </c>
      <c r="F61" s="18" t="n">
        <f aca="false">IF('جبار البيشي'!E53="","",'جبار البيشي'!E53)</f>
        <v>100</v>
      </c>
      <c r="G61" s="19" t="n">
        <f aca="false">IF('جبار البيشي'!F53="","",'جبار البيشي'!F53)</f>
        <v>100</v>
      </c>
      <c r="H61" s="9" t="n">
        <f aca="false">IF(F61="","",ROUND(F61*G61,2))</f>
        <v>10000</v>
      </c>
      <c r="I61" s="9" t="n">
        <f aca="false">IF(F61="","",ROUND(H61*IF(N('جبار البيشي'!G53)&gt;1,'جبار البيشي'!G53-1,0),2))</f>
        <v>1500</v>
      </c>
      <c r="J61" s="9" t="n">
        <f aca="false">N('جبار البيشي'!H53)</f>
        <v>11500</v>
      </c>
      <c r="K61" s="9" t="n">
        <f aca="false">N('جبار البيشي'!I53)</f>
        <v>0</v>
      </c>
    </row>
    <row r="62" customFormat="false" ht="15" hidden="false" customHeight="false" outlineLevel="0" collapsed="false">
      <c r="A62" s="17" t="s">
        <v>23</v>
      </c>
      <c r="B62" s="11" t="n">
        <f aca="false">'جبار البيشي'!C54</f>
        <v>46319</v>
      </c>
      <c r="C62" s="17" t="str">
        <f aca="false">'جبار البيشي'!D54</f>
        <v>شبكة تحويل سند/6713</v>
      </c>
      <c r="D62" s="17"/>
      <c r="E62" s="7" t="s">
        <v>65</v>
      </c>
      <c r="F62" s="7" t="str">
        <f aca="false">IF('جبار البيشي'!E54="","",'جبار البيشي'!E54)</f>
        <v/>
      </c>
      <c r="G62" s="19" t="str">
        <f aca="false">IF('جبار البيشي'!F54="","",'جبار البيشي'!F54)</f>
        <v/>
      </c>
      <c r="H62" s="9" t="str">
        <f aca="false">IF(F62="","",ROUND(F62*G62,2))</f>
        <v/>
      </c>
      <c r="I62" s="9" t="str">
        <f aca="false">IF(F62="","",ROUND(H62*IF(N('جبار البيشي'!G54)&gt;1,'جبار البيشي'!G54-1,0),2))</f>
        <v/>
      </c>
      <c r="J62" s="9" t="n">
        <f aca="false">N('جبار البيشي'!H54)</f>
        <v>0</v>
      </c>
      <c r="K62" s="9" t="n">
        <f aca="false">N('جبار البيشي'!I54)</f>
        <v>22</v>
      </c>
    </row>
    <row r="63" customFormat="false" ht="15" hidden="false" customHeight="false" outlineLevel="0" collapsed="false">
      <c r="A63" s="17" t="s">
        <v>23</v>
      </c>
      <c r="B63" s="11" t="n">
        <f aca="false">'جبار البيشي'!C55</f>
        <v>46320</v>
      </c>
      <c r="C63" s="17" t="str">
        <f aca="false">'جبار البيشي'!D55</f>
        <v>سداد سند/5568</v>
      </c>
      <c r="D63" s="17"/>
      <c r="E63" s="7" t="s">
        <v>57</v>
      </c>
      <c r="F63" s="7" t="str">
        <f aca="false">IF('جبار البيشي'!E55="","",'جبار البيشي'!E55)</f>
        <v/>
      </c>
      <c r="G63" s="19" t="str">
        <f aca="false">IF('جبار البيشي'!F55="","",'جبار البيشي'!F55)</f>
        <v/>
      </c>
      <c r="H63" s="9" t="str">
        <f aca="false">IF(F63="","",ROUND(F63*G63,2))</f>
        <v/>
      </c>
      <c r="I63" s="9" t="str">
        <f aca="false">IF(F63="","",ROUND(H63*IF(N('جبار البيشي'!G55)&gt;1,'جبار البيشي'!G55-1,0),2))</f>
        <v/>
      </c>
      <c r="J63" s="9" t="n">
        <f aca="false">N('جبار البيشي'!H55)</f>
        <v>0</v>
      </c>
      <c r="K63" s="9" t="n">
        <f aca="false">N('جبار البيشي'!I55)</f>
        <v>10000</v>
      </c>
    </row>
    <row r="64" customFormat="false" ht="15" hidden="false" customHeight="false" outlineLevel="0" collapsed="false">
      <c r="A64" s="17" t="s">
        <v>23</v>
      </c>
      <c r="B64" s="11" t="n">
        <f aca="false">'جبار البيشي'!C56</f>
        <v>46320</v>
      </c>
      <c r="C64" s="17" t="str">
        <f aca="false">'جبار البيشي'!D56</f>
        <v>افندي تركي</v>
      </c>
      <c r="D64" s="17" t="s">
        <v>75</v>
      </c>
      <c r="E64" s="7" t="s">
        <v>59</v>
      </c>
      <c r="F64" s="18" t="n">
        <f aca="false">IF('جبار البيشي'!E56="","",'جبار البيشي'!E56)</f>
        <v>130</v>
      </c>
      <c r="G64" s="19" t="n">
        <f aca="false">IF('جبار البيشي'!F56="","",'جبار البيشي'!F56)</f>
        <v>12</v>
      </c>
      <c r="H64" s="9" t="n">
        <f aca="false">IF(F64="","",ROUND(F64*G64,2))</f>
        <v>1560</v>
      </c>
      <c r="I64" s="9" t="n">
        <f aca="false">IF(F64="","",ROUND(H64*IF(N('جبار البيشي'!G56)&gt;1,'جبار البيشي'!G56-1,0),2))</f>
        <v>234</v>
      </c>
      <c r="J64" s="9" t="n">
        <f aca="false">N('جبار البيشي'!H56)</f>
        <v>1794</v>
      </c>
      <c r="K64" s="9" t="n">
        <f aca="false">N('جبار البيشي'!I56)</f>
        <v>0</v>
      </c>
    </row>
    <row r="65" customFormat="false" ht="15" hidden="false" customHeight="false" outlineLevel="0" collapsed="false">
      <c r="A65" s="17" t="s">
        <v>23</v>
      </c>
      <c r="B65" s="11" t="n">
        <f aca="false">'جبار البيشي'!C57</f>
        <v>46320</v>
      </c>
      <c r="C65" s="17" t="str">
        <f aca="false">'جبار البيشي'!D57</f>
        <v>حوالة بنكية نقاوة بلس</v>
      </c>
      <c r="D65" s="17"/>
      <c r="E65" s="7" t="s">
        <v>65</v>
      </c>
      <c r="F65" s="7" t="str">
        <f aca="false">IF('جبار البيشي'!E57="","",'جبار البيشي'!E57)</f>
        <v/>
      </c>
      <c r="G65" s="19" t="str">
        <f aca="false">IF('جبار البيشي'!F57="","",'جبار البيشي'!F57)</f>
        <v/>
      </c>
      <c r="H65" s="9" t="str">
        <f aca="false">IF(F65="","",ROUND(F65*G65,2))</f>
        <v/>
      </c>
      <c r="I65" s="9" t="str">
        <f aca="false">IF(F65="","",ROUND(H65*IF(N('جبار البيشي'!G57)&gt;1,'جبار البيشي'!G57-1,0),2))</f>
        <v/>
      </c>
      <c r="J65" s="9" t="n">
        <f aca="false">N('جبار البيشي'!H57)</f>
        <v>0</v>
      </c>
      <c r="K65" s="9" t="n">
        <f aca="false">N('جبار البيشي'!I57)</f>
        <v>7000</v>
      </c>
    </row>
    <row r="66" customFormat="false" ht="15" hidden="false" customHeight="false" outlineLevel="0" collapsed="false">
      <c r="A66" s="17" t="s">
        <v>23</v>
      </c>
      <c r="B66" s="11" t="n">
        <f aca="false">'جبار البيشي'!C58</f>
        <v>46321</v>
      </c>
      <c r="C66" s="17" t="str">
        <f aca="false">'جبار البيشي'!D58</f>
        <v>عنب تركي</v>
      </c>
      <c r="D66" s="17" t="s">
        <v>60</v>
      </c>
      <c r="E66" s="7" t="s">
        <v>59</v>
      </c>
      <c r="F66" s="18" t="n">
        <f aca="false">IF('جبار البيشي'!E58="","",'جبار البيشي'!E58)</f>
        <v>48</v>
      </c>
      <c r="G66" s="19" t="n">
        <f aca="false">IF('جبار البيشي'!F58="","",'جبار البيشي'!F58)</f>
        <v>58</v>
      </c>
      <c r="H66" s="9" t="n">
        <f aca="false">IF(F66="","",ROUND(F66*G66,2))</f>
        <v>2784</v>
      </c>
      <c r="I66" s="9" t="n">
        <f aca="false">IF(F66="","",ROUND(H66*IF(N('جبار البيشي'!G58)&gt;1,'جبار البيشي'!G58-1,0),2))</f>
        <v>417.6</v>
      </c>
      <c r="J66" s="9" t="n">
        <f aca="false">N('جبار البيشي'!H58)</f>
        <v>3201.6</v>
      </c>
      <c r="K66" s="9" t="n">
        <f aca="false">N('جبار البيشي'!I58)</f>
        <v>0</v>
      </c>
    </row>
    <row r="67" customFormat="false" ht="15" hidden="false" customHeight="false" outlineLevel="0" collapsed="false">
      <c r="A67" s="17" t="s">
        <v>23</v>
      </c>
      <c r="B67" s="11" t="n">
        <f aca="false">'جبار البيشي'!C59</f>
        <v>46321</v>
      </c>
      <c r="C67" s="17" t="str">
        <f aca="false">'جبار البيشي'!D59</f>
        <v>حوالة بنكية محمد عادل</v>
      </c>
      <c r="D67" s="17"/>
      <c r="E67" s="7" t="s">
        <v>65</v>
      </c>
      <c r="F67" s="7" t="str">
        <f aca="false">IF('جبار البيشي'!E59="","",'جبار البيشي'!E59)</f>
        <v/>
      </c>
      <c r="G67" s="19" t="str">
        <f aca="false">IF('جبار البيشي'!F59="","",'جبار البيشي'!F59)</f>
        <v/>
      </c>
      <c r="H67" s="9" t="str">
        <f aca="false">IF(F67="","",ROUND(F67*G67,2))</f>
        <v/>
      </c>
      <c r="I67" s="9" t="str">
        <f aca="false">IF(F67="","",ROUND(H67*IF(N('جبار البيشي'!G59)&gt;1,'جبار البيشي'!G59-1,0),2))</f>
        <v/>
      </c>
      <c r="J67" s="9" t="n">
        <f aca="false">N('جبار البيشي'!H59)</f>
        <v>0</v>
      </c>
      <c r="K67" s="9" t="n">
        <f aca="false">N('جبار البيشي'!I59)</f>
        <v>7800</v>
      </c>
    </row>
    <row r="68" customFormat="false" ht="15" hidden="false" customHeight="false" outlineLevel="0" collapsed="false">
      <c r="A68" s="17" t="s">
        <v>23</v>
      </c>
      <c r="B68" s="11" t="n">
        <f aca="false">'جبار البيشي'!C60</f>
        <v>46321</v>
      </c>
      <c r="C68" s="17" t="str">
        <f aca="false">'جبار البيشي'!D60</f>
        <v>حوالة بنكية نقاوة بلس</v>
      </c>
      <c r="D68" s="17"/>
      <c r="E68" s="7" t="s">
        <v>65</v>
      </c>
      <c r="F68" s="7" t="str">
        <f aca="false">IF('جبار البيشي'!E60="","",'جبار البيشي'!E60)</f>
        <v/>
      </c>
      <c r="G68" s="19" t="str">
        <f aca="false">IF('جبار البيشي'!F60="","",'جبار البيشي'!F60)</f>
        <v/>
      </c>
      <c r="H68" s="9" t="str">
        <f aca="false">IF(F68="","",ROUND(F68*G68,2))</f>
        <v/>
      </c>
      <c r="I68" s="9" t="str">
        <f aca="false">IF(F68="","",ROUND(H68*IF(N('جبار البيشي'!G60)&gt;1,'جبار البيشي'!G60-1,0),2))</f>
        <v/>
      </c>
      <c r="J68" s="9" t="n">
        <f aca="false">N('جبار البيشي'!H60)</f>
        <v>0</v>
      </c>
      <c r="K68" s="9" t="n">
        <f aca="false">N('جبار البيشي'!I60)</f>
        <v>5110</v>
      </c>
    </row>
    <row r="69" customFormat="false" ht="15" hidden="false" customHeight="false" outlineLevel="0" collapsed="false">
      <c r="A69" s="17" t="s">
        <v>23</v>
      </c>
      <c r="B69" s="11" t="n">
        <f aca="false">'جبار البيشي'!C61</f>
        <v>46322</v>
      </c>
      <c r="C69" s="17" t="str">
        <f aca="false">'جبار البيشي'!D61</f>
        <v>سداد سند/5578</v>
      </c>
      <c r="D69" s="17"/>
      <c r="E69" s="7" t="s">
        <v>57</v>
      </c>
      <c r="F69" s="7" t="str">
        <f aca="false">IF('جبار البيشي'!E61="","",'جبار البيشي'!E61)</f>
        <v/>
      </c>
      <c r="G69" s="19" t="str">
        <f aca="false">IF('جبار البيشي'!F61="","",'جبار البيشي'!F61)</f>
        <v/>
      </c>
      <c r="H69" s="9" t="str">
        <f aca="false">IF(F69="","",ROUND(F69*G69,2))</f>
        <v/>
      </c>
      <c r="I69" s="9" t="str">
        <f aca="false">IF(F69="","",ROUND(H69*IF(N('جبار البيشي'!G61)&gt;1,'جبار البيشي'!G61-1,0),2))</f>
        <v/>
      </c>
      <c r="J69" s="9" t="n">
        <f aca="false">N('جبار البيشي'!H61)</f>
        <v>0</v>
      </c>
      <c r="K69" s="9" t="n">
        <f aca="false">N('جبار البيشي'!I61)</f>
        <v>15000</v>
      </c>
    </row>
    <row r="70" customFormat="false" ht="15" hidden="false" customHeight="false" outlineLevel="0" collapsed="false">
      <c r="A70" s="17" t="s">
        <v>23</v>
      </c>
      <c r="B70" s="11" t="n">
        <f aca="false">'جبار البيشي'!C62</f>
        <v>46323</v>
      </c>
      <c r="C70" s="17" t="str">
        <f aca="false">'جبار البيشي'!D62</f>
        <v>شبكة تحويل سند/6718</v>
      </c>
      <c r="D70" s="17"/>
      <c r="E70" s="7" t="s">
        <v>65</v>
      </c>
      <c r="F70" s="7" t="str">
        <f aca="false">IF('جبار البيشي'!E62="","",'جبار البيشي'!E62)</f>
        <v/>
      </c>
      <c r="G70" s="19" t="str">
        <f aca="false">IF('جبار البيشي'!F62="","",'جبار البيشي'!F62)</f>
        <v/>
      </c>
      <c r="H70" s="9" t="str">
        <f aca="false">IF(F70="","",ROUND(F70*G70,2))</f>
        <v/>
      </c>
      <c r="I70" s="9" t="str">
        <f aca="false">IF(F70="","",ROUND(H70*IF(N('جبار البيشي'!G62)&gt;1,'جبار البيشي'!G62-1,0),2))</f>
        <v/>
      </c>
      <c r="J70" s="9" t="n">
        <f aca="false">N('جبار البيشي'!H62)</f>
        <v>0</v>
      </c>
      <c r="K70" s="9" t="n">
        <f aca="false">N('جبار البيشي'!I62)</f>
        <v>45</v>
      </c>
    </row>
    <row r="71" customFormat="false" ht="15" hidden="false" customHeight="false" outlineLevel="0" collapsed="false">
      <c r="A71" s="17" t="s">
        <v>23</v>
      </c>
      <c r="B71" s="11" t="n">
        <f aca="false">'جبار البيشي'!C63</f>
        <v>46323</v>
      </c>
      <c r="C71" s="17" t="str">
        <f aca="false">'جبار البيشي'!D63</f>
        <v>حوالة بنكية نقاوة بلس</v>
      </c>
      <c r="D71" s="17"/>
      <c r="E71" s="7" t="s">
        <v>65</v>
      </c>
      <c r="F71" s="7" t="str">
        <f aca="false">IF('جبار البيشي'!E63="","",'جبار البيشي'!E63)</f>
        <v/>
      </c>
      <c r="G71" s="19" t="str">
        <f aca="false">IF('جبار البيشي'!F63="","",'جبار البيشي'!F63)</f>
        <v/>
      </c>
      <c r="H71" s="9" t="str">
        <f aca="false">IF(F71="","",ROUND(F71*G71,2))</f>
        <v/>
      </c>
      <c r="I71" s="9" t="str">
        <f aca="false">IF(F71="","",ROUND(H71*IF(N('جبار البيشي'!G63)&gt;1,'جبار البيشي'!G63-1,0),2))</f>
        <v/>
      </c>
      <c r="J71" s="9" t="n">
        <f aca="false">N('جبار البيشي'!H63)</f>
        <v>0</v>
      </c>
      <c r="K71" s="9" t="n">
        <f aca="false">N('جبار البيشي'!I63)</f>
        <v>5000</v>
      </c>
    </row>
    <row r="72" customFormat="false" ht="15" hidden="false" customHeight="false" outlineLevel="0" collapsed="false">
      <c r="A72" s="17" t="s">
        <v>23</v>
      </c>
      <c r="B72" s="11" t="n">
        <f aca="false">'جبار البيشي'!C64</f>
        <v>46323</v>
      </c>
      <c r="C72" s="17" t="str">
        <f aca="false">'جبار البيشي'!D64</f>
        <v>حوالة بنكية محمود الساعي</v>
      </c>
      <c r="D72" s="17"/>
      <c r="E72" s="7" t="s">
        <v>65</v>
      </c>
      <c r="F72" s="7" t="str">
        <f aca="false">IF('جبار البيشي'!E64="","",'جبار البيشي'!E64)</f>
        <v/>
      </c>
      <c r="G72" s="19" t="str">
        <f aca="false">IF('جبار البيشي'!F64="","",'جبار البيشي'!F64)</f>
        <v/>
      </c>
      <c r="H72" s="9" t="str">
        <f aca="false">IF(F72="","",ROUND(F72*G72,2))</f>
        <v/>
      </c>
      <c r="I72" s="9" t="str">
        <f aca="false">IF(F72="","",ROUND(H72*IF(N('جبار البيشي'!G64)&gt;1,'جبار البيشي'!G64-1,0),2))</f>
        <v/>
      </c>
      <c r="J72" s="9" t="n">
        <f aca="false">N('جبار البيشي'!H64)</f>
        <v>0</v>
      </c>
      <c r="K72" s="9" t="n">
        <f aca="false">N('جبار البيشي'!I64)</f>
        <v>4275</v>
      </c>
    </row>
    <row r="73" customFormat="false" ht="15" hidden="false" customHeight="false" outlineLevel="0" collapsed="false">
      <c r="A73" s="17" t="s">
        <v>23</v>
      </c>
      <c r="B73" s="11" t="n">
        <f aca="false">'جبار البيشي'!C65</f>
        <v>46323</v>
      </c>
      <c r="C73" s="17" t="str">
        <f aca="false">'جبار البيشي'!D65</f>
        <v>حوالة بنكية نقاوة بلس</v>
      </c>
      <c r="D73" s="17"/>
      <c r="E73" s="7" t="s">
        <v>65</v>
      </c>
      <c r="F73" s="7" t="str">
        <f aca="false">IF('جبار البيشي'!E65="","",'جبار البيشي'!E65)</f>
        <v/>
      </c>
      <c r="G73" s="19" t="str">
        <f aca="false">IF('جبار البيشي'!F65="","",'جبار البيشي'!F65)</f>
        <v/>
      </c>
      <c r="H73" s="9" t="str">
        <f aca="false">IF(F73="","",ROUND(F73*G73,2))</f>
        <v/>
      </c>
      <c r="I73" s="9" t="str">
        <f aca="false">IF(F73="","",ROUND(H73*IF(N('جبار البيشي'!G65)&gt;1,'جبار البيشي'!G65-1,0),2))</f>
        <v/>
      </c>
      <c r="J73" s="9" t="n">
        <f aca="false">N('جبار البيشي'!H65)</f>
        <v>0</v>
      </c>
      <c r="K73" s="9" t="n">
        <f aca="false">N('جبار البيشي'!I65)</f>
        <v>4326</v>
      </c>
    </row>
    <row r="74" customFormat="false" ht="15" hidden="false" customHeight="false" outlineLevel="0" collapsed="false">
      <c r="A74" s="17" t="s">
        <v>23</v>
      </c>
      <c r="B74" s="11" t="n">
        <f aca="false">'جبار البيشي'!C66</f>
        <v>46324</v>
      </c>
      <c r="C74" s="17" t="str">
        <f aca="false">'جبار البيشي'!D66</f>
        <v>شبكة تحويل سند/6719</v>
      </c>
      <c r="D74" s="17"/>
      <c r="E74" s="7" t="s">
        <v>65</v>
      </c>
      <c r="F74" s="7" t="str">
        <f aca="false">IF('جبار البيشي'!E66="","",'جبار البيشي'!E66)</f>
        <v/>
      </c>
      <c r="G74" s="19" t="str">
        <f aca="false">IF('جبار البيشي'!F66="","",'جبار البيشي'!F66)</f>
        <v/>
      </c>
      <c r="H74" s="9" t="str">
        <f aca="false">IF(F74="","",ROUND(F74*G74,2))</f>
        <v/>
      </c>
      <c r="I74" s="9" t="str">
        <f aca="false">IF(F74="","",ROUND(H74*IF(N('جبار البيشي'!G66)&gt;1,'جبار البيشي'!G66-1,0),2))</f>
        <v/>
      </c>
      <c r="J74" s="9" t="n">
        <f aca="false">N('جبار البيشي'!H66)</f>
        <v>0</v>
      </c>
      <c r="K74" s="9" t="n">
        <f aca="false">N('جبار البيشي'!I66)</f>
        <v>155</v>
      </c>
    </row>
    <row r="75" customFormat="false" ht="15" hidden="false" customHeight="false" outlineLevel="0" collapsed="false">
      <c r="A75" s="17" t="s">
        <v>23</v>
      </c>
      <c r="B75" s="11" t="n">
        <f aca="false">'جبار البيشي'!C67</f>
        <v>46324</v>
      </c>
      <c r="C75" s="17" t="str">
        <f aca="false">'جبار البيشي'!D67</f>
        <v>فراولة</v>
      </c>
      <c r="D75" s="17" t="s">
        <v>63</v>
      </c>
      <c r="E75" s="7" t="s">
        <v>59</v>
      </c>
      <c r="F75" s="18" t="n">
        <f aca="false">IF('جبار البيشي'!E67="","",'جبار البيشي'!E67)</f>
        <v>99</v>
      </c>
      <c r="G75" s="19" t="n">
        <f aca="false">IF('جبار البيشي'!F67="","",'جبار البيشي'!F67)</f>
        <v>100</v>
      </c>
      <c r="H75" s="9" t="n">
        <f aca="false">IF(F75="","",ROUND(F75*G75,2))</f>
        <v>9900</v>
      </c>
      <c r="I75" s="9" t="n">
        <f aca="false">IF(F75="","",ROUND(H75*IF(N('جبار البيشي'!G67)&gt;1,'جبار البيشي'!G67-1,0),2))</f>
        <v>1485</v>
      </c>
      <c r="J75" s="9" t="n">
        <f aca="false">N('جبار البيشي'!H67)</f>
        <v>11385</v>
      </c>
      <c r="K75" s="9" t="n">
        <f aca="false">N('جبار البيشي'!I67)</f>
        <v>0</v>
      </c>
    </row>
    <row r="76" customFormat="false" ht="15" hidden="false" customHeight="false" outlineLevel="0" collapsed="false">
      <c r="A76" s="17" t="s">
        <v>23</v>
      </c>
      <c r="B76" s="11" t="n">
        <f aca="false">'جبار البيشي'!C68</f>
        <v>46324</v>
      </c>
      <c r="C76" s="17" t="str">
        <f aca="false">'جبار البيشي'!D68</f>
        <v>فراولة</v>
      </c>
      <c r="D76" s="17" t="s">
        <v>63</v>
      </c>
      <c r="E76" s="7" t="s">
        <v>59</v>
      </c>
      <c r="F76" s="18" t="n">
        <f aca="false">IF('جبار البيشي'!E68="","",'جبار البيشي'!E68)</f>
        <v>1</v>
      </c>
      <c r="G76" s="19" t="n">
        <f aca="false">IF('جبار البيشي'!F68="","",'جبار البيشي'!F68)</f>
        <v>90</v>
      </c>
      <c r="H76" s="9" t="n">
        <f aca="false">IF(F76="","",ROUND(F76*G76,2))</f>
        <v>90</v>
      </c>
      <c r="I76" s="9" t="n">
        <f aca="false">IF(F76="","",ROUND(H76*IF(N('جبار البيشي'!G68)&gt;1,'جبار البيشي'!G68-1,0),2))</f>
        <v>13.5</v>
      </c>
      <c r="J76" s="9" t="n">
        <f aca="false">N('جبار البيشي'!H68)</f>
        <v>103.5</v>
      </c>
      <c r="K76" s="9" t="n">
        <f aca="false">N('جبار البيشي'!I68)</f>
        <v>0</v>
      </c>
    </row>
    <row r="77" customFormat="false" ht="15" hidden="false" customHeight="false" outlineLevel="0" collapsed="false">
      <c r="A77" s="17" t="s">
        <v>23</v>
      </c>
      <c r="B77" s="11" t="n">
        <f aca="false">'جبار البيشي'!C69</f>
        <v>46325</v>
      </c>
      <c r="C77" s="17" t="str">
        <f aca="false">'جبار البيشي'!D69</f>
        <v>جريب فروت</v>
      </c>
      <c r="D77" s="17" t="s">
        <v>76</v>
      </c>
      <c r="E77" s="7" t="s">
        <v>59</v>
      </c>
      <c r="F77" s="18" t="n">
        <f aca="false">IF('جبار البيشي'!E69="","",'جبار البيشي'!E69)</f>
        <v>9</v>
      </c>
      <c r="G77" s="19" t="n">
        <f aca="false">IF('جبار البيشي'!F69="","",'جبار البيشي'!F69)</f>
        <v>60</v>
      </c>
      <c r="H77" s="9" t="n">
        <f aca="false">IF(F77="","",ROUND(F77*G77,2))</f>
        <v>540</v>
      </c>
      <c r="I77" s="9" t="n">
        <f aca="false">IF(F77="","",ROUND(H77*IF(N('جبار البيشي'!G69)&gt;1,'جبار البيشي'!G69-1,0),2))</f>
        <v>81</v>
      </c>
      <c r="J77" s="9" t="n">
        <f aca="false">N('جبار البيشي'!H69)</f>
        <v>621</v>
      </c>
      <c r="K77" s="9" t="n">
        <f aca="false">N('جبار البيشي'!I69)</f>
        <v>0</v>
      </c>
    </row>
    <row r="78" customFormat="false" ht="15" hidden="false" customHeight="false" outlineLevel="0" collapsed="false">
      <c r="A78" s="17" t="s">
        <v>24</v>
      </c>
      <c r="B78" s="11" t="n">
        <f aca="false">'عزم الانجاز'!C7</f>
        <v>46317</v>
      </c>
      <c r="C78" s="17" t="str">
        <f aca="false">'عزم الانجاز'!D7</f>
        <v>كعك علب</v>
      </c>
      <c r="D78" s="17" t="s">
        <v>77</v>
      </c>
      <c r="E78" s="7" t="s">
        <v>59</v>
      </c>
      <c r="F78" s="18" t="n">
        <f aca="false">IF('عزم الانجاز'!E7="","",'عزم الانجاز'!E7)</f>
        <v>40</v>
      </c>
      <c r="G78" s="19" t="n">
        <f aca="false">IF('عزم الانجاز'!F7="","",'عزم الانجاز'!F7)</f>
        <v>30</v>
      </c>
      <c r="H78" s="9" t="n">
        <f aca="false">IF(F78="","",ROUND(F78*G78,2))</f>
        <v>1200</v>
      </c>
      <c r="I78" s="9" t="n">
        <f aca="false">IF(F78="","",ROUND(H78*IF(N('عزم الانجاز'!G7)&gt;1,'عزم الانجاز'!G7-1,0),2))</f>
        <v>180</v>
      </c>
      <c r="J78" s="9" t="n">
        <f aca="false">N('عزم الانجاز'!H7)</f>
        <v>1380</v>
      </c>
      <c r="K78" s="9" t="n">
        <f aca="false">N('عزم الانجاز'!I7)</f>
        <v>0</v>
      </c>
    </row>
    <row r="79" customFormat="false" ht="15" hidden="false" customHeight="false" outlineLevel="0" collapsed="false">
      <c r="A79" s="17" t="s">
        <v>24</v>
      </c>
      <c r="B79" s="11" t="n">
        <f aca="false">'عزم الانجاز'!C8</f>
        <v>46317</v>
      </c>
      <c r="C79" s="17" t="str">
        <f aca="false">'عزم الانجاز'!D8</f>
        <v>خوخ علب</v>
      </c>
      <c r="D79" s="17" t="s">
        <v>78</v>
      </c>
      <c r="E79" s="7" t="s">
        <v>59</v>
      </c>
      <c r="F79" s="18" t="n">
        <f aca="false">IF('عزم الانجاز'!E8="","",'عزم الانجاز'!E8)</f>
        <v>30</v>
      </c>
      <c r="G79" s="19" t="n">
        <f aca="false">IF('عزم الانجاز'!F8="","",'عزم الانجاز'!F8)</f>
        <v>32</v>
      </c>
      <c r="H79" s="9" t="n">
        <f aca="false">IF(F79="","",ROUND(F79*G79,2))</f>
        <v>960</v>
      </c>
      <c r="I79" s="9" t="n">
        <f aca="false">IF(F79="","",ROUND(H79*IF(N('عزم الانجاز'!G8)&gt;1,'عزم الانجاز'!G8-1,0),2))</f>
        <v>144</v>
      </c>
      <c r="J79" s="9" t="n">
        <f aca="false">N('عزم الانجاز'!H8)</f>
        <v>1104</v>
      </c>
      <c r="K79" s="9" t="n">
        <f aca="false">N('عزم الانجاز'!I8)</f>
        <v>0</v>
      </c>
    </row>
    <row r="80" customFormat="false" ht="15" hidden="false" customHeight="false" outlineLevel="0" collapsed="false">
      <c r="A80" s="17" t="s">
        <v>24</v>
      </c>
      <c r="B80" s="11" t="n">
        <f aca="false">'عزم الانجاز'!C9</f>
        <v>46317</v>
      </c>
      <c r="C80" s="17" t="str">
        <f aca="false">'عزم الانجاز'!D9</f>
        <v>نكترين علب</v>
      </c>
      <c r="D80" s="17" t="s">
        <v>79</v>
      </c>
      <c r="E80" s="7" t="s">
        <v>59</v>
      </c>
      <c r="F80" s="18" t="n">
        <f aca="false">IF('عزم الانجاز'!E9="","",'عزم الانجاز'!E9)</f>
        <v>30</v>
      </c>
      <c r="G80" s="19" t="n">
        <f aca="false">IF('عزم الانجاز'!F9="","",'عزم الانجاز'!F9)</f>
        <v>24</v>
      </c>
      <c r="H80" s="9" t="n">
        <f aca="false">IF(F80="","",ROUND(F80*G80,2))</f>
        <v>720</v>
      </c>
      <c r="I80" s="9" t="n">
        <f aca="false">IF(F80="","",ROUND(H80*IF(N('عزم الانجاز'!G9)&gt;1,'عزم الانجاز'!G9-1,0),2))</f>
        <v>108</v>
      </c>
      <c r="J80" s="9" t="n">
        <f aca="false">N('عزم الانجاز'!H9)</f>
        <v>828</v>
      </c>
      <c r="K80" s="9" t="n">
        <f aca="false">N('عزم الانجاز'!I9)</f>
        <v>0</v>
      </c>
    </row>
    <row r="81" customFormat="false" ht="15" hidden="false" customHeight="false" outlineLevel="0" collapsed="false">
      <c r="A81" s="17" t="s">
        <v>24</v>
      </c>
      <c r="B81" s="11" t="n">
        <f aca="false">'عزم الانجاز'!C10</f>
        <v>46320</v>
      </c>
      <c r="C81" s="17" t="str">
        <f aca="false">'عزم الانجاز'!D10</f>
        <v>سداد سند/79896</v>
      </c>
      <c r="D81" s="17"/>
      <c r="E81" s="7" t="s">
        <v>57</v>
      </c>
      <c r="F81" s="7" t="str">
        <f aca="false">IF('عزم الانجاز'!E10="","",'عزم الانجاز'!E10)</f>
        <v/>
      </c>
      <c r="G81" s="19" t="str">
        <f aca="false">IF('عزم الانجاز'!F10="","",'عزم الانجاز'!F10)</f>
        <v/>
      </c>
      <c r="H81" s="9" t="str">
        <f aca="false">IF(F81="","",ROUND(F81*G81,2))</f>
        <v/>
      </c>
      <c r="I81" s="9" t="str">
        <f aca="false">IF(F81="","",ROUND(H81*IF(N('عزم الانجاز'!G10)&gt;1,'عزم الانجاز'!G10-1,0),2))</f>
        <v/>
      </c>
      <c r="J81" s="9" t="n">
        <f aca="false">N('عزم الانجاز'!H10)</f>
        <v>0</v>
      </c>
      <c r="K81" s="9" t="n">
        <f aca="false">N('عزم الانجاز'!I10)</f>
        <v>1000</v>
      </c>
    </row>
    <row r="82" customFormat="false" ht="15" hidden="false" customHeight="false" outlineLevel="0" collapsed="false">
      <c r="A82" s="17" t="s">
        <v>24</v>
      </c>
      <c r="B82" s="11" t="n">
        <f aca="false">'عزم الانجاز'!C11</f>
        <v>46322</v>
      </c>
      <c r="C82" s="17" t="str">
        <f aca="false">'عزم الانجاز'!D11</f>
        <v>سداد سند/79948</v>
      </c>
      <c r="D82" s="17"/>
      <c r="E82" s="7" t="s">
        <v>57</v>
      </c>
      <c r="F82" s="7" t="str">
        <f aca="false">IF('عزم الانجاز'!E11="","",'عزم الانجاز'!E11)</f>
        <v/>
      </c>
      <c r="G82" s="19" t="str">
        <f aca="false">IF('عزم الانجاز'!F11="","",'عزم الانجاز'!F11)</f>
        <v/>
      </c>
      <c r="H82" s="9" t="str">
        <f aca="false">IF(F82="","",ROUND(F82*G82,2))</f>
        <v/>
      </c>
      <c r="I82" s="9" t="str">
        <f aca="false">IF(F82="","",ROUND(H82*IF(N('عزم الانجاز'!G11)&gt;1,'عزم الانجاز'!G11-1,0),2))</f>
        <v/>
      </c>
      <c r="J82" s="9" t="n">
        <f aca="false">N('عزم الانجاز'!H11)</f>
        <v>0</v>
      </c>
      <c r="K82" s="9" t="n">
        <f aca="false">N('عزم الانجاز'!I11)</f>
        <v>1000</v>
      </c>
    </row>
    <row r="83" customFormat="false" ht="15" hidden="false" customHeight="false" outlineLevel="0" collapsed="false">
      <c r="A83" s="17" t="s">
        <v>24</v>
      </c>
      <c r="B83" s="11" t="n">
        <f aca="false">'عزم الانجاز'!C12</f>
        <v>46324</v>
      </c>
      <c r="C83" s="17" t="str">
        <f aca="false">'عزم الانجاز'!D12</f>
        <v>سداد سند/79988</v>
      </c>
      <c r="D83" s="17"/>
      <c r="E83" s="7" t="s">
        <v>57</v>
      </c>
      <c r="F83" s="7" t="str">
        <f aca="false">IF('عزم الانجاز'!E12="","",'عزم الانجاز'!E12)</f>
        <v/>
      </c>
      <c r="G83" s="19" t="str">
        <f aca="false">IF('عزم الانجاز'!F12="","",'عزم الانجاز'!F12)</f>
        <v/>
      </c>
      <c r="H83" s="9" t="str">
        <f aca="false">IF(F83="","",ROUND(F83*G83,2))</f>
        <v/>
      </c>
      <c r="I83" s="9" t="str">
        <f aca="false">IF(F83="","",ROUND(H83*IF(N('عزم الانجاز'!G12)&gt;1,'عزم الانجاز'!G12-1,0),2))</f>
        <v/>
      </c>
      <c r="J83" s="9" t="n">
        <f aca="false">N('عزم الانجاز'!H12)</f>
        <v>0</v>
      </c>
      <c r="K83" s="9" t="n">
        <f aca="false">N('عزم الانجاز'!I12)</f>
        <v>1310</v>
      </c>
    </row>
    <row r="84" customFormat="false" ht="15" hidden="false" customHeight="false" outlineLevel="0" collapsed="false">
      <c r="A84" s="17" t="s">
        <v>25</v>
      </c>
      <c r="B84" s="11" t="n">
        <f aca="false">'ثمار العالمي'!C7</f>
        <v>46305</v>
      </c>
      <c r="C84" s="17" t="str">
        <f aca="false">'ثمار العالمي'!D7</f>
        <v>مانجو</v>
      </c>
      <c r="D84" s="17" t="s">
        <v>80</v>
      </c>
      <c r="E84" s="7" t="s">
        <v>59</v>
      </c>
      <c r="F84" s="18" t="n">
        <f aca="false">IF('ثمار العالمي'!E7="","",'ثمار العالمي'!E7)</f>
        <v>19</v>
      </c>
      <c r="G84" s="19" t="n">
        <f aca="false">IF('ثمار العالمي'!F7="","",'ثمار العالمي'!F7)</f>
        <v>16</v>
      </c>
      <c r="H84" s="9" t="n">
        <f aca="false">IF(F84="","",ROUND(F84*G84,2))</f>
        <v>304</v>
      </c>
      <c r="I84" s="9" t="n">
        <f aca="false">IF(F84="","",ROUND(H84*IF(N('ثمار العالمي'!G7)&gt;1,'ثمار العالمي'!G7-1,0),2))</f>
        <v>45.6</v>
      </c>
      <c r="J84" s="9" t="n">
        <f aca="false">N('ثمار العالمي'!H7)</f>
        <v>349.6</v>
      </c>
      <c r="K84" s="9" t="n">
        <f aca="false">N('ثمار العالمي'!I7)</f>
        <v>0</v>
      </c>
    </row>
    <row r="85" customFormat="false" ht="15" hidden="false" customHeight="false" outlineLevel="0" collapsed="false">
      <c r="A85" s="17" t="s">
        <v>25</v>
      </c>
      <c r="B85" s="11" t="n">
        <f aca="false">'ثمار العالمي'!C8</f>
        <v>46306</v>
      </c>
      <c r="C85" s="17" t="str">
        <f aca="false">'ثمار العالمي'!D8</f>
        <v>سداد</v>
      </c>
      <c r="D85" s="17"/>
      <c r="E85" s="7" t="s">
        <v>57</v>
      </c>
      <c r="F85" s="7" t="str">
        <f aca="false">IF('ثمار العالمي'!E8="","",'ثمار العالمي'!E8)</f>
        <v/>
      </c>
      <c r="G85" s="19" t="str">
        <f aca="false">IF('ثمار العالمي'!F8="","",'ثمار العالمي'!F8)</f>
        <v/>
      </c>
      <c r="H85" s="9" t="str">
        <f aca="false">IF(F85="","",ROUND(F85*G85,2))</f>
        <v/>
      </c>
      <c r="I85" s="9" t="str">
        <f aca="false">IF(F85="","",ROUND(H85*IF(N('ثمار العالمي'!G8)&gt;1,'ثمار العالمي'!G8-1,0),2))</f>
        <v/>
      </c>
      <c r="J85" s="9" t="n">
        <f aca="false">N('ثمار العالمي'!H8)</f>
        <v>0</v>
      </c>
      <c r="K85" s="9" t="n">
        <f aca="false">N('ثمار العالمي'!I8)</f>
        <v>350</v>
      </c>
    </row>
    <row r="86" customFormat="false" ht="15" hidden="false" customHeight="false" outlineLevel="0" collapsed="false">
      <c r="A86" s="17" t="s">
        <v>26</v>
      </c>
      <c r="B86" s="11" t="n">
        <f aca="false">'عبدالرحمن قدري'!C7</f>
        <v>46313</v>
      </c>
      <c r="C86" s="17" t="str">
        <f aca="false">'عبدالرحمن قدري'!D7</f>
        <v>نكترين وزن</v>
      </c>
      <c r="D86" s="17" t="s">
        <v>81</v>
      </c>
      <c r="E86" s="7" t="s">
        <v>59</v>
      </c>
      <c r="F86" s="18" t="n">
        <f aca="false">IF('عبدالرحمن قدري'!E7="","",'عبدالرحمن قدري'!E7)</f>
        <v>20</v>
      </c>
      <c r="G86" s="19" t="n">
        <f aca="false">IF('عبدالرحمن قدري'!F7="","",'عبدالرحمن قدري'!F7)</f>
        <v>20</v>
      </c>
      <c r="H86" s="9" t="n">
        <f aca="false">IF(F86="","",ROUND(F86*G86,2))</f>
        <v>400</v>
      </c>
      <c r="I86" s="9" t="n">
        <f aca="false">IF(F86="","",ROUND(H86*IF(N('عبدالرحمن قدري'!G7)&gt;1,'عبدالرحمن قدري'!G7-1,0),2))</f>
        <v>60</v>
      </c>
      <c r="J86" s="9" t="n">
        <f aca="false">N('عبدالرحمن قدري'!H7)</f>
        <v>460</v>
      </c>
      <c r="K86" s="9" t="n">
        <f aca="false">N('عبدالرحمن قدري'!I7)</f>
        <v>0</v>
      </c>
    </row>
    <row r="87" customFormat="false" ht="15" hidden="false" customHeight="false" outlineLevel="0" collapsed="false">
      <c r="A87" s="17" t="s">
        <v>26</v>
      </c>
      <c r="B87" s="11" t="n">
        <f aca="false">'عبدالرحمن قدري'!C8</f>
        <v>46321</v>
      </c>
      <c r="C87" s="17" t="str">
        <f aca="false">'عبدالرحمن قدري'!D8</f>
        <v>سداد</v>
      </c>
      <c r="D87" s="17"/>
      <c r="E87" s="7" t="s">
        <v>57</v>
      </c>
      <c r="F87" s="7" t="str">
        <f aca="false">IF('عبدالرحمن قدري'!E8="","",'عبدالرحمن قدري'!E8)</f>
        <v/>
      </c>
      <c r="G87" s="19" t="str">
        <f aca="false">IF('عبدالرحمن قدري'!F8="","",'عبدالرحمن قدري'!F8)</f>
        <v/>
      </c>
      <c r="H87" s="9" t="str">
        <f aca="false">IF(F87="","",ROUND(F87*G87,2))</f>
        <v/>
      </c>
      <c r="I87" s="9" t="str">
        <f aca="false">IF(F87="","",ROUND(H87*IF(N('عبدالرحمن قدري'!G8)&gt;1,'عبدالرحمن قدري'!G8-1,0),2))</f>
        <v/>
      </c>
      <c r="J87" s="9" t="n">
        <f aca="false">N('عبدالرحمن قدري'!H8)</f>
        <v>0</v>
      </c>
      <c r="K87" s="9" t="n">
        <f aca="false">N('عبدالرحمن قدري'!I8)</f>
        <v>460</v>
      </c>
    </row>
    <row r="88" customFormat="false" ht="15" hidden="false" customHeight="false" outlineLevel="0" collapsed="false">
      <c r="A88" s="17" t="s">
        <v>27</v>
      </c>
      <c r="B88" s="11" t="n">
        <f aca="false">'معتصم الحصباني'!C7</f>
        <v>46324</v>
      </c>
      <c r="C88" s="17" t="str">
        <f aca="false">'معتصم الحصباني'!D7</f>
        <v>تفاح احمر</v>
      </c>
      <c r="D88" s="17" t="s">
        <v>73</v>
      </c>
      <c r="E88" s="7" t="s">
        <v>59</v>
      </c>
      <c r="F88" s="18" t="n">
        <f aca="false">IF('معتصم الحصباني'!E7="","",'معتصم الحصباني'!E7)</f>
        <v>42</v>
      </c>
      <c r="G88" s="19" t="n">
        <f aca="false">IF('معتصم الحصباني'!F7="","",'معتصم الحصباني'!F7)</f>
        <v>45</v>
      </c>
      <c r="H88" s="9" t="n">
        <f aca="false">IF(F88="","",ROUND(F88*G88,2))</f>
        <v>1890</v>
      </c>
      <c r="I88" s="9" t="n">
        <f aca="false">IF(F88="","",ROUND(H88*IF(N('معتصم الحصباني'!G7)&gt;1,'معتصم الحصباني'!G7-1,0),2))</f>
        <v>283.5</v>
      </c>
      <c r="J88" s="9" t="n">
        <f aca="false">N('معتصم الحصباني'!H7)</f>
        <v>2173.5</v>
      </c>
      <c r="K88" s="9" t="n">
        <f aca="false">N('معتصم الحصباني'!I7)</f>
        <v>0</v>
      </c>
    </row>
    <row r="89" customFormat="false" ht="15" hidden="false" customHeight="false" outlineLevel="0" collapsed="false">
      <c r="A89" s="17" t="s">
        <v>27</v>
      </c>
      <c r="B89" s="11" t="n">
        <f aca="false">'معتصم الحصباني'!C8</f>
        <v>46324</v>
      </c>
      <c r="C89" s="17" t="str">
        <f aca="false">'معتصم الحصباني'!D8</f>
        <v>تفاح ابيض</v>
      </c>
      <c r="D89" s="17" t="s">
        <v>82</v>
      </c>
      <c r="E89" s="7" t="s">
        <v>59</v>
      </c>
      <c r="F89" s="18" t="n">
        <f aca="false">IF('معتصم الحصباني'!E8="","",'معتصم الحصباني'!E8)</f>
        <v>19</v>
      </c>
      <c r="G89" s="19" t="n">
        <f aca="false">IF('معتصم الحصباني'!F8="","",'معتصم الحصباني'!F8)</f>
        <v>31</v>
      </c>
      <c r="H89" s="9" t="n">
        <f aca="false">IF(F89="","",ROUND(F89*G89,2))</f>
        <v>589</v>
      </c>
      <c r="I89" s="9" t="n">
        <f aca="false">IF(F89="","",ROUND(H89*IF(N('معتصم الحصباني'!G8)&gt;1,'معتصم الحصباني'!G8-1,0),2))</f>
        <v>88.35</v>
      </c>
      <c r="J89" s="9" t="n">
        <f aca="false">N('معتصم الحصباني'!H8)</f>
        <v>677.35</v>
      </c>
      <c r="K89" s="9" t="n">
        <f aca="false">N('معتصم الحصباني'!I8)</f>
        <v>0</v>
      </c>
    </row>
    <row r="90" customFormat="false" ht="15" hidden="false" customHeight="false" outlineLevel="0" collapsed="false">
      <c r="A90" s="17" t="s">
        <v>28</v>
      </c>
      <c r="B90" s="11" t="n">
        <f aca="false">'عبر الاقليم'!C7</f>
        <v>46297</v>
      </c>
      <c r="C90" s="17" t="str">
        <f aca="false">'عبر الاقليم'!D7</f>
        <v>جزر صيني</v>
      </c>
      <c r="D90" s="17" t="s">
        <v>83</v>
      </c>
      <c r="E90" s="7" t="s">
        <v>59</v>
      </c>
      <c r="F90" s="18" t="n">
        <f aca="false">IF('عبر الاقليم'!E7="","",'عبر الاقليم'!E7)</f>
        <v>86</v>
      </c>
      <c r="G90" s="19" t="n">
        <f aca="false">IF('عبر الاقليم'!F7="","",'عبر الاقليم'!F7)</f>
        <v>18</v>
      </c>
      <c r="H90" s="9" t="n">
        <f aca="false">IF(F90="","",ROUND(F90*G90,2))</f>
        <v>1548</v>
      </c>
      <c r="I90" s="9" t="n">
        <f aca="false">IF(F90="","",ROUND(H90*IF(N('عبر الاقليم'!G7)&gt;1,'عبر الاقليم'!G7-1,0),2))</f>
        <v>232.2</v>
      </c>
      <c r="J90" s="9" t="n">
        <f aca="false">N('عبر الاقليم'!H7)</f>
        <v>1780.2</v>
      </c>
      <c r="K90" s="9" t="n">
        <f aca="false">N('عبر الاقليم'!I7)</f>
        <v>0</v>
      </c>
    </row>
    <row r="91" customFormat="false" ht="15" hidden="false" customHeight="false" outlineLevel="0" collapsed="false">
      <c r="A91" s="17" t="s">
        <v>28</v>
      </c>
      <c r="B91" s="11" t="n">
        <f aca="false">'عبر الاقليم'!C8</f>
        <v>46298</v>
      </c>
      <c r="C91" s="17" t="str">
        <f aca="false">'عبر الاقليم'!D8</f>
        <v>نكترين علبة</v>
      </c>
      <c r="D91" s="17" t="s">
        <v>79</v>
      </c>
      <c r="E91" s="7" t="s">
        <v>59</v>
      </c>
      <c r="F91" s="18" t="n">
        <f aca="false">IF('عبر الاقليم'!E8="","",'عبر الاقليم'!E8)</f>
        <v>40</v>
      </c>
      <c r="G91" s="19" t="n">
        <f aca="false">IF('عبر الاقليم'!F8="","",'عبر الاقليم'!F8)</f>
        <v>24</v>
      </c>
      <c r="H91" s="9" t="n">
        <f aca="false">IF(F91="","",ROUND(F91*G91,2))</f>
        <v>960</v>
      </c>
      <c r="I91" s="9" t="n">
        <f aca="false">IF(F91="","",ROUND(H91*IF(N('عبر الاقليم'!G8)&gt;1,'عبر الاقليم'!G8-1,0),2))</f>
        <v>144</v>
      </c>
      <c r="J91" s="9" t="n">
        <f aca="false">N('عبر الاقليم'!H8)</f>
        <v>1104</v>
      </c>
      <c r="K91" s="9" t="n">
        <f aca="false">N('عبر الاقليم'!I8)</f>
        <v>0</v>
      </c>
    </row>
    <row r="92" customFormat="false" ht="15" hidden="false" customHeight="false" outlineLevel="0" collapsed="false">
      <c r="A92" s="17" t="s">
        <v>28</v>
      </c>
      <c r="B92" s="11" t="n">
        <f aca="false">'عبر الاقليم'!C9</f>
        <v>46299</v>
      </c>
      <c r="C92" s="17" t="str">
        <f aca="false">'عبر الاقليم'!D9</f>
        <v>كعك علبة</v>
      </c>
      <c r="D92" s="17" t="s">
        <v>77</v>
      </c>
      <c r="E92" s="7" t="s">
        <v>59</v>
      </c>
      <c r="F92" s="18" t="n">
        <f aca="false">IF('عبر الاقليم'!E9="","",'عبر الاقليم'!E9)</f>
        <v>40</v>
      </c>
      <c r="G92" s="19" t="n">
        <f aca="false">IF('عبر الاقليم'!F9="","",'عبر الاقليم'!F9)</f>
        <v>31.45</v>
      </c>
      <c r="H92" s="9" t="n">
        <f aca="false">IF(F92="","",ROUND(F92*G92,2))</f>
        <v>1258</v>
      </c>
      <c r="I92" s="9" t="n">
        <f aca="false">IF(F92="","",ROUND(H92*IF(N('عبر الاقليم'!G9)&gt;1,'عبر الاقليم'!G9-1,0),2))</f>
        <v>188.7</v>
      </c>
      <c r="J92" s="9" t="n">
        <f aca="false">N('عبر الاقليم'!H9)</f>
        <v>1446.7</v>
      </c>
      <c r="K92" s="9" t="n">
        <f aca="false">N('عبر الاقليم'!I9)</f>
        <v>0</v>
      </c>
    </row>
    <row r="93" customFormat="false" ht="15" hidden="false" customHeight="false" outlineLevel="0" collapsed="false">
      <c r="A93" s="17" t="s">
        <v>28</v>
      </c>
      <c r="B93" s="11" t="n">
        <f aca="false">'عبر الاقليم'!C10</f>
        <v>46301</v>
      </c>
      <c r="C93" s="17" t="str">
        <f aca="false">'عبر الاقليم'!D10</f>
        <v>سداد حوالة محيط دلتا</v>
      </c>
      <c r="D93" s="17"/>
      <c r="E93" s="7" t="s">
        <v>65</v>
      </c>
      <c r="F93" s="7" t="str">
        <f aca="false">IF('عبر الاقليم'!E10="","",'عبر الاقليم'!E10)</f>
        <v/>
      </c>
      <c r="G93" s="19" t="str">
        <f aca="false">IF('عبر الاقليم'!F10="","",'عبر الاقليم'!F10)</f>
        <v/>
      </c>
      <c r="H93" s="9" t="str">
        <f aca="false">IF(F93="","",ROUND(F93*G93,2))</f>
        <v/>
      </c>
      <c r="I93" s="9" t="str">
        <f aca="false">IF(F93="","",ROUND(H93*IF(N('عبر الاقليم'!G10)&gt;1,'عبر الاقليم'!G10-1,0),2))</f>
        <v/>
      </c>
      <c r="J93" s="9" t="n">
        <f aca="false">N('عبر الاقليم'!H10)</f>
        <v>0</v>
      </c>
      <c r="K93" s="9" t="n">
        <f aca="false">N('عبر الاقليم'!I10)</f>
        <v>2769</v>
      </c>
    </row>
    <row r="94" customFormat="false" ht="15" hidden="false" customHeight="false" outlineLevel="0" collapsed="false">
      <c r="A94" s="17" t="s">
        <v>28</v>
      </c>
      <c r="B94" s="11" t="n">
        <f aca="false">'عبر الاقليم'!C11</f>
        <v>46302</v>
      </c>
      <c r="C94" s="17" t="str">
        <f aca="false">'عبر الاقليم'!D11</f>
        <v>تفاح</v>
      </c>
      <c r="D94" s="17" t="s">
        <v>84</v>
      </c>
      <c r="E94" s="7" t="s">
        <v>59</v>
      </c>
      <c r="F94" s="18" t="n">
        <f aca="false">IF('عبر الاقليم'!E11="","",'عبر الاقليم'!E11)</f>
        <v>4</v>
      </c>
      <c r="G94" s="19" t="n">
        <f aca="false">IF('عبر الاقليم'!F11="","",'عبر الاقليم'!F11)</f>
        <v>48</v>
      </c>
      <c r="H94" s="9" t="n">
        <f aca="false">IF(F94="","",ROUND(F94*G94,2))</f>
        <v>192</v>
      </c>
      <c r="I94" s="9" t="n">
        <f aca="false">IF(F94="","",ROUND(H94*IF(N('عبر الاقليم'!G11)&gt;1,'عبر الاقليم'!G11-1,0),2))</f>
        <v>28.8</v>
      </c>
      <c r="J94" s="9" t="n">
        <f aca="false">N('عبر الاقليم'!H11)</f>
        <v>220.8</v>
      </c>
      <c r="K94" s="9" t="n">
        <f aca="false">N('عبر الاقليم'!I11)</f>
        <v>0</v>
      </c>
    </row>
    <row r="95" customFormat="false" ht="15" hidden="false" customHeight="false" outlineLevel="0" collapsed="false">
      <c r="A95" s="17" t="s">
        <v>28</v>
      </c>
      <c r="B95" s="11" t="n">
        <f aca="false">'عبر الاقليم'!C12</f>
        <v>46303</v>
      </c>
      <c r="C95" s="17" t="str">
        <f aca="false">'عبر الاقليم'!D12</f>
        <v>كعك علبة</v>
      </c>
      <c r="D95" s="17" t="s">
        <v>77</v>
      </c>
      <c r="E95" s="7" t="s">
        <v>59</v>
      </c>
      <c r="F95" s="18" t="n">
        <f aca="false">IF('عبر الاقليم'!E12="","",'عبر الاقليم'!E12)</f>
        <v>40</v>
      </c>
      <c r="G95" s="19" t="n">
        <f aca="false">IF('عبر الاقليم'!F12="","",'عبر الاقليم'!F12)</f>
        <v>36</v>
      </c>
      <c r="H95" s="9" t="n">
        <f aca="false">IF(F95="","",ROUND(F95*G95,2))</f>
        <v>1440</v>
      </c>
      <c r="I95" s="9" t="n">
        <f aca="false">IF(F95="","",ROUND(H95*IF(N('عبر الاقليم'!G12)&gt;1,'عبر الاقليم'!G12-1,0),2))</f>
        <v>0</v>
      </c>
      <c r="J95" s="9" t="n">
        <f aca="false">N('عبر الاقليم'!H12)</f>
        <v>1440</v>
      </c>
      <c r="K95" s="9" t="n">
        <f aca="false">N('عبر الاقليم'!I12)</f>
        <v>0</v>
      </c>
    </row>
    <row r="96" customFormat="false" ht="15" hidden="false" customHeight="false" outlineLevel="0" collapsed="false">
      <c r="A96" s="17" t="s">
        <v>28</v>
      </c>
      <c r="B96" s="11" t="n">
        <f aca="false">'عبر الاقليم'!C13</f>
        <v>46303</v>
      </c>
      <c r="C96" s="17" t="str">
        <f aca="false">'عبر الاقليم'!D13</f>
        <v>نكترين علبة</v>
      </c>
      <c r="D96" s="17" t="s">
        <v>79</v>
      </c>
      <c r="E96" s="7" t="s">
        <v>59</v>
      </c>
      <c r="F96" s="18" t="n">
        <f aca="false">IF('عبر الاقليم'!E13="","",'عبر الاقليم'!E13)</f>
        <v>20</v>
      </c>
      <c r="G96" s="19" t="n">
        <f aca="false">IF('عبر الاقليم'!F13="","",'عبر الاقليم'!F13)</f>
        <v>25</v>
      </c>
      <c r="H96" s="9" t="n">
        <f aca="false">IF(F96="","",ROUND(F96*G96,2))</f>
        <v>500</v>
      </c>
      <c r="I96" s="9" t="n">
        <f aca="false">IF(F96="","",ROUND(H96*IF(N('عبر الاقليم'!G13)&gt;1,'عبر الاقليم'!G13-1,0),2))</f>
        <v>0</v>
      </c>
      <c r="J96" s="9" t="n">
        <f aca="false">N('عبر الاقليم'!H13)</f>
        <v>500</v>
      </c>
      <c r="K96" s="9" t="n">
        <f aca="false">N('عبر الاقليم'!I13)</f>
        <v>0</v>
      </c>
    </row>
    <row r="97" customFormat="false" ht="15" hidden="false" customHeight="false" outlineLevel="0" collapsed="false">
      <c r="A97" s="17" t="s">
        <v>28</v>
      </c>
      <c r="B97" s="11" t="n">
        <f aca="false">'عبر الاقليم'!C14</f>
        <v>46303</v>
      </c>
      <c r="C97" s="17" t="str">
        <f aca="false">'عبر الاقليم'!D14</f>
        <v>خوخ</v>
      </c>
      <c r="D97" s="17" t="s">
        <v>85</v>
      </c>
      <c r="E97" s="7" t="s">
        <v>59</v>
      </c>
      <c r="F97" s="18" t="n">
        <f aca="false">IF('عبر الاقليم'!E14="","",'عبر الاقليم'!E14)</f>
        <v>30</v>
      </c>
      <c r="G97" s="19" t="n">
        <f aca="false">IF('عبر الاقليم'!F14="","",'عبر الاقليم'!F14)</f>
        <v>36</v>
      </c>
      <c r="H97" s="9" t="n">
        <f aca="false">IF(F97="","",ROUND(F97*G97,2))</f>
        <v>1080</v>
      </c>
      <c r="I97" s="9" t="n">
        <f aca="false">IF(F97="","",ROUND(H97*IF(N('عبر الاقليم'!G14)&gt;1,'عبر الاقليم'!G14-1,0),2))</f>
        <v>0</v>
      </c>
      <c r="J97" s="9" t="n">
        <f aca="false">N('عبر الاقليم'!H14)</f>
        <v>1080</v>
      </c>
      <c r="K97" s="9" t="n">
        <f aca="false">N('عبر الاقليم'!I14)</f>
        <v>0</v>
      </c>
    </row>
    <row r="98" customFormat="false" ht="15" hidden="false" customHeight="false" outlineLevel="0" collapsed="false">
      <c r="A98" s="17" t="s">
        <v>28</v>
      </c>
      <c r="B98" s="11" t="n">
        <f aca="false">'عبر الاقليم'!C15</f>
        <v>46305</v>
      </c>
      <c r="C98" s="17" t="str">
        <f aca="false">'عبر الاقليم'!D15</f>
        <v>سداد نقدي</v>
      </c>
      <c r="D98" s="17"/>
      <c r="E98" s="7" t="s">
        <v>57</v>
      </c>
      <c r="F98" s="7" t="str">
        <f aca="false">IF('عبر الاقليم'!E15="","",'عبر الاقليم'!E15)</f>
        <v/>
      </c>
      <c r="G98" s="19" t="str">
        <f aca="false">IF('عبر الاقليم'!F15="","",'عبر الاقليم'!F15)</f>
        <v/>
      </c>
      <c r="H98" s="9" t="str">
        <f aca="false">IF(F98="","",ROUND(F98*G98,2))</f>
        <v/>
      </c>
      <c r="I98" s="9" t="str">
        <f aca="false">IF(F98="","",ROUND(H98*IF(N('عبر الاقليم'!G15)&gt;1,'عبر الاقليم'!G15-1,0),2))</f>
        <v/>
      </c>
      <c r="J98" s="9" t="n">
        <f aca="false">N('عبر الاقليم'!H15)</f>
        <v>0</v>
      </c>
      <c r="K98" s="9" t="n">
        <f aca="false">N('عبر الاقليم'!I15)</f>
        <v>104</v>
      </c>
    </row>
    <row r="99" customFormat="false" ht="15" hidden="false" customHeight="false" outlineLevel="0" collapsed="false">
      <c r="A99" s="17" t="s">
        <v>28</v>
      </c>
      <c r="B99" s="11" t="n">
        <f aca="false">'عبر الاقليم'!C16</f>
        <v>46305</v>
      </c>
      <c r="C99" s="17" t="str">
        <f aca="false">'عبر الاقليم'!D16</f>
        <v>رمان وسط</v>
      </c>
      <c r="D99" s="17" t="s">
        <v>67</v>
      </c>
      <c r="E99" s="7" t="s">
        <v>59</v>
      </c>
      <c r="F99" s="18" t="n">
        <f aca="false">IF('عبر الاقليم'!E16="","",'عبر الاقليم'!E16)</f>
        <v>198</v>
      </c>
      <c r="G99" s="19" t="n">
        <f aca="false">IF('عبر الاقليم'!F16="","",'عبر الاقليم'!F16)</f>
        <v>15</v>
      </c>
      <c r="H99" s="9" t="n">
        <f aca="false">IF(F99="","",ROUND(F99*G99,2))</f>
        <v>2970</v>
      </c>
      <c r="I99" s="9" t="n">
        <f aca="false">IF(F99="","",ROUND(H99*IF(N('عبر الاقليم'!G16)&gt;1,'عبر الاقليم'!G16-1,0),2))</f>
        <v>445.5</v>
      </c>
      <c r="J99" s="9" t="n">
        <f aca="false">N('عبر الاقليم'!H16)</f>
        <v>3415.5</v>
      </c>
      <c r="K99" s="9" t="n">
        <f aca="false">N('عبر الاقليم'!I16)</f>
        <v>0</v>
      </c>
    </row>
    <row r="100" customFormat="false" ht="15" hidden="false" customHeight="false" outlineLevel="0" collapsed="false">
      <c r="A100" s="17" t="s">
        <v>28</v>
      </c>
      <c r="B100" s="11" t="n">
        <f aca="false">'عبر الاقليم'!C17</f>
        <v>46306</v>
      </c>
      <c r="C100" s="17" t="str">
        <f aca="false">'عبر الاقليم'!D17</f>
        <v>رمان وسط</v>
      </c>
      <c r="D100" s="17" t="s">
        <v>67</v>
      </c>
      <c r="E100" s="7" t="s">
        <v>59</v>
      </c>
      <c r="F100" s="18" t="n">
        <f aca="false">IF('عبر الاقليم'!E17="","",'عبر الاقليم'!E17)</f>
        <v>200</v>
      </c>
      <c r="G100" s="19" t="n">
        <f aca="false">IF('عبر الاقليم'!F17="","",'عبر الاقليم'!F17)</f>
        <v>15</v>
      </c>
      <c r="H100" s="9" t="n">
        <f aca="false">IF(F100="","",ROUND(F100*G100,2))</f>
        <v>3000</v>
      </c>
      <c r="I100" s="9" t="n">
        <f aca="false">IF(F100="","",ROUND(H100*IF(N('عبر الاقليم'!G17)&gt;1,'عبر الاقليم'!G17-1,0),2))</f>
        <v>450</v>
      </c>
      <c r="J100" s="9" t="n">
        <f aca="false">N('عبر الاقليم'!H17)</f>
        <v>3450</v>
      </c>
      <c r="K100" s="9" t="n">
        <f aca="false">N('عبر الاقليم'!I17)</f>
        <v>0</v>
      </c>
    </row>
    <row r="101" customFormat="false" ht="15" hidden="false" customHeight="false" outlineLevel="0" collapsed="false">
      <c r="A101" s="17" t="s">
        <v>28</v>
      </c>
      <c r="B101" s="11" t="n">
        <f aca="false">'عبر الاقليم'!C18</f>
        <v>46307</v>
      </c>
      <c r="C101" s="17" t="str">
        <f aca="false">'عبر الاقليم'!D18</f>
        <v>نكترين علبة</v>
      </c>
      <c r="D101" s="17" t="s">
        <v>79</v>
      </c>
      <c r="E101" s="7" t="s">
        <v>59</v>
      </c>
      <c r="F101" s="18" t="n">
        <f aca="false">IF('عبر الاقليم'!E18="","",'عبر الاقليم'!E18)</f>
        <v>20</v>
      </c>
      <c r="G101" s="19" t="n">
        <f aca="false">IF('عبر الاقليم'!F18="","",'عبر الاقليم'!F18)</f>
        <v>28</v>
      </c>
      <c r="H101" s="9" t="n">
        <f aca="false">IF(F101="","",ROUND(F101*G101,2))</f>
        <v>560</v>
      </c>
      <c r="I101" s="9" t="n">
        <f aca="false">IF(F101="","",ROUND(H101*IF(N('عبر الاقليم'!G18)&gt;1,'عبر الاقليم'!G18-1,0),2))</f>
        <v>0</v>
      </c>
      <c r="J101" s="9" t="n">
        <f aca="false">N('عبر الاقليم'!H18)</f>
        <v>560</v>
      </c>
      <c r="K101" s="9" t="n">
        <f aca="false">N('عبر الاقليم'!I18)</f>
        <v>0</v>
      </c>
    </row>
    <row r="102" customFormat="false" ht="15" hidden="false" customHeight="false" outlineLevel="0" collapsed="false">
      <c r="A102" s="17" t="s">
        <v>28</v>
      </c>
      <c r="B102" s="11" t="n">
        <f aca="false">'عبر الاقليم'!C19</f>
        <v>46307</v>
      </c>
      <c r="C102" s="17" t="str">
        <f aca="false">'عبر الاقليم'!D19</f>
        <v>خوخ علب</v>
      </c>
      <c r="D102" s="17" t="s">
        <v>78</v>
      </c>
      <c r="E102" s="7" t="s">
        <v>59</v>
      </c>
      <c r="F102" s="18" t="n">
        <f aca="false">IF('عبر الاقليم'!E19="","",'عبر الاقليم'!E19)</f>
        <v>20</v>
      </c>
      <c r="G102" s="19" t="n">
        <f aca="false">IF('عبر الاقليم'!F19="","",'عبر الاقليم'!F19)</f>
        <v>38</v>
      </c>
      <c r="H102" s="9" t="n">
        <f aca="false">IF(F102="","",ROUND(F102*G102,2))</f>
        <v>760</v>
      </c>
      <c r="I102" s="9" t="n">
        <f aca="false">IF(F102="","",ROUND(H102*IF(N('عبر الاقليم'!G19)&gt;1,'عبر الاقليم'!G19-1,0),2))</f>
        <v>0</v>
      </c>
      <c r="J102" s="9" t="n">
        <f aca="false">N('عبر الاقليم'!H19)</f>
        <v>760</v>
      </c>
      <c r="K102" s="9" t="n">
        <f aca="false">N('عبر الاقليم'!I19)</f>
        <v>0</v>
      </c>
    </row>
    <row r="103" customFormat="false" ht="15" hidden="false" customHeight="false" outlineLevel="0" collapsed="false">
      <c r="A103" s="17" t="s">
        <v>28</v>
      </c>
      <c r="B103" s="11" t="n">
        <f aca="false">'عبر الاقليم'!C20</f>
        <v>46307</v>
      </c>
      <c r="C103" s="17" t="str">
        <f aca="false">'عبر الاقليم'!D20</f>
        <v>كعك علبة</v>
      </c>
      <c r="D103" s="17" t="s">
        <v>77</v>
      </c>
      <c r="E103" s="7" t="s">
        <v>59</v>
      </c>
      <c r="F103" s="18" t="n">
        <f aca="false">IF('عبر الاقليم'!E20="","",'عبر الاقليم'!E20)</f>
        <v>30</v>
      </c>
      <c r="G103" s="19" t="n">
        <f aca="false">IF('عبر الاقليم'!F20="","",'عبر الاقليم'!F20)</f>
        <v>38</v>
      </c>
      <c r="H103" s="9" t="n">
        <f aca="false">IF(F103="","",ROUND(F103*G103,2))</f>
        <v>1140</v>
      </c>
      <c r="I103" s="9" t="n">
        <f aca="false">IF(F103="","",ROUND(H103*IF(N('عبر الاقليم'!G20)&gt;1,'عبر الاقليم'!G20-1,0),2))</f>
        <v>0</v>
      </c>
      <c r="J103" s="9" t="n">
        <f aca="false">N('عبر الاقليم'!H20)</f>
        <v>1140</v>
      </c>
      <c r="K103" s="9" t="n">
        <f aca="false">N('عبر الاقليم'!I20)</f>
        <v>0</v>
      </c>
    </row>
    <row r="104" customFormat="false" ht="15" hidden="false" customHeight="false" outlineLevel="0" collapsed="false">
      <c r="A104" s="17" t="s">
        <v>28</v>
      </c>
      <c r="B104" s="11" t="n">
        <f aca="false">'عبر الاقليم'!C21</f>
        <v>46309</v>
      </c>
      <c r="C104" s="17" t="str">
        <f aca="false">'عبر الاقليم'!D21</f>
        <v>كعك علبة</v>
      </c>
      <c r="D104" s="17" t="s">
        <v>77</v>
      </c>
      <c r="E104" s="7" t="s">
        <v>59</v>
      </c>
      <c r="F104" s="18" t="n">
        <f aca="false">IF('عبر الاقليم'!E21="","",'عبر الاقليم'!E21)</f>
        <v>40</v>
      </c>
      <c r="G104" s="19" t="n">
        <f aca="false">IF('عبر الاقليم'!F21="","",'عبر الاقليم'!F21)</f>
        <v>37</v>
      </c>
      <c r="H104" s="9" t="n">
        <f aca="false">IF(F104="","",ROUND(F104*G104,2))</f>
        <v>1480</v>
      </c>
      <c r="I104" s="9" t="n">
        <f aca="false">IF(F104="","",ROUND(H104*IF(N('عبر الاقليم'!G21)&gt;1,'عبر الاقليم'!G21-1,0),2))</f>
        <v>0</v>
      </c>
      <c r="J104" s="9" t="n">
        <f aca="false">N('عبر الاقليم'!H21)</f>
        <v>1480</v>
      </c>
      <c r="K104" s="9" t="n">
        <f aca="false">N('عبر الاقليم'!I21)</f>
        <v>0</v>
      </c>
    </row>
    <row r="105" customFormat="false" ht="15" hidden="false" customHeight="false" outlineLevel="0" collapsed="false">
      <c r="A105" s="17" t="s">
        <v>28</v>
      </c>
      <c r="B105" s="11" t="n">
        <f aca="false">'عبر الاقليم'!C22</f>
        <v>46309</v>
      </c>
      <c r="C105" s="17" t="str">
        <f aca="false">'عبر الاقليم'!D22</f>
        <v>خوخ علب</v>
      </c>
      <c r="D105" s="17" t="s">
        <v>78</v>
      </c>
      <c r="E105" s="7" t="s">
        <v>59</v>
      </c>
      <c r="F105" s="18" t="n">
        <f aca="false">IF('عبر الاقليم'!E22="","",'عبر الاقليم'!E22)</f>
        <v>30</v>
      </c>
      <c r="G105" s="19" t="n">
        <f aca="false">IF('عبر الاقليم'!F22="","",'عبر الاقليم'!F22)</f>
        <v>37</v>
      </c>
      <c r="H105" s="9" t="n">
        <f aca="false">IF(F105="","",ROUND(F105*G105,2))</f>
        <v>1110</v>
      </c>
      <c r="I105" s="9" t="n">
        <f aca="false">IF(F105="","",ROUND(H105*IF(N('عبر الاقليم'!G22)&gt;1,'عبر الاقليم'!G22-1,0),2))</f>
        <v>0</v>
      </c>
      <c r="J105" s="9" t="n">
        <f aca="false">N('عبر الاقليم'!H22)</f>
        <v>1110</v>
      </c>
      <c r="K105" s="9" t="n">
        <f aca="false">N('عبر الاقليم'!I22)</f>
        <v>0</v>
      </c>
    </row>
    <row r="106" customFormat="false" ht="15" hidden="false" customHeight="false" outlineLevel="0" collapsed="false">
      <c r="A106" s="17" t="s">
        <v>28</v>
      </c>
      <c r="B106" s="11" t="n">
        <f aca="false">'عبر الاقليم'!C23</f>
        <v>46309</v>
      </c>
      <c r="C106" s="17" t="str">
        <f aca="false">'عبر الاقليم'!D23</f>
        <v>نكترين علبة</v>
      </c>
      <c r="D106" s="17" t="s">
        <v>79</v>
      </c>
      <c r="E106" s="7" t="s">
        <v>59</v>
      </c>
      <c r="F106" s="18" t="n">
        <f aca="false">IF('عبر الاقليم'!E23="","",'عبر الاقليم'!E23)</f>
        <v>30</v>
      </c>
      <c r="G106" s="19" t="n">
        <f aca="false">IF('عبر الاقليم'!F23="","",'عبر الاقليم'!F23)</f>
        <v>28</v>
      </c>
      <c r="H106" s="9" t="n">
        <f aca="false">IF(F106="","",ROUND(F106*G106,2))</f>
        <v>840</v>
      </c>
      <c r="I106" s="9" t="n">
        <f aca="false">IF(F106="","",ROUND(H106*IF(N('عبر الاقليم'!G23)&gt;1,'عبر الاقليم'!G23-1,0),2))</f>
        <v>0</v>
      </c>
      <c r="J106" s="9" t="n">
        <f aca="false">N('عبر الاقليم'!H23)</f>
        <v>840</v>
      </c>
      <c r="K106" s="9" t="n">
        <f aca="false">N('عبر الاقليم'!I23)</f>
        <v>0</v>
      </c>
    </row>
    <row r="107" customFormat="false" ht="15" hidden="false" customHeight="false" outlineLevel="0" collapsed="false">
      <c r="A107" s="17" t="s">
        <v>28</v>
      </c>
      <c r="B107" s="11" t="n">
        <f aca="false">'عبر الاقليم'!C24</f>
        <v>46309</v>
      </c>
      <c r="C107" s="17" t="str">
        <f aca="false">'عبر الاقليم'!D24</f>
        <v>سداد سند/12743</v>
      </c>
      <c r="D107" s="17"/>
      <c r="E107" s="7" t="s">
        <v>57</v>
      </c>
      <c r="F107" s="7" t="str">
        <f aca="false">IF('عبر الاقليم'!E24="","",'عبر الاقليم'!E24)</f>
        <v/>
      </c>
      <c r="G107" s="19" t="str">
        <f aca="false">IF('عبر الاقليم'!F24="","",'عبر الاقليم'!F24)</f>
        <v/>
      </c>
      <c r="H107" s="9" t="str">
        <f aca="false">IF(F107="","",ROUND(F107*G107,2))</f>
        <v/>
      </c>
      <c r="I107" s="9" t="str">
        <f aca="false">IF(F107="","",ROUND(H107*IF(N('عبر الاقليم'!G24)&gt;1,'عبر الاقليم'!G24-1,0),2))</f>
        <v/>
      </c>
      <c r="J107" s="9" t="n">
        <f aca="false">N('عبر الاقليم'!H24)</f>
        <v>0</v>
      </c>
      <c r="K107" s="9" t="n">
        <f aca="false">N('عبر الاقليم'!I24)</f>
        <v>1000</v>
      </c>
    </row>
    <row r="108" customFormat="false" ht="15" hidden="false" customHeight="false" outlineLevel="0" collapsed="false">
      <c r="A108" s="17" t="s">
        <v>28</v>
      </c>
      <c r="B108" s="11" t="n">
        <f aca="false">'عبر الاقليم'!C25</f>
        <v>46309</v>
      </c>
      <c r="C108" s="17" t="str">
        <f aca="false">'عبر الاقليم'!D25</f>
        <v>سداد حوالة محيط دلتا /12871</v>
      </c>
      <c r="D108" s="17"/>
      <c r="E108" s="7" t="s">
        <v>65</v>
      </c>
      <c r="F108" s="7" t="str">
        <f aca="false">IF('عبر الاقليم'!E25="","",'عبر الاقليم'!E25)</f>
        <v/>
      </c>
      <c r="G108" s="19" t="str">
        <f aca="false">IF('عبر الاقليم'!F25="","",'عبر الاقليم'!F25)</f>
        <v/>
      </c>
      <c r="H108" s="9" t="str">
        <f aca="false">IF(F108="","",ROUND(F108*G108,2))</f>
        <v/>
      </c>
      <c r="I108" s="9" t="str">
        <f aca="false">IF(F108="","",ROUND(H108*IF(N('عبر الاقليم'!G25)&gt;1,'عبر الاقليم'!G25-1,0),2))</f>
        <v/>
      </c>
      <c r="J108" s="9" t="n">
        <f aca="false">N('عبر الاقليم'!H25)</f>
        <v>0</v>
      </c>
      <c r="K108" s="9" t="n">
        <f aca="false">N('عبر الاقليم'!I25)</f>
        <v>1400</v>
      </c>
    </row>
    <row r="109" customFormat="false" ht="15" hidden="false" customHeight="false" outlineLevel="0" collapsed="false">
      <c r="A109" s="17" t="s">
        <v>28</v>
      </c>
      <c r="B109" s="11" t="n">
        <f aca="false">'عبر الاقليم'!C26</f>
        <v>46310</v>
      </c>
      <c r="C109" s="17" t="str">
        <f aca="false">'عبر الاقليم'!D26</f>
        <v>تفاح</v>
      </c>
      <c r="D109" s="17" t="s">
        <v>84</v>
      </c>
      <c r="E109" s="7" t="s">
        <v>59</v>
      </c>
      <c r="F109" s="18" t="n">
        <f aca="false">IF('عبر الاقليم'!E26="","",'عبر الاقليم'!E26)</f>
        <v>69</v>
      </c>
      <c r="G109" s="19" t="n">
        <f aca="false">IF('عبر الاقليم'!F26="","",'عبر الاقليم'!F26)</f>
        <v>48</v>
      </c>
      <c r="H109" s="9" t="n">
        <f aca="false">IF(F109="","",ROUND(F109*G109,2))</f>
        <v>3312</v>
      </c>
      <c r="I109" s="9" t="n">
        <f aca="false">IF(F109="","",ROUND(H109*IF(N('عبر الاقليم'!G26)&gt;1,'عبر الاقليم'!G26-1,0),2))</f>
        <v>496.8</v>
      </c>
      <c r="J109" s="9" t="n">
        <f aca="false">N('عبر الاقليم'!H26)</f>
        <v>3808.8</v>
      </c>
      <c r="K109" s="9" t="n">
        <f aca="false">N('عبر الاقليم'!I26)</f>
        <v>0</v>
      </c>
    </row>
    <row r="110" customFormat="false" ht="15" hidden="false" customHeight="false" outlineLevel="0" collapsed="false">
      <c r="A110" s="17" t="s">
        <v>28</v>
      </c>
      <c r="B110" s="11" t="n">
        <f aca="false">'عبر الاقليم'!C27</f>
        <v>46313</v>
      </c>
      <c r="C110" s="17" t="str">
        <f aca="false">'عبر الاقليم'!D27</f>
        <v>سداد سند/12829</v>
      </c>
      <c r="D110" s="17"/>
      <c r="E110" s="7" t="s">
        <v>57</v>
      </c>
      <c r="F110" s="7" t="str">
        <f aca="false">IF('عبر الاقليم'!E27="","",'عبر الاقليم'!E27)</f>
        <v/>
      </c>
      <c r="G110" s="19" t="str">
        <f aca="false">IF('عبر الاقليم'!F27="","",'عبر الاقليم'!F27)</f>
        <v/>
      </c>
      <c r="H110" s="9" t="str">
        <f aca="false">IF(F110="","",ROUND(F110*G110,2))</f>
        <v/>
      </c>
      <c r="I110" s="9" t="str">
        <f aca="false">IF(F110="","",ROUND(H110*IF(N('عبر الاقليم'!G27)&gt;1,'عبر الاقليم'!G27-1,0),2))</f>
        <v/>
      </c>
      <c r="J110" s="9" t="n">
        <f aca="false">N('عبر الاقليم'!H27)</f>
        <v>0</v>
      </c>
      <c r="K110" s="9" t="n">
        <f aca="false">N('عبر الاقليم'!I27)</f>
        <v>3500</v>
      </c>
    </row>
    <row r="111" customFormat="false" ht="15" hidden="false" customHeight="false" outlineLevel="0" collapsed="false">
      <c r="A111" s="17" t="s">
        <v>28</v>
      </c>
      <c r="B111" s="11" t="n">
        <f aca="false">'عبر الاقليم'!C28</f>
        <v>46317</v>
      </c>
      <c r="C111" s="17" t="str">
        <f aca="false">'عبر الاقليم'!D28</f>
        <v>سداد سند/12901</v>
      </c>
      <c r="D111" s="17"/>
      <c r="E111" s="7" t="s">
        <v>57</v>
      </c>
      <c r="F111" s="7" t="str">
        <f aca="false">IF('عبر الاقليم'!E28="","",'عبر الاقليم'!E28)</f>
        <v/>
      </c>
      <c r="G111" s="19" t="str">
        <f aca="false">IF('عبر الاقليم'!F28="","",'عبر الاقليم'!F28)</f>
        <v/>
      </c>
      <c r="H111" s="9" t="str">
        <f aca="false">IF(F111="","",ROUND(F111*G111,2))</f>
        <v/>
      </c>
      <c r="I111" s="9" t="str">
        <f aca="false">IF(F111="","",ROUND(H111*IF(N('عبر الاقليم'!G28)&gt;1,'عبر الاقليم'!G28-1,0),2))</f>
        <v/>
      </c>
      <c r="J111" s="9" t="n">
        <f aca="false">N('عبر الاقليم'!H28)</f>
        <v>0</v>
      </c>
      <c r="K111" s="9" t="n">
        <f aca="false">N('عبر الاقليم'!I28)</f>
        <v>5900</v>
      </c>
    </row>
    <row r="112" customFormat="false" ht="15" hidden="false" customHeight="false" outlineLevel="0" collapsed="false">
      <c r="A112" s="17" t="s">
        <v>28</v>
      </c>
      <c r="B112" s="11" t="n">
        <f aca="false">'عبر الاقليم'!C29</f>
        <v>46319</v>
      </c>
      <c r="C112" s="17" t="str">
        <f aca="false">'عبر الاقليم'!D29</f>
        <v>سداد سند/7882</v>
      </c>
      <c r="D112" s="17"/>
      <c r="E112" s="7" t="s">
        <v>57</v>
      </c>
      <c r="F112" s="7" t="str">
        <f aca="false">IF('عبر الاقليم'!E29="","",'عبر الاقليم'!E29)</f>
        <v/>
      </c>
      <c r="G112" s="19" t="str">
        <f aca="false">IF('عبر الاقليم'!F29="","",'عبر الاقليم'!F29)</f>
        <v/>
      </c>
      <c r="H112" s="9" t="str">
        <f aca="false">IF(F112="","",ROUND(F112*G112,2))</f>
        <v/>
      </c>
      <c r="I112" s="9" t="str">
        <f aca="false">IF(F112="","",ROUND(H112*IF(N('عبر الاقليم'!G29)&gt;1,'عبر الاقليم'!G29-1,0),2))</f>
        <v/>
      </c>
      <c r="J112" s="9" t="n">
        <f aca="false">N('عبر الاقليم'!H29)</f>
        <v>0</v>
      </c>
      <c r="K112" s="9" t="n">
        <f aca="false">N('عبر الاقليم'!I29)</f>
        <v>1000</v>
      </c>
    </row>
    <row r="113" customFormat="false" ht="15" hidden="false" customHeight="false" outlineLevel="0" collapsed="false">
      <c r="A113" s="17" t="s">
        <v>28</v>
      </c>
      <c r="B113" s="11" t="n">
        <f aca="false">'عبر الاقليم'!C30</f>
        <v>46319</v>
      </c>
      <c r="C113" s="17" t="str">
        <f aca="false">'عبر الاقليم'!D30</f>
        <v>رمان وسط</v>
      </c>
      <c r="D113" s="17" t="s">
        <v>67</v>
      </c>
      <c r="E113" s="7" t="s">
        <v>59</v>
      </c>
      <c r="F113" s="18" t="n">
        <f aca="false">IF('عبر الاقليم'!E30="","",'عبر الاقليم'!E30)</f>
        <v>215</v>
      </c>
      <c r="G113" s="19" t="n">
        <f aca="false">IF('عبر الاقليم'!F30="","",'عبر الاقليم'!F30)</f>
        <v>17</v>
      </c>
      <c r="H113" s="9" t="n">
        <f aca="false">IF(F113="","",ROUND(F113*G113,2))</f>
        <v>3655</v>
      </c>
      <c r="I113" s="9" t="n">
        <f aca="false">IF(F113="","",ROUND(H113*IF(N('عبر الاقليم'!G30)&gt;1,'عبر الاقليم'!G30-1,0),2))</f>
        <v>548.25</v>
      </c>
      <c r="J113" s="9" t="n">
        <f aca="false">N('عبر الاقليم'!H30)</f>
        <v>4203.25</v>
      </c>
      <c r="K113" s="9" t="n">
        <f aca="false">N('عبر الاقليم'!I30)</f>
        <v>0</v>
      </c>
    </row>
    <row r="114" customFormat="false" ht="15" hidden="false" customHeight="false" outlineLevel="0" collapsed="false">
      <c r="A114" s="17" t="s">
        <v>28</v>
      </c>
      <c r="B114" s="11" t="n">
        <f aca="false">'عبر الاقليم'!C31</f>
        <v>46321</v>
      </c>
      <c r="C114" s="17" t="str">
        <f aca="false">'عبر الاقليم'!D31</f>
        <v>رمان وسط</v>
      </c>
      <c r="D114" s="17" t="s">
        <v>67</v>
      </c>
      <c r="E114" s="7" t="s">
        <v>59</v>
      </c>
      <c r="F114" s="18" t="n">
        <f aca="false">IF('عبر الاقليم'!E31="","",'عبر الاقليم'!E31)</f>
        <v>73</v>
      </c>
      <c r="G114" s="19" t="n">
        <f aca="false">IF('عبر الاقليم'!F31="","",'عبر الاقليم'!F31)</f>
        <v>17</v>
      </c>
      <c r="H114" s="9" t="n">
        <f aca="false">IF(F114="","",ROUND(F114*G114,2))</f>
        <v>1241</v>
      </c>
      <c r="I114" s="9" t="n">
        <f aca="false">IF(F114="","",ROUND(H114*IF(N('عبر الاقليم'!G31)&gt;1,'عبر الاقليم'!G31-1,0),2))</f>
        <v>186.15</v>
      </c>
      <c r="J114" s="9" t="n">
        <f aca="false">N('عبر الاقليم'!H31)</f>
        <v>1427.15</v>
      </c>
      <c r="K114" s="9" t="n">
        <f aca="false">N('عبر الاقليم'!I31)</f>
        <v>0</v>
      </c>
    </row>
    <row r="115" customFormat="false" ht="15" hidden="false" customHeight="false" outlineLevel="0" collapsed="false">
      <c r="A115" s="17" t="s">
        <v>28</v>
      </c>
      <c r="B115" s="11" t="n">
        <f aca="false">'عبر الاقليم'!C32</f>
        <v>46322</v>
      </c>
      <c r="C115" s="17" t="str">
        <f aca="false">'عبر الاقليم'!D32</f>
        <v>سداد سند/7922</v>
      </c>
      <c r="D115" s="17"/>
      <c r="E115" s="7" t="s">
        <v>57</v>
      </c>
      <c r="F115" s="7" t="str">
        <f aca="false">IF('عبر الاقليم'!E32="","",'عبر الاقليم'!E32)</f>
        <v/>
      </c>
      <c r="G115" s="19" t="str">
        <f aca="false">IF('عبر الاقليم'!F32="","",'عبر الاقليم'!F32)</f>
        <v/>
      </c>
      <c r="H115" s="9" t="str">
        <f aca="false">IF(F115="","",ROUND(F115*G115,2))</f>
        <v/>
      </c>
      <c r="I115" s="9" t="str">
        <f aca="false">IF(F115="","",ROUND(H115*IF(N('عبر الاقليم'!G32)&gt;1,'عبر الاقليم'!G32-1,0),2))</f>
        <v/>
      </c>
      <c r="J115" s="9" t="n">
        <f aca="false">N('عبر الاقليم'!H32)</f>
        <v>0</v>
      </c>
      <c r="K115" s="9" t="n">
        <f aca="false">N('عبر الاقليم'!I32)</f>
        <v>5000</v>
      </c>
    </row>
    <row r="116" customFormat="false" ht="15" hidden="false" customHeight="false" outlineLevel="0" collapsed="false">
      <c r="A116" s="17" t="s">
        <v>28</v>
      </c>
      <c r="B116" s="11" t="n">
        <f aca="false">'عبر الاقليم'!C33</f>
        <v>46322</v>
      </c>
      <c r="C116" s="17" t="str">
        <f aca="false">'عبر الاقليم'!D33</f>
        <v>كيوي</v>
      </c>
      <c r="D116" s="17" t="s">
        <v>62</v>
      </c>
      <c r="E116" s="7" t="s">
        <v>59</v>
      </c>
      <c r="F116" s="18" t="n">
        <f aca="false">IF('عبر الاقليم'!E33="","",'عبر الاقليم'!E33)</f>
        <v>21</v>
      </c>
      <c r="G116" s="19" t="n">
        <f aca="false">IF('عبر الاقليم'!F33="","",'عبر الاقليم'!F33)</f>
        <v>40</v>
      </c>
      <c r="H116" s="9" t="n">
        <f aca="false">IF(F116="","",ROUND(F116*G116,2))</f>
        <v>840</v>
      </c>
      <c r="I116" s="9" t="n">
        <f aca="false">IF(F116="","",ROUND(H116*IF(N('عبر الاقليم'!G33)&gt;1,'عبر الاقليم'!G33-1,0),2))</f>
        <v>126</v>
      </c>
      <c r="J116" s="9" t="n">
        <f aca="false">N('عبر الاقليم'!H33)</f>
        <v>966</v>
      </c>
      <c r="K116" s="9" t="n">
        <f aca="false">N('عبر الاقليم'!I33)</f>
        <v>0</v>
      </c>
    </row>
    <row r="117" customFormat="false" ht="15" hidden="false" customHeight="false" outlineLevel="0" collapsed="false">
      <c r="A117" s="17" t="s">
        <v>28</v>
      </c>
      <c r="B117" s="11" t="n">
        <f aca="false">'عبر الاقليم'!C34</f>
        <v>46324</v>
      </c>
      <c r="C117" s="17" t="str">
        <f aca="false">'عبر الاقليم'!D34</f>
        <v>رمان وسط</v>
      </c>
      <c r="D117" s="17" t="s">
        <v>67</v>
      </c>
      <c r="E117" s="7" t="s">
        <v>59</v>
      </c>
      <c r="F117" s="18" t="n">
        <f aca="false">IF('عبر الاقليم'!E34="","",'عبر الاقليم'!E34)</f>
        <v>215</v>
      </c>
      <c r="G117" s="19" t="n">
        <f aca="false">IF('عبر الاقليم'!F34="","",'عبر الاقليم'!F34)</f>
        <v>17</v>
      </c>
      <c r="H117" s="9" t="n">
        <f aca="false">IF(F117="","",ROUND(F117*G117,2))</f>
        <v>3655</v>
      </c>
      <c r="I117" s="9" t="n">
        <f aca="false">IF(F117="","",ROUND(H117*IF(N('عبر الاقليم'!G34)&gt;1,'عبر الاقليم'!G34-1,0),2))</f>
        <v>548.25</v>
      </c>
      <c r="J117" s="9" t="n">
        <f aca="false">N('عبر الاقليم'!H34)</f>
        <v>4203.25</v>
      </c>
      <c r="K117" s="9" t="n">
        <f aca="false">N('عبر الاقليم'!I34)</f>
        <v>0</v>
      </c>
    </row>
    <row r="118" customFormat="false" ht="15" hidden="false" customHeight="false" outlineLevel="0" collapsed="false">
      <c r="A118" s="17" t="s">
        <v>29</v>
      </c>
      <c r="B118" s="11" t="n">
        <f aca="false">العجم!C7</f>
        <v>46308</v>
      </c>
      <c r="C118" s="17" t="str">
        <f aca="false">العجم!D7</f>
        <v>افندي</v>
      </c>
      <c r="D118" s="17" t="s">
        <v>86</v>
      </c>
      <c r="E118" s="7" t="s">
        <v>59</v>
      </c>
      <c r="F118" s="18" t="n">
        <f aca="false">IF(العجم!E7="","",العجم!E7)</f>
        <v>104</v>
      </c>
      <c r="G118" s="19" t="n">
        <f aca="false">IF(العجم!F7="","",العجم!F7)</f>
        <v>35</v>
      </c>
      <c r="H118" s="9" t="n">
        <f aca="false">IF(F118="","",ROUND(F118*G118,2))</f>
        <v>3640</v>
      </c>
      <c r="I118" s="9" t="n">
        <f aca="false">IF(F118="","",ROUND(H118*IF(N(العجم!G7)&gt;1,العجم!G7-1,0),2))</f>
        <v>546</v>
      </c>
      <c r="J118" s="9" t="n">
        <f aca="false">N(العجم!H7)</f>
        <v>4186</v>
      </c>
      <c r="K118" s="9" t="n">
        <f aca="false">N(العجم!I7)</f>
        <v>0</v>
      </c>
    </row>
    <row r="119" customFormat="false" ht="15" hidden="false" customHeight="false" outlineLevel="0" collapsed="false">
      <c r="A119" s="17" t="s">
        <v>29</v>
      </c>
      <c r="B119" s="11" t="n">
        <f aca="false">العجم!C8</f>
        <v>46308</v>
      </c>
      <c r="C119" s="17" t="str">
        <f aca="false">العجم!D8</f>
        <v>افندي</v>
      </c>
      <c r="D119" s="17" t="s">
        <v>86</v>
      </c>
      <c r="E119" s="7" t="s">
        <v>59</v>
      </c>
      <c r="F119" s="18" t="n">
        <f aca="false">IF(العجم!E8="","",العجم!E8)</f>
        <v>75</v>
      </c>
      <c r="G119" s="19" t="n">
        <f aca="false">IF(العجم!F8="","",العجم!F8)</f>
        <v>35</v>
      </c>
      <c r="H119" s="9" t="n">
        <f aca="false">IF(F119="","",ROUND(F119*G119,2))</f>
        <v>2625</v>
      </c>
      <c r="I119" s="9" t="n">
        <f aca="false">IF(F119="","",ROUND(H119*IF(N(العجم!G8)&gt;1,العجم!G8-1,0),2))</f>
        <v>393.75</v>
      </c>
      <c r="J119" s="9" t="n">
        <f aca="false">N(العجم!H8)</f>
        <v>3018.75</v>
      </c>
      <c r="K119" s="9" t="n">
        <f aca="false">N(العجم!I8)</f>
        <v>0</v>
      </c>
    </row>
    <row r="120" customFormat="false" ht="15" hidden="false" customHeight="false" outlineLevel="0" collapsed="false">
      <c r="A120" s="17" t="s">
        <v>29</v>
      </c>
      <c r="B120" s="11" t="n">
        <f aca="false">العجم!C9</f>
        <v>46309</v>
      </c>
      <c r="C120" s="17" t="str">
        <f aca="false">العجم!D9</f>
        <v>سداد سند/16761</v>
      </c>
      <c r="D120" s="17"/>
      <c r="E120" s="7" t="s">
        <v>57</v>
      </c>
      <c r="F120" s="7" t="str">
        <f aca="false">IF(العجم!E9="","",العجم!E9)</f>
        <v/>
      </c>
      <c r="G120" s="19" t="str">
        <f aca="false">IF(العجم!F9="","",العجم!F9)</f>
        <v/>
      </c>
      <c r="H120" s="9" t="str">
        <f aca="false">IF(F120="","",ROUND(F120*G120,2))</f>
        <v/>
      </c>
      <c r="I120" s="9" t="str">
        <f aca="false">IF(F120="","",ROUND(H120*IF(N(العجم!G9)&gt;1,العجم!G9-1,0),2))</f>
        <v/>
      </c>
      <c r="J120" s="9" t="n">
        <f aca="false">N(العجم!H9)</f>
        <v>0</v>
      </c>
      <c r="K120" s="9" t="n">
        <f aca="false">N(العجم!I9)</f>
        <v>1000</v>
      </c>
    </row>
    <row r="121" customFormat="false" ht="15" hidden="false" customHeight="false" outlineLevel="0" collapsed="false">
      <c r="A121" s="17" t="s">
        <v>29</v>
      </c>
      <c r="B121" s="11" t="n">
        <f aca="false">العجم!C10</f>
        <v>46311</v>
      </c>
      <c r="C121" s="17" t="str">
        <f aca="false">العجم!D10</f>
        <v>سداد سند/16800</v>
      </c>
      <c r="D121" s="17"/>
      <c r="E121" s="7" t="s">
        <v>57</v>
      </c>
      <c r="F121" s="7" t="str">
        <f aca="false">IF(العجم!E10="","",العجم!E10)</f>
        <v/>
      </c>
      <c r="G121" s="19" t="str">
        <f aca="false">IF(العجم!F10="","",العجم!F10)</f>
        <v/>
      </c>
      <c r="H121" s="9" t="str">
        <f aca="false">IF(F121="","",ROUND(F121*G121,2))</f>
        <v/>
      </c>
      <c r="I121" s="9" t="str">
        <f aca="false">IF(F121="","",ROUND(H121*IF(N(العجم!G10)&gt;1,العجم!G10-1,0),2))</f>
        <v/>
      </c>
      <c r="J121" s="9" t="n">
        <f aca="false">N(العجم!H10)</f>
        <v>0</v>
      </c>
      <c r="K121" s="9" t="n">
        <f aca="false">N(العجم!I10)</f>
        <v>2500</v>
      </c>
    </row>
    <row r="122" customFormat="false" ht="15" hidden="false" customHeight="false" outlineLevel="0" collapsed="false">
      <c r="A122" s="17" t="s">
        <v>29</v>
      </c>
      <c r="B122" s="11" t="n">
        <f aca="false">العجم!C11</f>
        <v>46313</v>
      </c>
      <c r="C122" s="17" t="str">
        <f aca="false">العجم!D11</f>
        <v>سداد سند/16833</v>
      </c>
      <c r="D122" s="17"/>
      <c r="E122" s="7" t="s">
        <v>57</v>
      </c>
      <c r="F122" s="7" t="str">
        <f aca="false">IF(العجم!E11="","",العجم!E11)</f>
        <v/>
      </c>
      <c r="G122" s="19" t="str">
        <f aca="false">IF(العجم!F11="","",العجم!F11)</f>
        <v/>
      </c>
      <c r="H122" s="9" t="str">
        <f aca="false">IF(F122="","",ROUND(F122*G122,2))</f>
        <v/>
      </c>
      <c r="I122" s="9" t="str">
        <f aca="false">IF(F122="","",ROUND(H122*IF(N(العجم!G11)&gt;1,العجم!G11-1,0),2))</f>
        <v/>
      </c>
      <c r="J122" s="9" t="n">
        <f aca="false">N(العجم!H11)</f>
        <v>0</v>
      </c>
      <c r="K122" s="9" t="n">
        <f aca="false">N(العجم!I11)</f>
        <v>2000</v>
      </c>
    </row>
    <row r="123" customFormat="false" ht="15" hidden="false" customHeight="false" outlineLevel="0" collapsed="false">
      <c r="A123" s="17" t="s">
        <v>29</v>
      </c>
      <c r="B123" s="11" t="n">
        <f aca="false">العجم!C12</f>
        <v>46315</v>
      </c>
      <c r="C123" s="17" t="str">
        <f aca="false">العجم!D12</f>
        <v>سداد سند/16867</v>
      </c>
      <c r="D123" s="17"/>
      <c r="E123" s="7" t="s">
        <v>57</v>
      </c>
      <c r="F123" s="7" t="str">
        <f aca="false">IF(العجم!E12="","",العجم!E12)</f>
        <v/>
      </c>
      <c r="G123" s="19" t="str">
        <f aca="false">IF(العجم!F12="","",العجم!F12)</f>
        <v/>
      </c>
      <c r="H123" s="9" t="str">
        <f aca="false">IF(F123="","",ROUND(F123*G123,2))</f>
        <v/>
      </c>
      <c r="I123" s="9" t="str">
        <f aca="false">IF(F123="","",ROUND(H123*IF(N(العجم!G12)&gt;1,العجم!G12-1,0),2))</f>
        <v/>
      </c>
      <c r="J123" s="9" t="n">
        <f aca="false">N(العجم!H12)</f>
        <v>0</v>
      </c>
      <c r="K123" s="9" t="n">
        <f aca="false">N(العجم!I12)</f>
        <v>1400</v>
      </c>
    </row>
    <row r="124" customFormat="false" ht="15" hidden="false" customHeight="false" outlineLevel="0" collapsed="false">
      <c r="A124" s="17" t="s">
        <v>29</v>
      </c>
      <c r="B124" s="11" t="n">
        <f aca="false">العجم!C13</f>
        <v>46315</v>
      </c>
      <c r="C124" s="17" t="str">
        <f aca="false">العجم!D13</f>
        <v>كيوي</v>
      </c>
      <c r="D124" s="17" t="s">
        <v>62</v>
      </c>
      <c r="E124" s="7" t="s">
        <v>59</v>
      </c>
      <c r="F124" s="18" t="n">
        <f aca="false">IF(العجم!E13="","",العجم!E13)</f>
        <v>110</v>
      </c>
      <c r="G124" s="19" t="n">
        <f aca="false">IF(العجم!F13="","",العجم!F13)</f>
        <v>24</v>
      </c>
      <c r="H124" s="9" t="n">
        <f aca="false">IF(F124="","",ROUND(F124*G124,2))</f>
        <v>2640</v>
      </c>
      <c r="I124" s="9" t="n">
        <f aca="false">IF(F124="","",ROUND(H124*IF(N(العجم!G13)&gt;1,العجم!G13-1,0),2))</f>
        <v>396</v>
      </c>
      <c r="J124" s="9" t="n">
        <f aca="false">N(العجم!H13)</f>
        <v>3036</v>
      </c>
      <c r="K124" s="9" t="n">
        <f aca="false">N(العجم!I13)</f>
        <v>0</v>
      </c>
    </row>
    <row r="125" customFormat="false" ht="15" hidden="false" customHeight="false" outlineLevel="0" collapsed="false">
      <c r="A125" s="17" t="s">
        <v>29</v>
      </c>
      <c r="B125" s="11" t="n">
        <f aca="false">العجم!C14</f>
        <v>46316</v>
      </c>
      <c r="C125" s="17" t="str">
        <f aca="false">العجم!D14</f>
        <v>كيوي</v>
      </c>
      <c r="D125" s="17" t="s">
        <v>62</v>
      </c>
      <c r="E125" s="7" t="s">
        <v>59</v>
      </c>
      <c r="F125" s="18" t="n">
        <f aca="false">IF(العجم!E14="","",العجم!E14)</f>
        <v>110</v>
      </c>
      <c r="G125" s="19" t="n">
        <f aca="false">IF(العجم!F14="","",العجم!F14)</f>
        <v>23</v>
      </c>
      <c r="H125" s="9" t="n">
        <f aca="false">IF(F125="","",ROUND(F125*G125,2))</f>
        <v>2530</v>
      </c>
      <c r="I125" s="9" t="n">
        <f aca="false">IF(F125="","",ROUND(H125*IF(N(العجم!G14)&gt;1,العجم!G14-1,0),2))</f>
        <v>379.5</v>
      </c>
      <c r="J125" s="9" t="n">
        <f aca="false">N(العجم!H14)</f>
        <v>2909.5</v>
      </c>
      <c r="K125" s="9" t="n">
        <f aca="false">N(العجم!I14)</f>
        <v>0</v>
      </c>
    </row>
    <row r="126" customFormat="false" ht="15" hidden="false" customHeight="false" outlineLevel="0" collapsed="false">
      <c r="A126" s="17" t="s">
        <v>29</v>
      </c>
      <c r="B126" s="11" t="n">
        <f aca="false">العجم!C15</f>
        <v>46317</v>
      </c>
      <c r="C126" s="17" t="str">
        <f aca="false">العجم!D15</f>
        <v>سداد سند/16898</v>
      </c>
      <c r="D126" s="17"/>
      <c r="E126" s="7" t="s">
        <v>57</v>
      </c>
      <c r="F126" s="7" t="str">
        <f aca="false">IF(العجم!E15="","",العجم!E15)</f>
        <v/>
      </c>
      <c r="G126" s="19" t="str">
        <f aca="false">IF(العجم!F15="","",العجم!F15)</f>
        <v/>
      </c>
      <c r="H126" s="9" t="str">
        <f aca="false">IF(F126="","",ROUND(F126*G126,2))</f>
        <v/>
      </c>
      <c r="I126" s="9" t="str">
        <f aca="false">IF(F126="","",ROUND(H126*IF(N(العجم!G15)&gt;1,العجم!G15-1,0),2))</f>
        <v/>
      </c>
      <c r="J126" s="9" t="n">
        <f aca="false">N(العجم!H15)</f>
        <v>0</v>
      </c>
      <c r="K126" s="9" t="n">
        <f aca="false">N(العجم!I15)</f>
        <v>2000</v>
      </c>
    </row>
    <row r="127" customFormat="false" ht="15" hidden="false" customHeight="false" outlineLevel="0" collapsed="false">
      <c r="A127" s="17" t="s">
        <v>29</v>
      </c>
      <c r="B127" s="11" t="n">
        <f aca="false">العجم!C16</f>
        <v>46319</v>
      </c>
      <c r="C127" s="17" t="str">
        <f aca="false">العجم!D16</f>
        <v>سداد سند/16918</v>
      </c>
      <c r="D127" s="17"/>
      <c r="E127" s="7" t="s">
        <v>57</v>
      </c>
      <c r="F127" s="7" t="str">
        <f aca="false">IF(العجم!E16="","",العجم!E16)</f>
        <v/>
      </c>
      <c r="G127" s="19" t="str">
        <f aca="false">IF(العجم!F16="","",العجم!F16)</f>
        <v/>
      </c>
      <c r="H127" s="9" t="str">
        <f aca="false">IF(F127="","",ROUND(F127*G127,2))</f>
        <v/>
      </c>
      <c r="I127" s="9" t="str">
        <f aca="false">IF(F127="","",ROUND(H127*IF(N(العجم!G16)&gt;1,العجم!G16-1,0),2))</f>
        <v/>
      </c>
      <c r="J127" s="9" t="n">
        <f aca="false">N(العجم!H16)</f>
        <v>0</v>
      </c>
      <c r="K127" s="9" t="n">
        <f aca="false">N(العجم!I16)</f>
        <v>2000</v>
      </c>
    </row>
    <row r="128" customFormat="false" ht="15" hidden="false" customHeight="false" outlineLevel="0" collapsed="false">
      <c r="A128" s="17" t="s">
        <v>29</v>
      </c>
      <c r="B128" s="11" t="n">
        <f aca="false">العجم!C17</f>
        <v>46320</v>
      </c>
      <c r="C128" s="17" t="str">
        <f aca="false">العجم!D17</f>
        <v>كيوي</v>
      </c>
      <c r="D128" s="17" t="s">
        <v>62</v>
      </c>
      <c r="E128" s="7" t="s">
        <v>59</v>
      </c>
      <c r="F128" s="18" t="n">
        <f aca="false">IF(العجم!E17="","",العجم!E17)</f>
        <v>110</v>
      </c>
      <c r="G128" s="19" t="n">
        <f aca="false">IF(العجم!F17="","",العجم!F17)</f>
        <v>20</v>
      </c>
      <c r="H128" s="9" t="n">
        <f aca="false">IF(F128="","",ROUND(F128*G128,2))</f>
        <v>2200</v>
      </c>
      <c r="I128" s="9" t="n">
        <f aca="false">IF(F128="","",ROUND(H128*IF(N(العجم!G17)&gt;1,العجم!G17-1,0),2))</f>
        <v>330</v>
      </c>
      <c r="J128" s="9" t="n">
        <f aca="false">N(العجم!H17)</f>
        <v>2530</v>
      </c>
      <c r="K128" s="9" t="n">
        <f aca="false">N(العجم!I17)</f>
        <v>0</v>
      </c>
    </row>
    <row r="129" customFormat="false" ht="15" hidden="false" customHeight="false" outlineLevel="0" collapsed="false">
      <c r="A129" s="17" t="s">
        <v>29</v>
      </c>
      <c r="B129" s="11" t="n">
        <f aca="false">العجم!C18</f>
        <v>46321</v>
      </c>
      <c r="C129" s="17" t="str">
        <f aca="false">العجم!D18</f>
        <v>سداد سند/16958</v>
      </c>
      <c r="D129" s="17"/>
      <c r="E129" s="7" t="s">
        <v>57</v>
      </c>
      <c r="F129" s="7" t="str">
        <f aca="false">IF(العجم!E18="","",العجم!E18)</f>
        <v/>
      </c>
      <c r="G129" s="19" t="str">
        <f aca="false">IF(العجم!F18="","",العجم!F18)</f>
        <v/>
      </c>
      <c r="H129" s="9" t="str">
        <f aca="false">IF(F129="","",ROUND(F129*G129,2))</f>
        <v/>
      </c>
      <c r="I129" s="9" t="str">
        <f aca="false">IF(F129="","",ROUND(H129*IF(N(العجم!G18)&gt;1,العجم!G18-1,0),2))</f>
        <v/>
      </c>
      <c r="J129" s="9" t="n">
        <f aca="false">N(العجم!H18)</f>
        <v>0</v>
      </c>
      <c r="K129" s="9" t="n">
        <f aca="false">N(العجم!I18)</f>
        <v>3000</v>
      </c>
    </row>
    <row r="130" customFormat="false" ht="15" hidden="false" customHeight="false" outlineLevel="0" collapsed="false">
      <c r="A130" s="17" t="s">
        <v>30</v>
      </c>
      <c r="B130" s="11" t="n">
        <f aca="false">البشري!C7</f>
        <v>46303</v>
      </c>
      <c r="C130" s="17" t="str">
        <f aca="false">البشري!D7</f>
        <v>رمان مصري</v>
      </c>
      <c r="D130" s="17" t="s">
        <v>87</v>
      </c>
      <c r="E130" s="7" t="s">
        <v>59</v>
      </c>
      <c r="F130" s="18" t="n">
        <f aca="false">IF(البشري!E7="","",البشري!E7)</f>
        <v>190</v>
      </c>
      <c r="G130" s="19" t="n">
        <f aca="false">IF(البشري!F7="","",البشري!F7)</f>
        <v>10</v>
      </c>
      <c r="H130" s="9" t="n">
        <f aca="false">IF(F130="","",ROUND(F130*G130,2))</f>
        <v>1900</v>
      </c>
      <c r="I130" s="9" t="n">
        <f aca="false">IF(F130="","",ROUND(H130*IF(N(البشري!G7)&gt;1,البشري!G7-1,0),2))</f>
        <v>285</v>
      </c>
      <c r="J130" s="9" t="n">
        <f aca="false">N(البشري!H7)</f>
        <v>2185</v>
      </c>
      <c r="K130" s="9" t="n">
        <f aca="false">N(البشري!I7)</f>
        <v>0</v>
      </c>
    </row>
    <row r="131" customFormat="false" ht="15" hidden="false" customHeight="false" outlineLevel="0" collapsed="false">
      <c r="A131" s="17" t="s">
        <v>30</v>
      </c>
      <c r="B131" s="11" t="n">
        <f aca="false">البشري!C8</f>
        <v>46303</v>
      </c>
      <c r="C131" s="17" t="str">
        <f aca="false">البشري!D8</f>
        <v>رمان مصري</v>
      </c>
      <c r="D131" s="17" t="s">
        <v>87</v>
      </c>
      <c r="E131" s="7" t="s">
        <v>59</v>
      </c>
      <c r="F131" s="18" t="n">
        <f aca="false">IF(البشري!E8="","",البشري!E8)</f>
        <v>200</v>
      </c>
      <c r="G131" s="19" t="n">
        <f aca="false">IF(البشري!F8="","",البشري!F8)</f>
        <v>10</v>
      </c>
      <c r="H131" s="9" t="n">
        <f aca="false">IF(F131="","",ROUND(F131*G131,2))</f>
        <v>2000</v>
      </c>
      <c r="I131" s="9" t="n">
        <f aca="false">IF(F131="","",ROUND(H131*IF(N(البشري!G8)&gt;1,البشري!G8-1,0),2))</f>
        <v>300</v>
      </c>
      <c r="J131" s="9" t="n">
        <f aca="false">N(البشري!H8)</f>
        <v>2300</v>
      </c>
      <c r="K131" s="9" t="n">
        <f aca="false">N(البشري!I8)</f>
        <v>0</v>
      </c>
    </row>
    <row r="132" customFormat="false" ht="15" hidden="false" customHeight="false" outlineLevel="0" collapsed="false">
      <c r="A132" s="17" t="s">
        <v>30</v>
      </c>
      <c r="B132" s="11" t="n">
        <f aca="false">البشري!C9</f>
        <v>46303</v>
      </c>
      <c r="C132" s="17" t="str">
        <f aca="false">البشري!D9</f>
        <v>مقاصه مع رجب</v>
      </c>
      <c r="D132" s="17"/>
      <c r="E132" s="7" t="s">
        <v>66</v>
      </c>
      <c r="F132" s="7" t="str">
        <f aca="false">IF(البشري!E9="","",البشري!E9)</f>
        <v/>
      </c>
      <c r="G132" s="19" t="str">
        <f aca="false">IF(البشري!F9="","",البشري!F9)</f>
        <v/>
      </c>
      <c r="H132" s="9" t="str">
        <f aca="false">IF(F132="","",ROUND(F132*G132,2))</f>
        <v/>
      </c>
      <c r="I132" s="9" t="str">
        <f aca="false">IF(F132="","",ROUND(H132*IF(N(البشري!G9)&gt;1,البشري!G9-1,0),2))</f>
        <v/>
      </c>
      <c r="J132" s="9" t="n">
        <f aca="false">N(البشري!H9)</f>
        <v>0</v>
      </c>
      <c r="K132" s="9" t="n">
        <f aca="false">N(البشري!I9)</f>
        <v>2300</v>
      </c>
    </row>
    <row r="133" customFormat="false" ht="15" hidden="false" customHeight="false" outlineLevel="0" collapsed="false">
      <c r="A133" s="17" t="s">
        <v>30</v>
      </c>
      <c r="B133" s="11" t="n">
        <f aca="false">البشري!C10</f>
        <v>46304</v>
      </c>
      <c r="C133" s="17" t="str">
        <f aca="false">البشري!D10</f>
        <v>سداد سند/09235</v>
      </c>
      <c r="D133" s="17"/>
      <c r="E133" s="7" t="s">
        <v>57</v>
      </c>
      <c r="F133" s="7" t="str">
        <f aca="false">IF(البشري!E10="","",البشري!E10)</f>
        <v/>
      </c>
      <c r="G133" s="19" t="str">
        <f aca="false">IF(البشري!F10="","",البشري!F10)</f>
        <v/>
      </c>
      <c r="H133" s="9" t="str">
        <f aca="false">IF(F133="","",ROUND(F133*G133,2))</f>
        <v/>
      </c>
      <c r="I133" s="9" t="str">
        <f aca="false">IF(F133="","",ROUND(H133*IF(N(البشري!G10)&gt;1,البشري!G10-1,0),2))</f>
        <v/>
      </c>
      <c r="J133" s="9" t="n">
        <f aca="false">N(البشري!H10)</f>
        <v>0</v>
      </c>
      <c r="K133" s="9" t="n">
        <f aca="false">N(البشري!I10)</f>
        <v>500</v>
      </c>
    </row>
    <row r="134" customFormat="false" ht="15" hidden="false" customHeight="false" outlineLevel="0" collapsed="false">
      <c r="A134" s="17" t="s">
        <v>30</v>
      </c>
      <c r="B134" s="11" t="n">
        <f aca="false">البشري!C11</f>
        <v>46307</v>
      </c>
      <c r="C134" s="17" t="str">
        <f aca="false">البشري!D11</f>
        <v>رمان مصري</v>
      </c>
      <c r="D134" s="17" t="s">
        <v>87</v>
      </c>
      <c r="E134" s="7" t="s">
        <v>59</v>
      </c>
      <c r="F134" s="18" t="n">
        <f aca="false">IF(البشري!E11="","",البشري!E11)</f>
        <v>200</v>
      </c>
      <c r="G134" s="19" t="n">
        <f aca="false">IF(البشري!F11="","",البشري!F11)</f>
        <v>11</v>
      </c>
      <c r="H134" s="9" t="n">
        <f aca="false">IF(F134="","",ROUND(F134*G134,2))</f>
        <v>2200</v>
      </c>
      <c r="I134" s="9" t="n">
        <f aca="false">IF(F134="","",ROUND(H134*IF(N(البشري!G11)&gt;1,البشري!G11-1,0),2))</f>
        <v>330</v>
      </c>
      <c r="J134" s="9" t="n">
        <f aca="false">N(البشري!H11)</f>
        <v>2530</v>
      </c>
      <c r="K134" s="9" t="n">
        <f aca="false">N(البشري!I11)</f>
        <v>0</v>
      </c>
    </row>
    <row r="135" customFormat="false" ht="15" hidden="false" customHeight="false" outlineLevel="0" collapsed="false">
      <c r="A135" s="17" t="s">
        <v>30</v>
      </c>
      <c r="B135" s="11" t="n">
        <f aca="false">البشري!C12</f>
        <v>46307</v>
      </c>
      <c r="C135" s="17" t="str">
        <f aca="false">البشري!D12</f>
        <v>سداد سند/09123</v>
      </c>
      <c r="D135" s="17"/>
      <c r="E135" s="7" t="s">
        <v>57</v>
      </c>
      <c r="F135" s="7" t="str">
        <f aca="false">IF(البشري!E12="","",البشري!E12)</f>
        <v/>
      </c>
      <c r="G135" s="19" t="str">
        <f aca="false">IF(البشري!F12="","",البشري!F12)</f>
        <v/>
      </c>
      <c r="H135" s="9" t="str">
        <f aca="false">IF(F135="","",ROUND(F135*G135,2))</f>
        <v/>
      </c>
      <c r="I135" s="9" t="str">
        <f aca="false">IF(F135="","",ROUND(H135*IF(N(البشري!G12)&gt;1,البشري!G12-1,0),2))</f>
        <v/>
      </c>
      <c r="J135" s="9" t="n">
        <f aca="false">N(البشري!H12)</f>
        <v>0</v>
      </c>
      <c r="K135" s="9" t="n">
        <f aca="false">N(البشري!I12)</f>
        <v>500</v>
      </c>
    </row>
    <row r="136" customFormat="false" ht="15" hidden="false" customHeight="false" outlineLevel="0" collapsed="false">
      <c r="A136" s="17" t="s">
        <v>30</v>
      </c>
      <c r="B136" s="11" t="n">
        <f aca="false">البشري!C13</f>
        <v>46308</v>
      </c>
      <c r="C136" s="17" t="str">
        <f aca="false">البشري!D13</f>
        <v>رمان مصري</v>
      </c>
      <c r="D136" s="17" t="s">
        <v>87</v>
      </c>
      <c r="E136" s="7" t="s">
        <v>59</v>
      </c>
      <c r="F136" s="18" t="n">
        <f aca="false">IF(البشري!E13="","",البشري!E13)</f>
        <v>200</v>
      </c>
      <c r="G136" s="19" t="n">
        <f aca="false">IF(البشري!F13="","",البشري!F13)</f>
        <v>11.5</v>
      </c>
      <c r="H136" s="9" t="n">
        <f aca="false">IF(F136="","",ROUND(F136*G136,2))</f>
        <v>2300</v>
      </c>
      <c r="I136" s="9" t="n">
        <f aca="false">IF(F136="","",ROUND(H136*IF(N(البشري!G13)&gt;1,البشري!G13-1,0),2))</f>
        <v>345</v>
      </c>
      <c r="J136" s="9" t="n">
        <f aca="false">N(البشري!H13)</f>
        <v>2645</v>
      </c>
      <c r="K136" s="9" t="n">
        <f aca="false">N(البشري!I13)</f>
        <v>0</v>
      </c>
    </row>
    <row r="137" customFormat="false" ht="15" hidden="false" customHeight="false" outlineLevel="0" collapsed="false">
      <c r="A137" s="17" t="s">
        <v>30</v>
      </c>
      <c r="B137" s="11" t="n">
        <f aca="false">البشري!C14</f>
        <v>46309</v>
      </c>
      <c r="C137" s="17" t="str">
        <f aca="false">البشري!D14</f>
        <v>سداد سند/09021</v>
      </c>
      <c r="D137" s="17"/>
      <c r="E137" s="7" t="s">
        <v>57</v>
      </c>
      <c r="F137" s="7" t="str">
        <f aca="false">IF(البشري!E14="","",البشري!E14)</f>
        <v/>
      </c>
      <c r="G137" s="19" t="str">
        <f aca="false">IF(البشري!F14="","",البشري!F14)</f>
        <v/>
      </c>
      <c r="H137" s="9" t="str">
        <f aca="false">IF(F137="","",ROUND(F137*G137,2))</f>
        <v/>
      </c>
      <c r="I137" s="9" t="str">
        <f aca="false">IF(F137="","",ROUND(H137*IF(N(البشري!G14)&gt;1,البشري!G14-1,0),2))</f>
        <v/>
      </c>
      <c r="J137" s="9" t="n">
        <f aca="false">N(البشري!H14)</f>
        <v>0</v>
      </c>
      <c r="K137" s="9" t="n">
        <f aca="false">N(البشري!I14)</f>
        <v>1000</v>
      </c>
    </row>
    <row r="138" customFormat="false" ht="15" hidden="false" customHeight="false" outlineLevel="0" collapsed="false">
      <c r="A138" s="17" t="s">
        <v>30</v>
      </c>
      <c r="B138" s="11" t="n">
        <f aca="false">البشري!C15</f>
        <v>46311</v>
      </c>
      <c r="C138" s="17" t="str">
        <f aca="false">البشري!D15</f>
        <v>سداد سند/09099</v>
      </c>
      <c r="D138" s="17"/>
      <c r="E138" s="7" t="s">
        <v>57</v>
      </c>
      <c r="F138" s="7" t="str">
        <f aca="false">IF(البشري!E15="","",البشري!E15)</f>
        <v/>
      </c>
      <c r="G138" s="19" t="str">
        <f aca="false">IF(البشري!F15="","",البشري!F15)</f>
        <v/>
      </c>
      <c r="H138" s="9" t="str">
        <f aca="false">IF(F138="","",ROUND(F138*G138,2))</f>
        <v/>
      </c>
      <c r="I138" s="9" t="str">
        <f aca="false">IF(F138="","",ROUND(H138*IF(N(البشري!G15)&gt;1,البشري!G15-1,0),2))</f>
        <v/>
      </c>
      <c r="J138" s="9" t="n">
        <f aca="false">N(البشري!H15)</f>
        <v>0</v>
      </c>
      <c r="K138" s="9" t="n">
        <f aca="false">N(البشري!I15)</f>
        <v>1000</v>
      </c>
    </row>
    <row r="139" customFormat="false" ht="15" hidden="false" customHeight="false" outlineLevel="0" collapsed="false">
      <c r="A139" s="17" t="s">
        <v>30</v>
      </c>
      <c r="B139" s="11" t="n">
        <f aca="false">البشري!C16</f>
        <v>46314</v>
      </c>
      <c r="C139" s="17" t="str">
        <f aca="false">البشري!D16</f>
        <v>سداد سند/14633</v>
      </c>
      <c r="D139" s="17"/>
      <c r="E139" s="7" t="s">
        <v>57</v>
      </c>
      <c r="F139" s="7" t="str">
        <f aca="false">IF(البشري!E16="","",البشري!E16)</f>
        <v/>
      </c>
      <c r="G139" s="19" t="str">
        <f aca="false">IF(البشري!F16="","",البشري!F16)</f>
        <v/>
      </c>
      <c r="H139" s="9" t="str">
        <f aca="false">IF(F139="","",ROUND(F139*G139,2))</f>
        <v/>
      </c>
      <c r="I139" s="9" t="str">
        <f aca="false">IF(F139="","",ROUND(H139*IF(N(البشري!G16)&gt;1,البشري!G16-1,0),2))</f>
        <v/>
      </c>
      <c r="J139" s="9" t="n">
        <f aca="false">N(البشري!H16)</f>
        <v>0</v>
      </c>
      <c r="K139" s="9" t="n">
        <f aca="false">N(البشري!I16)</f>
        <v>1000</v>
      </c>
    </row>
    <row r="140" customFormat="false" ht="15" hidden="false" customHeight="false" outlineLevel="0" collapsed="false">
      <c r="A140" s="17" t="s">
        <v>30</v>
      </c>
      <c r="B140" s="11" t="n">
        <f aca="false">البشري!C17</f>
        <v>46316</v>
      </c>
      <c r="C140" s="17" t="str">
        <f aca="false">البشري!D17</f>
        <v>رمان مصري</v>
      </c>
      <c r="D140" s="17" t="s">
        <v>87</v>
      </c>
      <c r="E140" s="7" t="s">
        <v>59</v>
      </c>
      <c r="F140" s="18" t="n">
        <f aca="false">IF(البشري!E17="","",البشري!E17)</f>
        <v>30</v>
      </c>
      <c r="G140" s="19" t="n">
        <f aca="false">IF(البشري!F17="","",البشري!F17)</f>
        <v>11</v>
      </c>
      <c r="H140" s="9" t="n">
        <f aca="false">IF(F140="","",ROUND(F140*G140,2))</f>
        <v>330</v>
      </c>
      <c r="I140" s="9" t="n">
        <f aca="false">IF(F140="","",ROUND(H140*IF(N(البشري!G17)&gt;1,البشري!G17-1,0),2))</f>
        <v>49.5</v>
      </c>
      <c r="J140" s="9" t="n">
        <f aca="false">N(البشري!H17)</f>
        <v>379.5</v>
      </c>
      <c r="K140" s="9" t="n">
        <f aca="false">N(البشري!I17)</f>
        <v>0</v>
      </c>
    </row>
    <row r="141" customFormat="false" ht="15" hidden="false" customHeight="false" outlineLevel="0" collapsed="false">
      <c r="A141" s="17" t="s">
        <v>30</v>
      </c>
      <c r="B141" s="11" t="n">
        <f aca="false">البشري!C18</f>
        <v>46316</v>
      </c>
      <c r="C141" s="17" t="str">
        <f aca="false">البشري!D18</f>
        <v>فراولة</v>
      </c>
      <c r="D141" s="17" t="s">
        <v>63</v>
      </c>
      <c r="E141" s="7" t="s">
        <v>59</v>
      </c>
      <c r="F141" s="18" t="n">
        <f aca="false">IF(البشري!E18="","",البشري!E18)</f>
        <v>20</v>
      </c>
      <c r="G141" s="19" t="n">
        <f aca="false">IF(البشري!F18="","",البشري!F18)</f>
        <v>105</v>
      </c>
      <c r="H141" s="9" t="n">
        <f aca="false">IF(F141="","",ROUND(F141*G141,2))</f>
        <v>2100</v>
      </c>
      <c r="I141" s="9" t="n">
        <f aca="false">IF(F141="","",ROUND(H141*IF(N(البشري!G18)&gt;1,البشري!G18-1,0),2))</f>
        <v>315</v>
      </c>
      <c r="J141" s="9" t="n">
        <f aca="false">N(البشري!H18)</f>
        <v>2415</v>
      </c>
      <c r="K141" s="9" t="n">
        <f aca="false">N(البشري!I18)</f>
        <v>0</v>
      </c>
    </row>
    <row r="142" customFormat="false" ht="15" hidden="false" customHeight="false" outlineLevel="0" collapsed="false">
      <c r="A142" s="17" t="s">
        <v>30</v>
      </c>
      <c r="B142" s="11" t="n">
        <f aca="false">البشري!C19</f>
        <v>46316</v>
      </c>
      <c r="C142" s="17" t="str">
        <f aca="false">البشري!D19</f>
        <v>سداد سند/15544</v>
      </c>
      <c r="D142" s="17"/>
      <c r="E142" s="7" t="s">
        <v>57</v>
      </c>
      <c r="F142" s="7" t="str">
        <f aca="false">IF(البشري!E19="","",البشري!E19)</f>
        <v/>
      </c>
      <c r="G142" s="19" t="str">
        <f aca="false">IF(البشري!F19="","",البشري!F19)</f>
        <v/>
      </c>
      <c r="H142" s="9" t="str">
        <f aca="false">IF(F142="","",ROUND(F142*G142,2))</f>
        <v/>
      </c>
      <c r="I142" s="9" t="str">
        <f aca="false">IF(F142="","",ROUND(H142*IF(N(البشري!G19)&gt;1,البشري!G19-1,0),2))</f>
        <v/>
      </c>
      <c r="J142" s="9" t="n">
        <f aca="false">N(البشري!H19)</f>
        <v>0</v>
      </c>
      <c r="K142" s="9" t="n">
        <f aca="false">N(البشري!I19)</f>
        <v>1200</v>
      </c>
    </row>
    <row r="143" customFormat="false" ht="15" hidden="false" customHeight="false" outlineLevel="0" collapsed="false">
      <c r="A143" s="17" t="s">
        <v>30</v>
      </c>
      <c r="B143" s="11" t="n">
        <f aca="false">البشري!C20</f>
        <v>46317</v>
      </c>
      <c r="C143" s="17" t="str">
        <f aca="false">البشري!D20</f>
        <v>سداد سند/15833</v>
      </c>
      <c r="D143" s="17"/>
      <c r="E143" s="7" t="s">
        <v>57</v>
      </c>
      <c r="F143" s="7" t="str">
        <f aca="false">IF(البشري!E20="","",البشري!E20)</f>
        <v/>
      </c>
      <c r="G143" s="19" t="str">
        <f aca="false">IF(البشري!F20="","",البشري!F20)</f>
        <v/>
      </c>
      <c r="H143" s="9" t="str">
        <f aca="false">IF(F143="","",ROUND(F143*G143,2))</f>
        <v/>
      </c>
      <c r="I143" s="9" t="str">
        <f aca="false">IF(F143="","",ROUND(H143*IF(N(البشري!G20)&gt;1,البشري!G20-1,0),2))</f>
        <v/>
      </c>
      <c r="J143" s="9" t="n">
        <f aca="false">N(البشري!H20)</f>
        <v>0</v>
      </c>
      <c r="K143" s="9" t="n">
        <f aca="false">N(البشري!I20)</f>
        <v>1000</v>
      </c>
    </row>
    <row r="144" customFormat="false" ht="15" hidden="false" customHeight="false" outlineLevel="0" collapsed="false">
      <c r="A144" s="17" t="s">
        <v>30</v>
      </c>
      <c r="B144" s="11" t="n">
        <f aca="false">البشري!C21</f>
        <v>46318</v>
      </c>
      <c r="C144" s="17" t="str">
        <f aca="false">البشري!D21</f>
        <v>تفاح سلة</v>
      </c>
      <c r="D144" s="17" t="s">
        <v>88</v>
      </c>
      <c r="E144" s="7" t="s">
        <v>59</v>
      </c>
      <c r="F144" s="18" t="n">
        <f aca="false">IF(البشري!E21="","",البشري!E21)</f>
        <v>71</v>
      </c>
      <c r="G144" s="19" t="n">
        <f aca="false">IF(البشري!F21="","",البشري!F21)</f>
        <v>42</v>
      </c>
      <c r="H144" s="9" t="n">
        <f aca="false">IF(F144="","",ROUND(F144*G144,2))</f>
        <v>2982</v>
      </c>
      <c r="I144" s="9" t="n">
        <f aca="false">IF(F144="","",ROUND(H144*IF(N(البشري!G21)&gt;1,البشري!G21-1,0),2))</f>
        <v>447.3</v>
      </c>
      <c r="J144" s="9" t="n">
        <f aca="false">N(البشري!H21)</f>
        <v>3429.3</v>
      </c>
      <c r="K144" s="9" t="n">
        <f aca="false">N(البشري!I21)</f>
        <v>0</v>
      </c>
    </row>
    <row r="145" customFormat="false" ht="15" hidden="false" customHeight="false" outlineLevel="0" collapsed="false">
      <c r="A145" s="17" t="s">
        <v>30</v>
      </c>
      <c r="B145" s="11" t="n">
        <f aca="false">البشري!C22</f>
        <v>46319</v>
      </c>
      <c r="C145" s="17" t="str">
        <f aca="false">البشري!D22</f>
        <v>سداد سند/15558</v>
      </c>
      <c r="D145" s="17"/>
      <c r="E145" s="7" t="s">
        <v>57</v>
      </c>
      <c r="F145" s="7" t="str">
        <f aca="false">IF(البشري!E22="","",البشري!E22)</f>
        <v/>
      </c>
      <c r="G145" s="19" t="str">
        <f aca="false">IF(البشري!F22="","",البشري!F22)</f>
        <v/>
      </c>
      <c r="H145" s="9" t="str">
        <f aca="false">IF(F145="","",ROUND(F145*G145,2))</f>
        <v/>
      </c>
      <c r="I145" s="9" t="str">
        <f aca="false">IF(F145="","",ROUND(H145*IF(N(البشري!G22)&gt;1,البشري!G22-1,0),2))</f>
        <v/>
      </c>
      <c r="J145" s="9" t="n">
        <f aca="false">N(البشري!H22)</f>
        <v>0</v>
      </c>
      <c r="K145" s="9" t="n">
        <f aca="false">N(البشري!I22)</f>
        <v>2000</v>
      </c>
    </row>
    <row r="146" customFormat="false" ht="15" hidden="false" customHeight="false" outlineLevel="0" collapsed="false">
      <c r="A146" s="17" t="s">
        <v>30</v>
      </c>
      <c r="B146" s="11" t="n">
        <f aca="false">البشري!C23</f>
        <v>46320</v>
      </c>
      <c r="C146" s="17" t="str">
        <f aca="false">البشري!D23</f>
        <v>تفاح سلة</v>
      </c>
      <c r="D146" s="17" t="s">
        <v>88</v>
      </c>
      <c r="E146" s="7" t="s">
        <v>59</v>
      </c>
      <c r="F146" s="18" t="n">
        <f aca="false">IF(البشري!E23="","",البشري!E23)</f>
        <v>67</v>
      </c>
      <c r="G146" s="19" t="n">
        <f aca="false">IF(البشري!F23="","",البشري!F23)</f>
        <v>42</v>
      </c>
      <c r="H146" s="9" t="n">
        <f aca="false">IF(F146="","",ROUND(F146*G146,2))</f>
        <v>2814</v>
      </c>
      <c r="I146" s="9" t="n">
        <f aca="false">IF(F146="","",ROUND(H146*IF(N(البشري!G23)&gt;1,البشري!G23-1,0),2))</f>
        <v>422.1</v>
      </c>
      <c r="J146" s="9" t="n">
        <f aca="false">N(البشري!H23)</f>
        <v>3236.1</v>
      </c>
      <c r="K146" s="9" t="n">
        <f aca="false">N(البشري!I23)</f>
        <v>0</v>
      </c>
    </row>
    <row r="147" customFormat="false" ht="15" hidden="false" customHeight="false" outlineLevel="0" collapsed="false">
      <c r="A147" s="17" t="s">
        <v>30</v>
      </c>
      <c r="B147" s="11" t="n">
        <f aca="false">البشري!C24</f>
        <v>46320</v>
      </c>
      <c r="C147" s="17" t="str">
        <f aca="false">البشري!D24</f>
        <v>فراولة</v>
      </c>
      <c r="D147" s="17" t="s">
        <v>63</v>
      </c>
      <c r="E147" s="7" t="s">
        <v>59</v>
      </c>
      <c r="F147" s="18" t="n">
        <f aca="false">IF(البشري!E24="","",البشري!E24)</f>
        <v>59</v>
      </c>
      <c r="G147" s="19" t="n">
        <f aca="false">IF(البشري!F24="","",البشري!F24)</f>
        <v>105</v>
      </c>
      <c r="H147" s="9" t="n">
        <f aca="false">IF(F147="","",ROUND(F147*G147,2))</f>
        <v>6195</v>
      </c>
      <c r="I147" s="9" t="n">
        <f aca="false">IF(F147="","",ROUND(H147*IF(N(البشري!G24)&gt;1,البشري!G24-1,0),2))</f>
        <v>929.25</v>
      </c>
      <c r="J147" s="9" t="n">
        <f aca="false">N(البشري!H24)</f>
        <v>7124.25</v>
      </c>
      <c r="K147" s="9" t="n">
        <f aca="false">N(البشري!I24)</f>
        <v>0</v>
      </c>
    </row>
    <row r="148" customFormat="false" ht="15" hidden="false" customHeight="false" outlineLevel="0" collapsed="false">
      <c r="A148" s="17" t="s">
        <v>30</v>
      </c>
      <c r="B148" s="11" t="n">
        <f aca="false">البشري!C25</f>
        <v>46320</v>
      </c>
      <c r="C148" s="17" t="str">
        <f aca="false">البشري!D25</f>
        <v>فراولة</v>
      </c>
      <c r="D148" s="17" t="s">
        <v>63</v>
      </c>
      <c r="E148" s="7" t="s">
        <v>59</v>
      </c>
      <c r="F148" s="18" t="n">
        <f aca="false">IF(البشري!E25="","",البشري!E25)</f>
        <v>1</v>
      </c>
      <c r="G148" s="19" t="n">
        <f aca="false">IF(البشري!F25="","",البشري!F25)</f>
        <v>61</v>
      </c>
      <c r="H148" s="9" t="n">
        <f aca="false">IF(F148="","",ROUND(F148*G148,2))</f>
        <v>61</v>
      </c>
      <c r="I148" s="9" t="n">
        <f aca="false">IF(F148="","",ROUND(H148*IF(N(البشري!G25)&gt;1,البشري!G25-1,0),2))</f>
        <v>9.15</v>
      </c>
      <c r="J148" s="9" t="n">
        <f aca="false">N(البشري!H25)</f>
        <v>70.15</v>
      </c>
      <c r="K148" s="9" t="n">
        <f aca="false">N(البشري!I25)</f>
        <v>0</v>
      </c>
    </row>
    <row r="149" customFormat="false" ht="15" hidden="false" customHeight="false" outlineLevel="0" collapsed="false">
      <c r="A149" s="17" t="s">
        <v>30</v>
      </c>
      <c r="B149" s="11" t="n">
        <f aca="false">البشري!C26</f>
        <v>46321</v>
      </c>
      <c r="C149" s="17" t="str">
        <f aca="false">البشري!D26</f>
        <v>سداد سند/15595</v>
      </c>
      <c r="D149" s="17"/>
      <c r="E149" s="7" t="s">
        <v>57</v>
      </c>
      <c r="F149" s="7" t="str">
        <f aca="false">IF(البشري!E26="","",البشري!E26)</f>
        <v/>
      </c>
      <c r="G149" s="19" t="str">
        <f aca="false">IF(البشري!F26="","",البشري!F26)</f>
        <v/>
      </c>
      <c r="H149" s="9" t="str">
        <f aca="false">IF(F149="","",ROUND(F149*G149,2))</f>
        <v/>
      </c>
      <c r="I149" s="9" t="str">
        <f aca="false">IF(F149="","",ROUND(H149*IF(N(البشري!G26)&gt;1,البشري!G26-1,0),2))</f>
        <v/>
      </c>
      <c r="J149" s="9" t="n">
        <f aca="false">N(البشري!H26)</f>
        <v>0</v>
      </c>
      <c r="K149" s="9" t="n">
        <f aca="false">N(البشري!I26)</f>
        <v>10000</v>
      </c>
    </row>
    <row r="150" customFormat="false" ht="15" hidden="false" customHeight="false" outlineLevel="0" collapsed="false">
      <c r="A150" s="17" t="s">
        <v>30</v>
      </c>
      <c r="B150" s="11" t="n">
        <f aca="false">البشري!C27</f>
        <v>46322</v>
      </c>
      <c r="C150" s="17" t="str">
        <f aca="false">البشري!D27</f>
        <v>كيوي</v>
      </c>
      <c r="D150" s="17" t="s">
        <v>62</v>
      </c>
      <c r="E150" s="7" t="s">
        <v>59</v>
      </c>
      <c r="F150" s="18" t="n">
        <f aca="false">IF(البشري!E27="","",البشري!E27)</f>
        <v>103</v>
      </c>
      <c r="G150" s="19" t="n">
        <f aca="false">IF(البشري!F27="","",البشري!F27)</f>
        <v>33</v>
      </c>
      <c r="H150" s="9" t="n">
        <f aca="false">IF(F150="","",ROUND(F150*G150,2))</f>
        <v>3399</v>
      </c>
      <c r="I150" s="9" t="n">
        <f aca="false">IF(F150="","",ROUND(H150*IF(N(البشري!G27)&gt;1,البشري!G27-1,0),2))</f>
        <v>509.85</v>
      </c>
      <c r="J150" s="9" t="n">
        <f aca="false">N(البشري!H27)</f>
        <v>3908.85</v>
      </c>
      <c r="K150" s="9" t="n">
        <f aca="false">N(البشري!I27)</f>
        <v>0</v>
      </c>
    </row>
    <row r="151" customFormat="false" ht="15" hidden="false" customHeight="false" outlineLevel="0" collapsed="false">
      <c r="A151" s="17" t="s">
        <v>30</v>
      </c>
      <c r="B151" s="11" t="n">
        <f aca="false">البشري!C28</f>
        <v>46323</v>
      </c>
      <c r="C151" s="17" t="str">
        <f aca="false">البشري!D28</f>
        <v>سداد سند/15919</v>
      </c>
      <c r="D151" s="17"/>
      <c r="E151" s="7" t="s">
        <v>57</v>
      </c>
      <c r="F151" s="7" t="str">
        <f aca="false">IF(البشري!E28="","",البشري!E28)</f>
        <v/>
      </c>
      <c r="G151" s="19" t="str">
        <f aca="false">IF(البشري!F28="","",البشري!F28)</f>
        <v/>
      </c>
      <c r="H151" s="9" t="str">
        <f aca="false">IF(F151="","",ROUND(F151*G151,2))</f>
        <v/>
      </c>
      <c r="I151" s="9" t="str">
        <f aca="false">IF(F151="","",ROUND(H151*IF(N(البشري!G28)&gt;1,البشري!G28-1,0),2))</f>
        <v/>
      </c>
      <c r="J151" s="9" t="n">
        <f aca="false">N(البشري!H28)</f>
        <v>0</v>
      </c>
      <c r="K151" s="9" t="n">
        <f aca="false">N(البشري!I28)</f>
        <v>2000</v>
      </c>
    </row>
    <row r="152" customFormat="false" ht="15" hidden="false" customHeight="false" outlineLevel="0" collapsed="false">
      <c r="A152" s="17" t="s">
        <v>30</v>
      </c>
      <c r="B152" s="11" t="n">
        <f aca="false">البشري!C29</f>
        <v>46323</v>
      </c>
      <c r="C152" s="17" t="str">
        <f aca="false">البشري!D29</f>
        <v>كيوي</v>
      </c>
      <c r="D152" s="17" t="s">
        <v>62</v>
      </c>
      <c r="E152" s="7" t="s">
        <v>59</v>
      </c>
      <c r="F152" s="18" t="n">
        <f aca="false">IF(البشري!E29="","",البشري!E29)</f>
        <v>112</v>
      </c>
      <c r="G152" s="19" t="n">
        <f aca="false">IF(البشري!F29="","",البشري!F29)</f>
        <v>32</v>
      </c>
      <c r="H152" s="9" t="n">
        <f aca="false">IF(F152="","",ROUND(F152*G152,2))</f>
        <v>3584</v>
      </c>
      <c r="I152" s="9" t="n">
        <f aca="false">IF(F152="","",ROUND(H152*IF(N(البشري!G29)&gt;1,البشري!G29-1,0),2))</f>
        <v>537.6</v>
      </c>
      <c r="J152" s="9" t="n">
        <f aca="false">N(البشري!H29)</f>
        <v>4121.6</v>
      </c>
      <c r="K152" s="9" t="n">
        <f aca="false">N(البشري!I29)</f>
        <v>0</v>
      </c>
    </row>
    <row r="153" customFormat="false" ht="15" hidden="false" customHeight="false" outlineLevel="0" collapsed="false">
      <c r="A153" s="17" t="s">
        <v>30</v>
      </c>
      <c r="B153" s="11" t="n">
        <f aca="false">البشري!C30</f>
        <v>46324</v>
      </c>
      <c r="C153" s="17" t="str">
        <f aca="false">البشري!D30</f>
        <v>سداد سند/15951</v>
      </c>
      <c r="D153" s="17"/>
      <c r="E153" s="7" t="s">
        <v>57</v>
      </c>
      <c r="F153" s="7" t="str">
        <f aca="false">IF(البشري!E30="","",البشري!E30)</f>
        <v/>
      </c>
      <c r="G153" s="19" t="str">
        <f aca="false">IF(البشري!F30="","",البشري!F30)</f>
        <v/>
      </c>
      <c r="H153" s="9" t="str">
        <f aca="false">IF(F153="","",ROUND(F153*G153,2))</f>
        <v/>
      </c>
      <c r="I153" s="9" t="str">
        <f aca="false">IF(F153="","",ROUND(H153*IF(N(البشري!G30)&gt;1,البشري!G30-1,0),2))</f>
        <v/>
      </c>
      <c r="J153" s="9" t="n">
        <f aca="false">N(البشري!H30)</f>
        <v>0</v>
      </c>
      <c r="K153" s="9" t="n">
        <f aca="false">N(البشري!I30)</f>
        <v>2000</v>
      </c>
    </row>
    <row r="154" customFormat="false" ht="15" hidden="false" customHeight="false" outlineLevel="0" collapsed="false">
      <c r="A154" s="17" t="s">
        <v>30</v>
      </c>
      <c r="B154" s="11" t="n">
        <f aca="false">البشري!C31</f>
        <v>46324</v>
      </c>
      <c r="C154" s="17" t="str">
        <f aca="false">البشري!D31</f>
        <v>تفاح سلة</v>
      </c>
      <c r="D154" s="17" t="s">
        <v>88</v>
      </c>
      <c r="E154" s="7" t="s">
        <v>59</v>
      </c>
      <c r="F154" s="18" t="n">
        <f aca="false">IF(البشري!E31="","",البشري!E31)</f>
        <v>70</v>
      </c>
      <c r="G154" s="19" t="n">
        <f aca="false">IF(البشري!F31="","",البشري!F31)</f>
        <v>43</v>
      </c>
      <c r="H154" s="9" t="n">
        <f aca="false">IF(F154="","",ROUND(F154*G154,2))</f>
        <v>3010</v>
      </c>
      <c r="I154" s="9" t="n">
        <f aca="false">IF(F154="","",ROUND(H154*IF(N(البشري!G31)&gt;1,البشري!G31-1,0),2))</f>
        <v>451.5</v>
      </c>
      <c r="J154" s="9" t="n">
        <f aca="false">N(البشري!H31)</f>
        <v>3461.5</v>
      </c>
      <c r="K154" s="9" t="n">
        <f aca="false">N(البشري!I31)</f>
        <v>0</v>
      </c>
    </row>
    <row r="155" customFormat="false" ht="15" hidden="false" customHeight="false" outlineLevel="0" collapsed="false">
      <c r="A155" s="17" t="s">
        <v>31</v>
      </c>
      <c r="B155" s="11" t="n">
        <f aca="false">'نجمة العالم'!C7</f>
        <v>46320</v>
      </c>
      <c r="C155" s="17" t="str">
        <f aca="false">'نجمة العالم'!D7</f>
        <v>افندي</v>
      </c>
      <c r="D155" s="17" t="s">
        <v>86</v>
      </c>
      <c r="E155" s="7" t="s">
        <v>59</v>
      </c>
      <c r="F155" s="18" t="n">
        <f aca="false">IF('نجمة العالم'!E7="","",'نجمة العالم'!E7)</f>
        <v>40</v>
      </c>
      <c r="G155" s="19" t="n">
        <f aca="false">IF('نجمة العالم'!F7="","",'نجمة العالم'!F7)</f>
        <v>55</v>
      </c>
      <c r="H155" s="9" t="n">
        <f aca="false">IF(F155="","",ROUND(F155*G155,2))</f>
        <v>2200</v>
      </c>
      <c r="I155" s="9" t="n">
        <f aca="false">IF(F155="","",ROUND(H155*IF(N('نجمة العالم'!G7)&gt;1,'نجمة العالم'!G7-1,0),2))</f>
        <v>0</v>
      </c>
      <c r="J155" s="9" t="n">
        <f aca="false">N('نجمة العالم'!H7)</f>
        <v>2200</v>
      </c>
      <c r="K155" s="9" t="n">
        <f aca="false">N('نجمة العالم'!I7)</f>
        <v>0</v>
      </c>
    </row>
    <row r="156" customFormat="false" ht="15" hidden="false" customHeight="false" outlineLevel="0" collapsed="false">
      <c r="A156" s="17" t="s">
        <v>31</v>
      </c>
      <c r="B156" s="11" t="n">
        <f aca="false">'نجمة العالم'!C8</f>
        <v>46321</v>
      </c>
      <c r="C156" s="17" t="str">
        <f aca="false">'نجمة العالم'!D8</f>
        <v>برتقال عصير</v>
      </c>
      <c r="D156" s="17" t="s">
        <v>61</v>
      </c>
      <c r="E156" s="7" t="s">
        <v>59</v>
      </c>
      <c r="F156" s="18" t="n">
        <f aca="false">IF('نجمة العالم'!E8="","",'نجمة العالم'!E8)</f>
        <v>80</v>
      </c>
      <c r="G156" s="19" t="n">
        <f aca="false">IF('نجمة العالم'!F8="","",'نجمة العالم'!F8)</f>
        <v>74</v>
      </c>
      <c r="H156" s="9" t="n">
        <f aca="false">IF(F156="","",ROUND(F156*G156,2))</f>
        <v>5920</v>
      </c>
      <c r="I156" s="9" t="n">
        <f aca="false">IF(F156="","",ROUND(H156*IF(N('نجمة العالم'!G8)&gt;1,'نجمة العالم'!G8-1,0),2))</f>
        <v>888</v>
      </c>
      <c r="J156" s="9" t="n">
        <f aca="false">N('نجمة العالم'!H8)</f>
        <v>6808</v>
      </c>
      <c r="K156" s="9" t="n">
        <f aca="false">N('نجمة العالم'!I8)</f>
        <v>0</v>
      </c>
    </row>
    <row r="157" customFormat="false" ht="15" hidden="false" customHeight="false" outlineLevel="0" collapsed="false">
      <c r="A157" s="17" t="s">
        <v>31</v>
      </c>
      <c r="B157" s="11" t="n">
        <f aca="false">'نجمة العالم'!C9</f>
        <v>46322</v>
      </c>
      <c r="C157" s="17" t="str">
        <f aca="false">'نجمة العالم'!D9</f>
        <v>سداد نقدي</v>
      </c>
      <c r="D157" s="17"/>
      <c r="E157" s="7" t="s">
        <v>57</v>
      </c>
      <c r="F157" s="7" t="str">
        <f aca="false">IF('نجمة العالم'!E9="","",'نجمة العالم'!E9)</f>
        <v/>
      </c>
      <c r="G157" s="19" t="str">
        <f aca="false">IF('نجمة العالم'!F9="","",'نجمة العالم'!F9)</f>
        <v/>
      </c>
      <c r="H157" s="9" t="str">
        <f aca="false">IF(F157="","",ROUND(F157*G157,2))</f>
        <v/>
      </c>
      <c r="I157" s="9" t="str">
        <f aca="false">IF(F157="","",ROUND(H157*IF(N('نجمة العالم'!G9)&gt;1,'نجمة العالم'!G9-1,0),2))</f>
        <v/>
      </c>
      <c r="J157" s="9" t="n">
        <f aca="false">N('نجمة العالم'!H9)</f>
        <v>0</v>
      </c>
      <c r="K157" s="9" t="n">
        <f aca="false">N('نجمة العالم'!I9)</f>
        <v>2200</v>
      </c>
    </row>
    <row r="158" customFormat="false" ht="15" hidden="false" customHeight="false" outlineLevel="0" collapsed="false">
      <c r="A158" s="17" t="s">
        <v>31</v>
      </c>
      <c r="B158" s="11" t="n">
        <f aca="false">'نجمة العالم'!C10</f>
        <v>46324</v>
      </c>
      <c r="C158" s="17" t="str">
        <f aca="false">'نجمة العالم'!D10</f>
        <v>سداد سند/016360</v>
      </c>
      <c r="D158" s="17"/>
      <c r="E158" s="7" t="s">
        <v>57</v>
      </c>
      <c r="F158" s="7" t="str">
        <f aca="false">IF('نجمة العالم'!E10="","",'نجمة العالم'!E10)</f>
        <v/>
      </c>
      <c r="G158" s="19" t="str">
        <f aca="false">IF('نجمة العالم'!F10="","",'نجمة العالم'!F10)</f>
        <v/>
      </c>
      <c r="H158" s="9" t="str">
        <f aca="false">IF(F158="","",ROUND(F158*G158,2))</f>
        <v/>
      </c>
      <c r="I158" s="9" t="str">
        <f aca="false">IF(F158="","",ROUND(H158*IF(N('نجمة العالم'!G10)&gt;1,'نجمة العالم'!G10-1,0),2))</f>
        <v/>
      </c>
      <c r="J158" s="9" t="n">
        <f aca="false">N('نجمة العالم'!H10)</f>
        <v>0</v>
      </c>
      <c r="K158" s="9" t="n">
        <f aca="false">N('نجمة العالم'!I10)</f>
        <v>1500</v>
      </c>
    </row>
    <row r="159" customFormat="false" ht="15" hidden="false" customHeight="false" outlineLevel="0" collapsed="false">
      <c r="A159" s="17" t="s">
        <v>32</v>
      </c>
      <c r="B159" s="11" t="n">
        <f aca="false">'الاغذية الطازجة'!C7</f>
        <v>46310</v>
      </c>
      <c r="C159" s="17" t="str">
        <f aca="false">'الاغذية الطازجة'!D7</f>
        <v>افندي افريقي</v>
      </c>
      <c r="D159" s="17" t="s">
        <v>89</v>
      </c>
      <c r="E159" s="7" t="s">
        <v>59</v>
      </c>
      <c r="F159" s="18" t="n">
        <f aca="false">IF('الاغذية الطازجة'!E7="","",'الاغذية الطازجة'!E7)</f>
        <v>98</v>
      </c>
      <c r="G159" s="19" t="n">
        <f aca="false">IF('الاغذية الطازجة'!F7="","",'الاغذية الطازجة'!F7)</f>
        <v>70</v>
      </c>
      <c r="H159" s="9" t="n">
        <f aca="false">IF(F159="","",ROUND(F159*G159,2))</f>
        <v>6860</v>
      </c>
      <c r="I159" s="9" t="n">
        <f aca="false">IF(F159="","",ROUND(H159*IF(N('الاغذية الطازجة'!G7)&gt;1,'الاغذية الطازجة'!G7-1,0),2))</f>
        <v>1029</v>
      </c>
      <c r="J159" s="9" t="n">
        <f aca="false">N('الاغذية الطازجة'!H7)</f>
        <v>7889</v>
      </c>
      <c r="K159" s="9" t="n">
        <f aca="false">N('الاغذية الطازجة'!I7)</f>
        <v>0</v>
      </c>
    </row>
    <row r="160" customFormat="false" ht="15" hidden="false" customHeight="false" outlineLevel="0" collapsed="false">
      <c r="A160" s="17" t="s">
        <v>32</v>
      </c>
      <c r="B160" s="11" t="n">
        <f aca="false">'الاغذية الطازجة'!C8</f>
        <v>46321</v>
      </c>
      <c r="C160" s="17" t="str">
        <f aca="false">'الاغذية الطازجة'!D8</f>
        <v>افندي افريقي</v>
      </c>
      <c r="D160" s="17" t="s">
        <v>89</v>
      </c>
      <c r="E160" s="7" t="s">
        <v>59</v>
      </c>
      <c r="F160" s="18" t="n">
        <f aca="false">IF('الاغذية الطازجة'!E8="","",'الاغذية الطازجة'!E8)</f>
        <v>93</v>
      </c>
      <c r="G160" s="19" t="n">
        <f aca="false">IF('الاغذية الطازجة'!F8="","",'الاغذية الطازجة'!F8)</f>
        <v>70</v>
      </c>
      <c r="H160" s="9" t="n">
        <f aca="false">IF(F160="","",ROUND(F160*G160,2))</f>
        <v>6510</v>
      </c>
      <c r="I160" s="9" t="n">
        <f aca="false">IF(F160="","",ROUND(H160*IF(N('الاغذية الطازجة'!G8)&gt;1,'الاغذية الطازجة'!G8-1,0),2))</f>
        <v>976.5</v>
      </c>
      <c r="J160" s="9" t="n">
        <f aca="false">N('الاغذية الطازجة'!H8)</f>
        <v>7486.5</v>
      </c>
      <c r="K160" s="9" t="n">
        <f aca="false">N('الاغذية الطازجة'!I8)</f>
        <v>0</v>
      </c>
    </row>
    <row r="161" customFormat="false" ht="15" hidden="false" customHeight="false" outlineLevel="0" collapsed="false">
      <c r="A161" s="17" t="s">
        <v>32</v>
      </c>
      <c r="B161" s="11" t="n">
        <f aca="false">'الاغذية الطازجة'!C9</f>
        <v>46322</v>
      </c>
      <c r="C161" s="17" t="str">
        <f aca="false">'الاغذية الطازجة'!D9</f>
        <v>سداد سند/18904</v>
      </c>
      <c r="D161" s="17"/>
      <c r="E161" s="7" t="s">
        <v>57</v>
      </c>
      <c r="F161" s="7" t="str">
        <f aca="false">IF('الاغذية الطازجة'!E9="","",'الاغذية الطازجة'!E9)</f>
        <v/>
      </c>
      <c r="G161" s="19" t="str">
        <f aca="false">IF('الاغذية الطازجة'!F9="","",'الاغذية الطازجة'!F9)</f>
        <v/>
      </c>
      <c r="H161" s="9" t="str">
        <f aca="false">IF(F161="","",ROUND(F161*G161,2))</f>
        <v/>
      </c>
      <c r="I161" s="9" t="str">
        <f aca="false">IF(F161="","",ROUND(H161*IF(N('الاغذية الطازجة'!G9)&gt;1,'الاغذية الطازجة'!G9-1,0),2))</f>
        <v/>
      </c>
      <c r="J161" s="9" t="n">
        <f aca="false">N('الاغذية الطازجة'!H9)</f>
        <v>0</v>
      </c>
      <c r="K161" s="9" t="n">
        <f aca="false">N('الاغذية الطازجة'!I9)</f>
        <v>2000</v>
      </c>
    </row>
    <row r="162" customFormat="false" ht="15" hidden="false" customHeight="false" outlineLevel="0" collapsed="false">
      <c r="A162" s="17" t="s">
        <v>32</v>
      </c>
      <c r="B162" s="11" t="n">
        <f aca="false">'الاغذية الطازجة'!C10</f>
        <v>46323</v>
      </c>
      <c r="C162" s="17" t="str">
        <f aca="false">'الاغذية الطازجة'!D10</f>
        <v>افندي افريقي</v>
      </c>
      <c r="D162" s="17" t="s">
        <v>89</v>
      </c>
      <c r="E162" s="7" t="s">
        <v>59</v>
      </c>
      <c r="F162" s="18" t="n">
        <f aca="false">IF('الاغذية الطازجة'!E10="","",'الاغذية الطازجة'!E10)</f>
        <v>90</v>
      </c>
      <c r="G162" s="19" t="n">
        <f aca="false">IF('الاغذية الطازجة'!F10="","",'الاغذية الطازجة'!F10)</f>
        <v>70</v>
      </c>
      <c r="H162" s="9" t="n">
        <f aca="false">IF(F162="","",ROUND(F162*G162,2))</f>
        <v>6300</v>
      </c>
      <c r="I162" s="9" t="n">
        <f aca="false">IF(F162="","",ROUND(H162*IF(N('الاغذية الطازجة'!G10)&gt;1,'الاغذية الطازجة'!G10-1,0),2))</f>
        <v>945</v>
      </c>
      <c r="J162" s="9" t="n">
        <f aca="false">N('الاغذية الطازجة'!H10)</f>
        <v>7245</v>
      </c>
      <c r="K162" s="9" t="n">
        <f aca="false">N('الاغذية الطازجة'!I10)</f>
        <v>0</v>
      </c>
    </row>
    <row r="163" customFormat="false" ht="15" hidden="false" customHeight="false" outlineLevel="0" collapsed="false">
      <c r="A163" s="17" t="s">
        <v>32</v>
      </c>
      <c r="B163" s="11" t="n">
        <f aca="false">'الاغذية الطازجة'!C11</f>
        <v>46323</v>
      </c>
      <c r="C163" s="17" t="str">
        <f aca="false">'الاغذية الطازجة'!D11</f>
        <v>جرين فروت</v>
      </c>
      <c r="D163" s="17" t="s">
        <v>90</v>
      </c>
      <c r="E163" s="7" t="s">
        <v>59</v>
      </c>
      <c r="F163" s="18" t="n">
        <f aca="false">IF('الاغذية الطازجة'!E11="","",'الاغذية الطازجة'!E11)</f>
        <v>5</v>
      </c>
      <c r="G163" s="19" t="n">
        <f aca="false">IF('الاغذية الطازجة'!F11="","",'الاغذية الطازجة'!F11)</f>
        <v>55</v>
      </c>
      <c r="H163" s="9" t="n">
        <f aca="false">IF(F163="","",ROUND(F163*G163,2))</f>
        <v>275</v>
      </c>
      <c r="I163" s="9" t="n">
        <f aca="false">IF(F163="","",ROUND(H163*IF(N('الاغذية الطازجة'!G11)&gt;1,'الاغذية الطازجة'!G11-1,0),2))</f>
        <v>41.25</v>
      </c>
      <c r="J163" s="9" t="n">
        <f aca="false">N('الاغذية الطازجة'!H11)</f>
        <v>316.25</v>
      </c>
      <c r="K163" s="9" t="n">
        <f aca="false">N('الاغذية الطازجة'!I11)</f>
        <v>0</v>
      </c>
    </row>
    <row r="164" customFormat="false" ht="15" hidden="false" customHeight="false" outlineLevel="0" collapsed="false">
      <c r="A164" s="17" t="s">
        <v>32</v>
      </c>
      <c r="B164" s="11" t="n">
        <f aca="false">'الاغذية الطازجة'!C12</f>
        <v>46324</v>
      </c>
      <c r="C164" s="17" t="str">
        <f aca="false">'الاغذية الطازجة'!D12</f>
        <v>سداد سند/18940</v>
      </c>
      <c r="D164" s="17"/>
      <c r="E164" s="7" t="s">
        <v>57</v>
      </c>
      <c r="F164" s="7" t="str">
        <f aca="false">IF('الاغذية الطازجة'!E12="","",'الاغذية الطازجة'!E12)</f>
        <v/>
      </c>
      <c r="G164" s="19" t="str">
        <f aca="false">IF('الاغذية الطازجة'!F12="","",'الاغذية الطازجة'!F12)</f>
        <v/>
      </c>
      <c r="H164" s="9" t="str">
        <f aca="false">IF(F164="","",ROUND(F164*G164,2))</f>
        <v/>
      </c>
      <c r="I164" s="9" t="str">
        <f aca="false">IF(F164="","",ROUND(H164*IF(N('الاغذية الطازجة'!G12)&gt;1,'الاغذية الطازجة'!G12-1,0),2))</f>
        <v/>
      </c>
      <c r="J164" s="9" t="n">
        <f aca="false">N('الاغذية الطازجة'!H12)</f>
        <v>0</v>
      </c>
      <c r="K164" s="9" t="n">
        <f aca="false">N('الاغذية الطازجة'!I12)</f>
        <v>5000</v>
      </c>
    </row>
    <row r="165" customFormat="false" ht="15" hidden="false" customHeight="false" outlineLevel="0" collapsed="false">
      <c r="A165" s="17" t="s">
        <v>32</v>
      </c>
      <c r="B165" s="11" t="n">
        <f aca="false">'الاغذية الطازجة'!C13</f>
        <v>46325</v>
      </c>
      <c r="C165" s="17" t="str">
        <f aca="false">'الاغذية الطازجة'!D13</f>
        <v>افندي افريقي</v>
      </c>
      <c r="D165" s="17" t="s">
        <v>89</v>
      </c>
      <c r="E165" s="7" t="s">
        <v>59</v>
      </c>
      <c r="F165" s="18" t="n">
        <f aca="false">IF('الاغذية الطازجة'!E13="","",'الاغذية الطازجة'!E13)</f>
        <v>23</v>
      </c>
      <c r="G165" s="19" t="n">
        <f aca="false">IF('الاغذية الطازجة'!F13="","",'الاغذية الطازجة'!F13)</f>
        <v>70</v>
      </c>
      <c r="H165" s="9" t="n">
        <f aca="false">IF(F165="","",ROUND(F165*G165,2))</f>
        <v>1610</v>
      </c>
      <c r="I165" s="9" t="n">
        <f aca="false">IF(F165="","",ROUND(H165*IF(N('الاغذية الطازجة'!G13)&gt;1,'الاغذية الطازجة'!G13-1,0),2))</f>
        <v>241.5</v>
      </c>
      <c r="J165" s="9" t="n">
        <f aca="false">N('الاغذية الطازجة'!H13)</f>
        <v>1851.5</v>
      </c>
      <c r="K165" s="9" t="n">
        <f aca="false">N('الاغذية الطازجة'!I13)</f>
        <v>0</v>
      </c>
    </row>
    <row r="166" customFormat="false" ht="15" hidden="false" customHeight="false" outlineLevel="0" collapsed="false">
      <c r="A166" s="17" t="s">
        <v>33</v>
      </c>
      <c r="B166" s="11" t="n">
        <f aca="false">'جوري فروت'!C7</f>
        <v>46323</v>
      </c>
      <c r="C166" s="17" t="str">
        <f aca="false">'جوري فروت'!D7</f>
        <v>تفاح احمر</v>
      </c>
      <c r="D166" s="17" t="s">
        <v>73</v>
      </c>
      <c r="E166" s="7" t="s">
        <v>59</v>
      </c>
      <c r="F166" s="18" t="n">
        <f aca="false">IF('جوري فروت'!E7="","",'جوري فروت'!E7)</f>
        <v>32</v>
      </c>
      <c r="G166" s="19" t="n">
        <f aca="false">IF('جوري فروت'!F7="","",'جوري فروت'!F7)</f>
        <v>42</v>
      </c>
      <c r="H166" s="9" t="n">
        <f aca="false">IF(F166="","",ROUND(F166*G166,2))</f>
        <v>1344</v>
      </c>
      <c r="I166" s="9" t="n">
        <f aca="false">IF(F166="","",ROUND(H166*IF(N('جوري فروت'!G7)&gt;1,'جوري فروت'!G7-1,0),2))</f>
        <v>201.6</v>
      </c>
      <c r="J166" s="9" t="n">
        <f aca="false">N('جوري فروت'!H7)</f>
        <v>1545.6</v>
      </c>
      <c r="K166" s="9" t="n">
        <f aca="false">N('جوري فروت'!I7)</f>
        <v>0</v>
      </c>
    </row>
    <row r="167" customFormat="false" ht="15" hidden="false" customHeight="false" outlineLevel="0" collapsed="false">
      <c r="A167" s="17" t="s">
        <v>33</v>
      </c>
      <c r="B167" s="11" t="n">
        <f aca="false">'جوري فروت'!C8</f>
        <v>46323</v>
      </c>
      <c r="C167" s="17" t="str">
        <f aca="false">'جوري فروت'!D8</f>
        <v>تفاح اخضر</v>
      </c>
      <c r="D167" s="17" t="s">
        <v>91</v>
      </c>
      <c r="E167" s="7" t="s">
        <v>59</v>
      </c>
      <c r="F167" s="18" t="n">
        <f aca="false">IF('جوري فروت'!E8="","",'جوري فروت'!E8)</f>
        <v>25</v>
      </c>
      <c r="G167" s="19" t="n">
        <f aca="false">IF('جوري فروت'!F8="","",'جوري فروت'!F8)</f>
        <v>30</v>
      </c>
      <c r="H167" s="9" t="n">
        <f aca="false">IF(F167="","",ROUND(F167*G167,2))</f>
        <v>750</v>
      </c>
      <c r="I167" s="9" t="n">
        <f aca="false">IF(F167="","",ROUND(H167*IF(N('جوري فروت'!G8)&gt;1,'جوري فروت'!G8-1,0),2))</f>
        <v>112.5</v>
      </c>
      <c r="J167" s="9" t="n">
        <f aca="false">N('جوري فروت'!H8)</f>
        <v>862.5</v>
      </c>
      <c r="K167" s="9" t="n">
        <f aca="false">N('جوري فروت'!I8)</f>
        <v>0</v>
      </c>
    </row>
    <row r="168" customFormat="false" ht="15" hidden="false" customHeight="false" outlineLevel="0" collapsed="false">
      <c r="A168" s="17" t="s">
        <v>33</v>
      </c>
      <c r="B168" s="11" t="n">
        <f aca="false">'جوري فروت'!C9</f>
        <v>46324</v>
      </c>
      <c r="C168" s="17" t="str">
        <f aca="false">'جوري فروت'!D9</f>
        <v>سداد</v>
      </c>
      <c r="D168" s="17"/>
      <c r="E168" s="7" t="s">
        <v>57</v>
      </c>
      <c r="F168" s="7" t="str">
        <f aca="false">IF('جوري فروت'!E9="","",'جوري فروت'!E9)</f>
        <v/>
      </c>
      <c r="G168" s="19" t="str">
        <f aca="false">IF('جوري فروت'!F9="","",'جوري فروت'!F9)</f>
        <v/>
      </c>
      <c r="H168" s="9" t="str">
        <f aca="false">IF(F168="","",ROUND(F168*G168,2))</f>
        <v/>
      </c>
      <c r="I168" s="9" t="str">
        <f aca="false">IF(F168="","",ROUND(H168*IF(N('جوري فروت'!G9)&gt;1,'جوري فروت'!G9-1,0),2))</f>
        <v/>
      </c>
      <c r="J168" s="9" t="n">
        <f aca="false">N('جوري فروت'!H9)</f>
        <v>0</v>
      </c>
      <c r="K168" s="9" t="n">
        <f aca="false">N('جوري فروت'!I9)</f>
        <v>2410</v>
      </c>
    </row>
    <row r="169" customFormat="false" ht="15" hidden="false" customHeight="false" outlineLevel="0" collapsed="false">
      <c r="A169" s="17" t="s">
        <v>33</v>
      </c>
      <c r="B169" s="11" t="n">
        <f aca="false">'جوري فروت'!C10</f>
        <v>46324</v>
      </c>
      <c r="C169" s="17" t="str">
        <f aca="false">'جوري فروت'!D10</f>
        <v>تفاح اخضر</v>
      </c>
      <c r="D169" s="17" t="s">
        <v>91</v>
      </c>
      <c r="E169" s="7" t="s">
        <v>59</v>
      </c>
      <c r="F169" s="18" t="n">
        <f aca="false">IF('جوري فروت'!E10="","",'جوري فروت'!E10)</f>
        <v>15</v>
      </c>
      <c r="G169" s="19" t="n">
        <f aca="false">IF('جوري فروت'!F10="","",'جوري فروت'!F10)</f>
        <v>30</v>
      </c>
      <c r="H169" s="9" t="n">
        <f aca="false">IF(F169="","",ROUND(F169*G169,2))</f>
        <v>450</v>
      </c>
      <c r="I169" s="9" t="n">
        <f aca="false">IF(F169="","",ROUND(H169*IF(N('جوري فروت'!G10)&gt;1,'جوري فروت'!G10-1,0),2))</f>
        <v>67.5</v>
      </c>
      <c r="J169" s="9" t="n">
        <f aca="false">N('جوري فروت'!H10)</f>
        <v>517.5</v>
      </c>
      <c r="K169" s="9" t="n">
        <f aca="false">N('جوري فروت'!I10)</f>
        <v>0</v>
      </c>
    </row>
    <row r="170" customFormat="false" ht="15" hidden="false" customHeight="false" outlineLevel="0" collapsed="false">
      <c r="A170" s="17" t="s">
        <v>34</v>
      </c>
      <c r="B170" s="11" t="n">
        <f aca="false">'جابر القرشي'!C7</f>
        <v>46325</v>
      </c>
      <c r="C170" s="17" t="str">
        <f aca="false">'جابر القرشي'!D7</f>
        <v>تفاح</v>
      </c>
      <c r="D170" s="17" t="s">
        <v>84</v>
      </c>
      <c r="E170" s="7" t="s">
        <v>59</v>
      </c>
      <c r="F170" s="18" t="n">
        <f aca="false">IF('جابر القرشي'!E7="","",'جابر القرشي'!E7)</f>
        <v>80</v>
      </c>
      <c r="G170" s="19" t="n">
        <f aca="false">IF('جابر القرشي'!F7="","",'جابر القرشي'!F7)</f>
        <v>43</v>
      </c>
      <c r="H170" s="9" t="n">
        <f aca="false">IF(F170="","",ROUND(F170*G170,2))</f>
        <v>3440</v>
      </c>
      <c r="I170" s="9" t="n">
        <f aca="false">IF(F170="","",ROUND(H170*IF(N('جابر القرشي'!G7)&gt;1,'جابر القرشي'!G7-1,0),2))</f>
        <v>516</v>
      </c>
      <c r="J170" s="9" t="n">
        <f aca="false">N('جابر القرشي'!H7)</f>
        <v>3956</v>
      </c>
      <c r="K170" s="9" t="n">
        <f aca="false">N('جابر القرشي'!I7)</f>
        <v>0</v>
      </c>
    </row>
    <row r="171" customFormat="false" ht="15" hidden="false" customHeight="false" outlineLevel="0" collapsed="false">
      <c r="A171" s="17" t="s">
        <v>35</v>
      </c>
      <c r="B171" s="11" t="n">
        <f aca="false">'ثلاجة نخيل'!C7</f>
        <v>46310</v>
      </c>
      <c r="C171" s="17" t="str">
        <f aca="false">'ثلاجة نخيل'!D7</f>
        <v>فراولة</v>
      </c>
      <c r="D171" s="17" t="s">
        <v>63</v>
      </c>
      <c r="E171" s="7" t="s">
        <v>59</v>
      </c>
      <c r="F171" s="18" t="n">
        <f aca="false">IF('ثلاجة نخيل'!E7="","",'ثلاجة نخيل'!E7)</f>
        <v>25</v>
      </c>
      <c r="G171" s="19" t="n">
        <f aca="false">IF('ثلاجة نخيل'!F7="","",'ثلاجة نخيل'!F7)</f>
        <v>95</v>
      </c>
      <c r="H171" s="9" t="n">
        <f aca="false">IF(F171="","",ROUND(F171*G171,2))</f>
        <v>2375</v>
      </c>
      <c r="I171" s="9" t="n">
        <f aca="false">IF(F171="","",ROUND(H171*IF(N('ثلاجة نخيل'!G7)&gt;1,'ثلاجة نخيل'!G7-1,0),2))</f>
        <v>356.25</v>
      </c>
      <c r="J171" s="9" t="n">
        <f aca="false">N('ثلاجة نخيل'!H7)</f>
        <v>2731.25</v>
      </c>
      <c r="K171" s="9" t="n">
        <f aca="false">N('ثلاجة نخيل'!I7)</f>
        <v>0</v>
      </c>
    </row>
    <row r="172" customFormat="false" ht="15" hidden="false" customHeight="false" outlineLevel="0" collapsed="false">
      <c r="A172" s="17" t="s">
        <v>35</v>
      </c>
      <c r="B172" s="11" t="n">
        <f aca="false">'ثلاجة نخيل'!C8</f>
        <v>46312</v>
      </c>
      <c r="C172" s="17" t="str">
        <f aca="false">'ثلاجة نخيل'!D8</f>
        <v>فراولة</v>
      </c>
      <c r="D172" s="17" t="s">
        <v>63</v>
      </c>
      <c r="E172" s="7" t="s">
        <v>59</v>
      </c>
      <c r="F172" s="18" t="n">
        <f aca="false">IF('ثلاجة نخيل'!E8="","",'ثلاجة نخيل'!E8)</f>
        <v>7</v>
      </c>
      <c r="G172" s="19" t="n">
        <f aca="false">IF('ثلاجة نخيل'!F8="","",'ثلاجة نخيل'!F8)</f>
        <v>82</v>
      </c>
      <c r="H172" s="9" t="n">
        <f aca="false">IF(F172="","",ROUND(F172*G172,2))</f>
        <v>574</v>
      </c>
      <c r="I172" s="9" t="n">
        <f aca="false">IF(F172="","",ROUND(H172*IF(N('ثلاجة نخيل'!G8)&gt;1,'ثلاجة نخيل'!G8-1,0),2))</f>
        <v>86.1</v>
      </c>
      <c r="J172" s="9" t="n">
        <f aca="false">N('ثلاجة نخيل'!H8)</f>
        <v>660.1</v>
      </c>
      <c r="K172" s="9" t="n">
        <f aca="false">N('ثلاجة نخيل'!I8)</f>
        <v>0</v>
      </c>
    </row>
    <row r="173" customFormat="false" ht="15" hidden="false" customHeight="false" outlineLevel="0" collapsed="false">
      <c r="A173" s="17" t="s">
        <v>35</v>
      </c>
      <c r="B173" s="11" t="n">
        <f aca="false">'ثلاجة نخيل'!C9</f>
        <v>46325</v>
      </c>
      <c r="C173" s="17" t="str">
        <f aca="false">'ثلاجة نخيل'!D9</f>
        <v>سداد سند/0205</v>
      </c>
      <c r="D173" s="17"/>
      <c r="E173" s="7" t="s">
        <v>57</v>
      </c>
      <c r="F173" s="7" t="str">
        <f aca="false">IF('ثلاجة نخيل'!E9="","",'ثلاجة نخيل'!E9)</f>
        <v/>
      </c>
      <c r="G173" s="19" t="str">
        <f aca="false">IF('ثلاجة نخيل'!F9="","",'ثلاجة نخيل'!F9)</f>
        <v/>
      </c>
      <c r="H173" s="9" t="str">
        <f aca="false">IF(F173="","",ROUND(F173*G173,2))</f>
        <v/>
      </c>
      <c r="I173" s="9" t="str">
        <f aca="false">IF(F173="","",ROUND(H173*IF(N('ثلاجة نخيل'!G9)&gt;1,'ثلاجة نخيل'!G9-1,0),2))</f>
        <v/>
      </c>
      <c r="J173" s="9" t="n">
        <f aca="false">N('ثلاجة نخيل'!H9)</f>
        <v>0</v>
      </c>
      <c r="K173" s="9" t="n">
        <f aca="false">N('ثلاجة نخيل'!I9)</f>
        <v>3390</v>
      </c>
    </row>
    <row r="174" customFormat="false" ht="15" hidden="false" customHeight="false" outlineLevel="0" collapsed="false">
      <c r="A174" s="17" t="s">
        <v>36</v>
      </c>
      <c r="B174" s="11" t="n">
        <f aca="false">اباصرة!C7</f>
        <v>46316</v>
      </c>
      <c r="C174" s="17" t="str">
        <f aca="false">اباصرة!D7</f>
        <v>فراولة</v>
      </c>
      <c r="D174" s="17" t="s">
        <v>63</v>
      </c>
      <c r="E174" s="7" t="s">
        <v>59</v>
      </c>
      <c r="F174" s="18" t="n">
        <f aca="false">IF(اباصرة!E7="","",اباصرة!E7)</f>
        <v>5</v>
      </c>
      <c r="G174" s="19" t="n">
        <f aca="false">IF(اباصرة!F7="","",اباصرة!F7)</f>
        <v>105</v>
      </c>
      <c r="H174" s="9" t="n">
        <f aca="false">IF(F174="","",ROUND(F174*G174,2))</f>
        <v>525</v>
      </c>
      <c r="I174" s="9" t="n">
        <f aca="false">IF(F174="","",ROUND(H174*IF(N(اباصرة!G7)&gt;1,اباصرة!G7-1,0),2))</f>
        <v>78.75</v>
      </c>
      <c r="J174" s="9" t="n">
        <f aca="false">N(اباصرة!H7)</f>
        <v>603.75</v>
      </c>
      <c r="K174" s="9" t="n">
        <f aca="false">N(اباصرة!I7)</f>
        <v>0</v>
      </c>
    </row>
    <row r="175" customFormat="false" ht="15" hidden="false" customHeight="false" outlineLevel="0" collapsed="false">
      <c r="A175" s="17" t="s">
        <v>36</v>
      </c>
      <c r="B175" s="11" t="n">
        <f aca="false">اباصرة!C8</f>
        <v>46319</v>
      </c>
      <c r="C175" s="17" t="str">
        <f aca="false">اباصرة!D8</f>
        <v>فراولة</v>
      </c>
      <c r="D175" s="17" t="s">
        <v>63</v>
      </c>
      <c r="E175" s="7" t="s">
        <v>56</v>
      </c>
      <c r="F175" s="18" t="n">
        <f aca="false">IF(اباصرة!E8="","",اباصرة!E8)</f>
        <v>5</v>
      </c>
      <c r="G175" s="19" t="n">
        <f aca="false">IF(اباصرة!F8="","",اباصرة!F8)</f>
        <v>105</v>
      </c>
      <c r="H175" s="9" t="n">
        <f aca="false">IF(F175="","",ROUND(F175*G175,2))</f>
        <v>525</v>
      </c>
      <c r="I175" s="9" t="n">
        <f aca="false">IF(F175="","",ROUND(H175*IF(N(اباصرة!G8)&gt;1,اباصرة!G8-1,0),2))</f>
        <v>78.75</v>
      </c>
      <c r="J175" s="9" t="n">
        <f aca="false">N(اباصرة!H8)</f>
        <v>0</v>
      </c>
      <c r="K175" s="9" t="n">
        <f aca="false">N(اباصرة!I8)</f>
        <v>603.75</v>
      </c>
    </row>
    <row r="176" customFormat="false" ht="15" hidden="false" customHeight="false" outlineLevel="0" collapsed="false">
      <c r="A176" s="17" t="s">
        <v>37</v>
      </c>
      <c r="B176" s="11" t="n">
        <f aca="false">عبدالقادر!C7</f>
        <v>46299</v>
      </c>
      <c r="C176" s="17" t="str">
        <f aca="false">عبدالقادر!D7</f>
        <v>فراولة</v>
      </c>
      <c r="D176" s="17" t="s">
        <v>63</v>
      </c>
      <c r="E176" s="7" t="s">
        <v>59</v>
      </c>
      <c r="F176" s="18" t="n">
        <f aca="false">IF(عبدالقادر!E7="","",عبدالقادر!E7)</f>
        <v>6</v>
      </c>
      <c r="G176" s="19" t="n">
        <f aca="false">IF(عبدالقادر!F7="","",عبدالقادر!F7)</f>
        <v>100</v>
      </c>
      <c r="H176" s="9" t="n">
        <f aca="false">IF(F176="","",ROUND(F176*G176,2))</f>
        <v>600</v>
      </c>
      <c r="I176" s="9" t="n">
        <f aca="false">IF(F176="","",ROUND(H176*IF(N(عبدالقادر!G7)&gt;1,عبدالقادر!G7-1,0),2))</f>
        <v>0</v>
      </c>
      <c r="J176" s="9" t="n">
        <f aca="false">N(عبدالقادر!H7)</f>
        <v>600</v>
      </c>
      <c r="K176" s="9" t="n">
        <f aca="false">N(عبدالقادر!I7)</f>
        <v>0</v>
      </c>
    </row>
    <row r="177" customFormat="false" ht="15" hidden="false" customHeight="false" outlineLevel="0" collapsed="false">
      <c r="A177" s="17" t="s">
        <v>37</v>
      </c>
      <c r="B177" s="11" t="n">
        <f aca="false">عبدالقادر!C8</f>
        <v>46304</v>
      </c>
      <c r="C177" s="17" t="str">
        <f aca="false">عبدالقادر!D8</f>
        <v>سداد فراولة</v>
      </c>
      <c r="D177" s="17"/>
      <c r="E177" s="7" t="s">
        <v>57</v>
      </c>
      <c r="F177" s="7" t="str">
        <f aca="false">IF(عبدالقادر!E8="","",عبدالقادر!E8)</f>
        <v/>
      </c>
      <c r="G177" s="19" t="str">
        <f aca="false">IF(عبدالقادر!F8="","",عبدالقادر!F8)</f>
        <v/>
      </c>
      <c r="H177" s="9" t="str">
        <f aca="false">IF(F177="","",ROUND(F177*G177,2))</f>
        <v/>
      </c>
      <c r="I177" s="9" t="str">
        <f aca="false">IF(F177="","",ROUND(H177*IF(N(عبدالقادر!G8)&gt;1,عبدالقادر!G8-1,0),2))</f>
        <v/>
      </c>
      <c r="J177" s="9" t="n">
        <f aca="false">N(عبدالقادر!H8)</f>
        <v>0</v>
      </c>
      <c r="K177" s="9" t="n">
        <f aca="false">N(عبدالقادر!I8)</f>
        <v>600</v>
      </c>
    </row>
    <row r="178" customFormat="false" ht="15" hidden="false" customHeight="false" outlineLevel="0" collapsed="false">
      <c r="A178" s="17" t="s">
        <v>37</v>
      </c>
      <c r="B178" s="11" t="n">
        <f aca="false">عبدالقادر!C9</f>
        <v>46305</v>
      </c>
      <c r="C178" s="17" t="str">
        <f aca="false">عبدالقادر!D9</f>
        <v>فراولة</v>
      </c>
      <c r="D178" s="17" t="s">
        <v>63</v>
      </c>
      <c r="E178" s="7" t="s">
        <v>59</v>
      </c>
      <c r="F178" s="18" t="n">
        <f aca="false">IF(عبدالقادر!E9="","",عبدالقادر!E9)</f>
        <v>3</v>
      </c>
      <c r="G178" s="19" t="n">
        <f aca="false">IF(عبدالقادر!F9="","",عبدالقادر!F9)</f>
        <v>115</v>
      </c>
      <c r="H178" s="9" t="n">
        <f aca="false">IF(F178="","",ROUND(F178*G178,2))</f>
        <v>345</v>
      </c>
      <c r="I178" s="9" t="n">
        <f aca="false">IF(F178="","",ROUND(H178*IF(N(عبدالقادر!G9)&gt;1,عبدالقادر!G9-1,0),2))</f>
        <v>0</v>
      </c>
      <c r="J178" s="9" t="n">
        <f aca="false">N(عبدالقادر!H9)</f>
        <v>345</v>
      </c>
      <c r="K178" s="9" t="n">
        <f aca="false">N(عبدالقادر!I9)</f>
        <v>0</v>
      </c>
    </row>
    <row r="179" customFormat="false" ht="15" hidden="false" customHeight="false" outlineLevel="0" collapsed="false">
      <c r="A179" s="17" t="s">
        <v>37</v>
      </c>
      <c r="B179" s="11" t="n">
        <f aca="false">عبدالقادر!C10</f>
        <v>46308</v>
      </c>
      <c r="C179" s="17" t="str">
        <f aca="false">عبدالقادر!D10</f>
        <v>فراولة</v>
      </c>
      <c r="D179" s="17" t="s">
        <v>63</v>
      </c>
      <c r="E179" s="7" t="s">
        <v>59</v>
      </c>
      <c r="F179" s="18" t="n">
        <f aca="false">IF(عبدالقادر!E10="","",عبدالقادر!E10)</f>
        <v>10</v>
      </c>
      <c r="G179" s="19" t="n">
        <f aca="false">IF(عبدالقادر!F10="","",عبدالقادر!F10)</f>
        <v>120</v>
      </c>
      <c r="H179" s="9" t="n">
        <f aca="false">IF(F179="","",ROUND(F179*G179,2))</f>
        <v>1200</v>
      </c>
      <c r="I179" s="9" t="n">
        <f aca="false">IF(F179="","",ROUND(H179*IF(N(عبدالقادر!G10)&gt;1,عبدالقادر!G10-1,0),2))</f>
        <v>0</v>
      </c>
      <c r="J179" s="9" t="n">
        <f aca="false">N(عبدالقادر!H10)</f>
        <v>1200</v>
      </c>
      <c r="K179" s="9" t="n">
        <f aca="false">N(عبدالقادر!I10)</f>
        <v>0</v>
      </c>
    </row>
    <row r="180" customFormat="false" ht="15" hidden="false" customHeight="false" outlineLevel="0" collapsed="false">
      <c r="A180" s="17" t="s">
        <v>37</v>
      </c>
      <c r="B180" s="11" t="n">
        <f aca="false">عبدالقادر!C11</f>
        <v>46309</v>
      </c>
      <c r="C180" s="17" t="str">
        <f aca="false">عبدالقادر!D11</f>
        <v>فراولة</v>
      </c>
      <c r="D180" s="17" t="s">
        <v>63</v>
      </c>
      <c r="E180" s="7" t="s">
        <v>59</v>
      </c>
      <c r="F180" s="18" t="n">
        <f aca="false">IF(عبدالقادر!E11="","",عبدالقادر!E11)</f>
        <v>20</v>
      </c>
      <c r="G180" s="19" t="n">
        <f aca="false">IF(عبدالقادر!F11="","",عبدالقادر!F11)</f>
        <v>118</v>
      </c>
      <c r="H180" s="9" t="n">
        <f aca="false">IF(F180="","",ROUND(F180*G180,2))</f>
        <v>2360</v>
      </c>
      <c r="I180" s="9" t="n">
        <f aca="false">IF(F180="","",ROUND(H180*IF(N(عبدالقادر!G11)&gt;1,عبدالقادر!G11-1,0),2))</f>
        <v>0</v>
      </c>
      <c r="J180" s="9" t="n">
        <f aca="false">N(عبدالقادر!H11)</f>
        <v>2360</v>
      </c>
      <c r="K180" s="9" t="n">
        <f aca="false">N(عبدالقادر!I11)</f>
        <v>0</v>
      </c>
    </row>
    <row r="181" customFormat="false" ht="15" hidden="false" customHeight="false" outlineLevel="0" collapsed="false">
      <c r="A181" s="17" t="s">
        <v>37</v>
      </c>
      <c r="B181" s="11" t="n">
        <f aca="false">عبدالقادر!C12</f>
        <v>46310</v>
      </c>
      <c r="C181" s="17" t="str">
        <f aca="false">عبدالقادر!D12</f>
        <v>دفعة</v>
      </c>
      <c r="D181" s="17"/>
      <c r="E181" s="7" t="s">
        <v>57</v>
      </c>
      <c r="F181" s="7" t="str">
        <f aca="false">IF(عبدالقادر!E12="","",عبدالقادر!E12)</f>
        <v/>
      </c>
      <c r="G181" s="19" t="str">
        <f aca="false">IF(عبدالقادر!F12="","",عبدالقادر!F12)</f>
        <v/>
      </c>
      <c r="H181" s="9" t="str">
        <f aca="false">IF(F181="","",ROUND(F181*G181,2))</f>
        <v/>
      </c>
      <c r="I181" s="9" t="str">
        <f aca="false">IF(F181="","",ROUND(H181*IF(N(عبدالقادر!G12)&gt;1,عبدالقادر!G12-1,0),2))</f>
        <v/>
      </c>
      <c r="J181" s="9" t="n">
        <f aca="false">N(عبدالقادر!H12)</f>
        <v>0</v>
      </c>
      <c r="K181" s="9" t="n">
        <f aca="false">N(عبدالقادر!I12)</f>
        <v>2000</v>
      </c>
    </row>
    <row r="182" customFormat="false" ht="15" hidden="false" customHeight="false" outlineLevel="0" collapsed="false">
      <c r="A182" s="17" t="s">
        <v>37</v>
      </c>
      <c r="B182" s="11" t="n">
        <f aca="false">عبدالقادر!C13</f>
        <v>46312</v>
      </c>
      <c r="C182" s="17" t="str">
        <f aca="false">عبدالقادر!D13</f>
        <v>دفعة</v>
      </c>
      <c r="D182" s="17"/>
      <c r="E182" s="7" t="s">
        <v>57</v>
      </c>
      <c r="F182" s="7" t="str">
        <f aca="false">IF(عبدالقادر!E13="","",عبدالقادر!E13)</f>
        <v/>
      </c>
      <c r="G182" s="19" t="str">
        <f aca="false">IF(عبدالقادر!F13="","",عبدالقادر!F13)</f>
        <v/>
      </c>
      <c r="H182" s="9" t="str">
        <f aca="false">IF(F182="","",ROUND(F182*G182,2))</f>
        <v/>
      </c>
      <c r="I182" s="9" t="str">
        <f aca="false">IF(F182="","",ROUND(H182*IF(N(عبدالقادر!G13)&gt;1,عبدالقادر!G13-1,0),2))</f>
        <v/>
      </c>
      <c r="J182" s="9" t="n">
        <f aca="false">N(عبدالقادر!H13)</f>
        <v>0</v>
      </c>
      <c r="K182" s="9" t="n">
        <f aca="false">N(عبدالقادر!I13)</f>
        <v>1000</v>
      </c>
    </row>
    <row r="183" customFormat="false" ht="15" hidden="false" customHeight="false" outlineLevel="0" collapsed="false">
      <c r="A183" s="17" t="s">
        <v>37</v>
      </c>
      <c r="B183" s="11" t="n">
        <f aca="false">عبدالقادر!C14</f>
        <v>46317</v>
      </c>
      <c r="C183" s="17" t="str">
        <f aca="false">عبدالقادر!D14</f>
        <v>سداد فراولة</v>
      </c>
      <c r="D183" s="17"/>
      <c r="E183" s="7" t="s">
        <v>57</v>
      </c>
      <c r="F183" s="7" t="str">
        <f aca="false">IF(عبدالقادر!E14="","",عبدالقادر!E14)</f>
        <v/>
      </c>
      <c r="G183" s="19" t="str">
        <f aca="false">IF(عبدالقادر!F14="","",عبدالقادر!F14)</f>
        <v/>
      </c>
      <c r="H183" s="9" t="str">
        <f aca="false">IF(F183="","",ROUND(F183*G183,2))</f>
        <v/>
      </c>
      <c r="I183" s="9" t="str">
        <f aca="false">IF(F183="","",ROUND(H183*IF(N(عبدالقادر!G14)&gt;1,عبدالقادر!G14-1,0),2))</f>
        <v/>
      </c>
      <c r="J183" s="9" t="n">
        <f aca="false">N(عبدالقادر!H14)</f>
        <v>0</v>
      </c>
      <c r="K183" s="9" t="n">
        <f aca="false">N(عبدالقادر!I14)</f>
        <v>900</v>
      </c>
    </row>
    <row r="184" customFormat="false" ht="15" hidden="false" customHeight="false" outlineLevel="0" collapsed="false">
      <c r="A184" s="17" t="s">
        <v>37</v>
      </c>
      <c r="B184" s="11" t="n">
        <f aca="false">عبدالقادر!C15</f>
        <v>46317</v>
      </c>
      <c r="C184" s="17" t="str">
        <f aca="false">عبدالقادر!D15</f>
        <v>خصم</v>
      </c>
      <c r="D184" s="17"/>
      <c r="E184" s="7" t="s">
        <v>92</v>
      </c>
      <c r="F184" s="7" t="str">
        <f aca="false">IF(عبدالقادر!E15="","",عبدالقادر!E15)</f>
        <v/>
      </c>
      <c r="G184" s="19" t="str">
        <f aca="false">IF(عبدالقادر!F15="","",عبدالقادر!F15)</f>
        <v/>
      </c>
      <c r="H184" s="9" t="str">
        <f aca="false">IF(F184="","",ROUND(F184*G184,2))</f>
        <v/>
      </c>
      <c r="I184" s="9" t="str">
        <f aca="false">IF(F184="","",ROUND(H184*IF(N(عبدالقادر!G15)&gt;1,عبدالقادر!G15-1,0),2))</f>
        <v/>
      </c>
      <c r="J184" s="9" t="n">
        <f aca="false">N(عبدالقادر!H15)</f>
        <v>0</v>
      </c>
      <c r="K184" s="9" t="n">
        <f aca="false">N(عبدالقادر!I15)</f>
        <v>5</v>
      </c>
    </row>
    <row r="185" customFormat="false" ht="15" hidden="false" customHeight="false" outlineLevel="0" collapsed="false">
      <c r="A185" s="17" t="s">
        <v>38</v>
      </c>
      <c r="B185" s="11" t="n">
        <f aca="false">'نخبه الاغصان'!C7</f>
        <v>46297</v>
      </c>
      <c r="C185" s="17" t="str">
        <f aca="false">'نخبه الاغصان'!D7</f>
        <v>خوخ</v>
      </c>
      <c r="D185" s="17" t="s">
        <v>85</v>
      </c>
      <c r="E185" s="7" t="s">
        <v>59</v>
      </c>
      <c r="F185" s="18" t="n">
        <f aca="false">IF('نخبه الاغصان'!E7="","",'نخبه الاغصان'!E7)</f>
        <v>3</v>
      </c>
      <c r="G185" s="19" t="n">
        <f aca="false">IF('نخبه الاغصان'!F7="","",'نخبه الاغصان'!F7)</f>
        <v>32</v>
      </c>
      <c r="H185" s="9" t="n">
        <f aca="false">IF(F185="","",ROUND(F185*G185,2))</f>
        <v>96</v>
      </c>
      <c r="I185" s="9" t="n">
        <f aca="false">IF(F185="","",ROUND(H185*IF(N('نخبه الاغصان'!G7)&gt;1,'نخبه الاغصان'!G7-1,0),2))</f>
        <v>0</v>
      </c>
      <c r="J185" s="9" t="n">
        <f aca="false">N('نخبه الاغصان'!H7)</f>
        <v>96</v>
      </c>
      <c r="K185" s="9" t="n">
        <f aca="false">N('نخبه الاغصان'!I7)</f>
        <v>0</v>
      </c>
    </row>
    <row r="186" customFormat="false" ht="15" hidden="false" customHeight="false" outlineLevel="0" collapsed="false">
      <c r="A186" s="17" t="s">
        <v>38</v>
      </c>
      <c r="B186" s="11" t="n">
        <f aca="false">'نخبه الاغصان'!C8</f>
        <v>46297</v>
      </c>
      <c r="C186" s="17" t="str">
        <f aca="false">'نخبه الاغصان'!D8</f>
        <v>عنب اسود</v>
      </c>
      <c r="D186" s="17" t="s">
        <v>93</v>
      </c>
      <c r="E186" s="7" t="s">
        <v>59</v>
      </c>
      <c r="F186" s="18" t="n">
        <f aca="false">IF('نخبه الاغصان'!E8="","",'نخبه الاغصان'!E8)</f>
        <v>5</v>
      </c>
      <c r="G186" s="19" t="n">
        <f aca="false">IF('نخبه الاغصان'!F8="","",'نخبه الاغصان'!F8)</f>
        <v>33</v>
      </c>
      <c r="H186" s="9" t="n">
        <f aca="false">IF(F186="","",ROUND(F186*G186,2))</f>
        <v>165</v>
      </c>
      <c r="I186" s="9" t="n">
        <f aca="false">IF(F186="","",ROUND(H186*IF(N('نخبه الاغصان'!G8)&gt;1,'نخبه الاغصان'!G8-1,0),2))</f>
        <v>0</v>
      </c>
      <c r="J186" s="9" t="n">
        <f aca="false">N('نخبه الاغصان'!H8)</f>
        <v>165</v>
      </c>
      <c r="K186" s="9" t="n">
        <f aca="false">N('نخبه الاغصان'!I8)</f>
        <v>0</v>
      </c>
    </row>
    <row r="187" customFormat="false" ht="15" hidden="false" customHeight="false" outlineLevel="0" collapsed="false">
      <c r="A187" s="17" t="s">
        <v>38</v>
      </c>
      <c r="B187" s="11" t="n">
        <f aca="false">'نخبه الاغصان'!C9</f>
        <v>46297</v>
      </c>
      <c r="C187" s="17" t="str">
        <f aca="false">'نخبه الاغصان'!D9</f>
        <v>رمان مصري</v>
      </c>
      <c r="D187" s="17" t="s">
        <v>87</v>
      </c>
      <c r="E187" s="7" t="s">
        <v>59</v>
      </c>
      <c r="F187" s="18" t="n">
        <f aca="false">IF('نخبه الاغصان'!E9="","",'نخبه الاغصان'!E9)</f>
        <v>50</v>
      </c>
      <c r="G187" s="19" t="n">
        <f aca="false">IF('نخبه الاغصان'!F9="","",'نخبه الاغصان'!F9)</f>
        <v>11.5</v>
      </c>
      <c r="H187" s="9" t="n">
        <f aca="false">IF(F187="","",ROUND(F187*G187,2))</f>
        <v>575</v>
      </c>
      <c r="I187" s="9" t="n">
        <f aca="false">IF(F187="","",ROUND(H187*IF(N('نخبه الاغصان'!G9)&gt;1,'نخبه الاغصان'!G9-1,0),2))</f>
        <v>0</v>
      </c>
      <c r="J187" s="9" t="n">
        <f aca="false">N('نخبه الاغصان'!H9)</f>
        <v>575</v>
      </c>
      <c r="K187" s="9" t="n">
        <f aca="false">N('نخبه الاغصان'!I9)</f>
        <v>0</v>
      </c>
    </row>
    <row r="188" customFormat="false" ht="15" hidden="false" customHeight="false" outlineLevel="0" collapsed="false">
      <c r="A188" s="17" t="s">
        <v>38</v>
      </c>
      <c r="B188" s="11" t="n">
        <f aca="false">'نخبه الاغصان'!C10</f>
        <v>46298</v>
      </c>
      <c r="C188" s="17" t="str">
        <f aca="false">'نخبه الاغصان'!D10</f>
        <v>رمان مصري</v>
      </c>
      <c r="D188" s="17" t="s">
        <v>87</v>
      </c>
      <c r="E188" s="7" t="s">
        <v>59</v>
      </c>
      <c r="F188" s="18" t="n">
        <f aca="false">IF('نخبه الاغصان'!E10="","",'نخبه الاغصان'!E10)</f>
        <v>46</v>
      </c>
      <c r="G188" s="19" t="n">
        <f aca="false">IF('نخبه الاغصان'!F10="","",'نخبه الاغصان'!F10)</f>
        <v>11.5</v>
      </c>
      <c r="H188" s="9" t="n">
        <f aca="false">IF(F188="","",ROUND(F188*G188,2))</f>
        <v>529</v>
      </c>
      <c r="I188" s="9" t="n">
        <f aca="false">IF(F188="","",ROUND(H188*IF(N('نخبه الاغصان'!G10)&gt;1,'نخبه الاغصان'!G10-1,0),2))</f>
        <v>0</v>
      </c>
      <c r="J188" s="9" t="n">
        <f aca="false">N('نخبه الاغصان'!H10)</f>
        <v>529</v>
      </c>
      <c r="K188" s="9" t="n">
        <f aca="false">N('نخبه الاغصان'!I10)</f>
        <v>0</v>
      </c>
    </row>
    <row r="189" customFormat="false" ht="15" hidden="false" customHeight="false" outlineLevel="0" collapsed="false">
      <c r="A189" s="17" t="s">
        <v>38</v>
      </c>
      <c r="B189" s="11" t="n">
        <f aca="false">'نخبه الاغصان'!C11</f>
        <v>46299</v>
      </c>
      <c r="C189" s="17" t="str">
        <f aca="false">'نخبه الاغصان'!D11</f>
        <v>فراولة</v>
      </c>
      <c r="D189" s="17" t="s">
        <v>63</v>
      </c>
      <c r="E189" s="7" t="s">
        <v>59</v>
      </c>
      <c r="F189" s="18" t="n">
        <f aca="false">IF('نخبه الاغصان'!E11="","",'نخبه الاغصان'!E11)</f>
        <v>6</v>
      </c>
      <c r="G189" s="19" t="n">
        <f aca="false">IF('نخبه الاغصان'!F11="","",'نخبه الاغصان'!F11)</f>
        <v>105</v>
      </c>
      <c r="H189" s="9" t="n">
        <f aca="false">IF(F189="","",ROUND(F189*G189,2))</f>
        <v>630</v>
      </c>
      <c r="I189" s="9" t="n">
        <f aca="false">IF(F189="","",ROUND(H189*IF(N('نخبه الاغصان'!G11)&gt;1,'نخبه الاغصان'!G11-1,0),2))</f>
        <v>0</v>
      </c>
      <c r="J189" s="9" t="n">
        <f aca="false">N('نخبه الاغصان'!H11)</f>
        <v>630</v>
      </c>
      <c r="K189" s="9" t="n">
        <f aca="false">N('نخبه الاغصان'!I11)</f>
        <v>0</v>
      </c>
    </row>
    <row r="190" customFormat="false" ht="15" hidden="false" customHeight="false" outlineLevel="0" collapsed="false">
      <c r="A190" s="17" t="s">
        <v>38</v>
      </c>
      <c r="B190" s="11" t="n">
        <f aca="false">'نخبه الاغصان'!C12</f>
        <v>46300</v>
      </c>
      <c r="C190" s="17" t="str">
        <f aca="false">'نخبه الاغصان'!D12</f>
        <v>افوكادو</v>
      </c>
      <c r="D190" s="17" t="s">
        <v>94</v>
      </c>
      <c r="E190" s="7" t="s">
        <v>59</v>
      </c>
      <c r="F190" s="18" t="n">
        <f aca="false">IF('نخبه الاغصان'!E12="","",'نخبه الاغصان'!E12)</f>
        <v>20</v>
      </c>
      <c r="G190" s="19" t="n">
        <f aca="false">IF('نخبه الاغصان'!F12="","",'نخبه الاغصان'!F12)</f>
        <v>35</v>
      </c>
      <c r="H190" s="9" t="n">
        <f aca="false">IF(F190="","",ROUND(F190*G190,2))</f>
        <v>700</v>
      </c>
      <c r="I190" s="9" t="n">
        <f aca="false">IF(F190="","",ROUND(H190*IF(N('نخبه الاغصان'!G12)&gt;1,'نخبه الاغصان'!G12-1,0),2))</f>
        <v>0</v>
      </c>
      <c r="J190" s="9" t="n">
        <f aca="false">N('نخبه الاغصان'!H12)</f>
        <v>700</v>
      </c>
      <c r="K190" s="9" t="n">
        <f aca="false">N('نخبه الاغصان'!I12)</f>
        <v>0</v>
      </c>
    </row>
    <row r="191" customFormat="false" ht="15" hidden="false" customHeight="false" outlineLevel="0" collapsed="false">
      <c r="A191" s="17" t="s">
        <v>38</v>
      </c>
      <c r="B191" s="11" t="n">
        <f aca="false">'نخبه الاغصان'!C13</f>
        <v>46301</v>
      </c>
      <c r="C191" s="17" t="str">
        <f aca="false">'نخبه الاغصان'!D13</f>
        <v>تفاح</v>
      </c>
      <c r="D191" s="17" t="s">
        <v>84</v>
      </c>
      <c r="E191" s="7" t="s">
        <v>59</v>
      </c>
      <c r="F191" s="18" t="n">
        <f aca="false">IF('نخبه الاغصان'!E13="","",'نخبه الاغصان'!E13)</f>
        <v>1</v>
      </c>
      <c r="G191" s="19" t="n">
        <f aca="false">IF('نخبه الاغصان'!F13="","",'نخبه الاغصان'!F13)</f>
        <v>8</v>
      </c>
      <c r="H191" s="9" t="n">
        <f aca="false">IF(F191="","",ROUND(F191*G191,2))</f>
        <v>8</v>
      </c>
      <c r="I191" s="9" t="n">
        <f aca="false">IF(F191="","",ROUND(H191*IF(N('نخبه الاغصان'!G13)&gt;1,'نخبه الاغصان'!G13-1,0),2))</f>
        <v>0</v>
      </c>
      <c r="J191" s="9" t="n">
        <f aca="false">N('نخبه الاغصان'!H13)</f>
        <v>8</v>
      </c>
      <c r="K191" s="9" t="n">
        <f aca="false">N('نخبه الاغصان'!I13)</f>
        <v>0</v>
      </c>
    </row>
    <row r="192" customFormat="false" ht="15" hidden="false" customHeight="false" outlineLevel="0" collapsed="false">
      <c r="A192" s="17" t="s">
        <v>38</v>
      </c>
      <c r="B192" s="11" t="n">
        <f aca="false">'نخبه الاغصان'!C14</f>
        <v>46302</v>
      </c>
      <c r="C192" s="17" t="str">
        <f aca="false">'نخبه الاغصان'!D14</f>
        <v>سداد</v>
      </c>
      <c r="D192" s="17"/>
      <c r="E192" s="7" t="s">
        <v>57</v>
      </c>
      <c r="F192" s="7" t="str">
        <f aca="false">IF('نخبه الاغصان'!E14="","",'نخبه الاغصان'!E14)</f>
        <v/>
      </c>
      <c r="G192" s="19" t="str">
        <f aca="false">IF('نخبه الاغصان'!F14="","",'نخبه الاغصان'!F14)</f>
        <v/>
      </c>
      <c r="H192" s="9" t="str">
        <f aca="false">IF(F192="","",ROUND(F192*G192,2))</f>
        <v/>
      </c>
      <c r="I192" s="9" t="str">
        <f aca="false">IF(F192="","",ROUND(H192*IF(N('نخبه الاغصان'!G14)&gt;1,'نخبه الاغصان'!G14-1,0),2))</f>
        <v/>
      </c>
      <c r="J192" s="9" t="n">
        <f aca="false">N('نخبه الاغصان'!H14)</f>
        <v>0</v>
      </c>
      <c r="K192" s="9" t="n">
        <f aca="false">N('نخبه الاغصان'!I14)</f>
        <v>8</v>
      </c>
    </row>
    <row r="193" customFormat="false" ht="15" hidden="false" customHeight="false" outlineLevel="0" collapsed="false">
      <c r="A193" s="17" t="s">
        <v>38</v>
      </c>
      <c r="B193" s="11" t="n">
        <f aca="false">'نخبه الاغصان'!C15</f>
        <v>46303</v>
      </c>
      <c r="C193" s="17" t="str">
        <f aca="false">'نخبه الاغصان'!D15</f>
        <v>فراولة</v>
      </c>
      <c r="D193" s="17" t="s">
        <v>63</v>
      </c>
      <c r="E193" s="7" t="s">
        <v>56</v>
      </c>
      <c r="F193" s="18" t="n">
        <f aca="false">IF('نخبه الاغصان'!E15="","",'نخبه الاغصان'!E15)</f>
        <v>20</v>
      </c>
      <c r="G193" s="19" t="n">
        <f aca="false">IF('نخبه الاغصان'!F15="","",'نخبه الاغصان'!F15)</f>
        <v>125</v>
      </c>
      <c r="H193" s="9" t="n">
        <f aca="false">IF(F193="","",ROUND(F193*G193,2))</f>
        <v>2500</v>
      </c>
      <c r="I193" s="9" t="n">
        <f aca="false">IF(F193="","",ROUND(H193*IF(N('نخبه الاغصان'!G15)&gt;1,'نخبه الاغصان'!G15-1,0),2))</f>
        <v>0</v>
      </c>
      <c r="J193" s="9" t="n">
        <f aca="false">N('نخبه الاغصان'!H15)</f>
        <v>0</v>
      </c>
      <c r="K193" s="9" t="n">
        <f aca="false">N('نخبه الاغصان'!I15)</f>
        <v>2500</v>
      </c>
    </row>
    <row r="194" customFormat="false" ht="15" hidden="false" customHeight="false" outlineLevel="0" collapsed="false">
      <c r="A194" s="17" t="s">
        <v>38</v>
      </c>
      <c r="B194" s="11" t="n">
        <f aca="false">'نخبه الاغصان'!C16</f>
        <v>46307</v>
      </c>
      <c r="C194" s="17" t="str">
        <f aca="false">'نخبه الاغصان'!D16</f>
        <v>تفاح احمر</v>
      </c>
      <c r="D194" s="17" t="s">
        <v>73</v>
      </c>
      <c r="E194" s="7" t="s">
        <v>59</v>
      </c>
      <c r="F194" s="18" t="n">
        <f aca="false">IF('نخبه الاغصان'!E16="","",'نخبه الاغصان'!E16)</f>
        <v>23</v>
      </c>
      <c r="G194" s="19" t="n">
        <f aca="false">IF('نخبه الاغصان'!F16="","",'نخبه الاغصان'!F16)</f>
        <v>8</v>
      </c>
      <c r="H194" s="9" t="n">
        <f aca="false">IF(F194="","",ROUND(F194*G194,2))</f>
        <v>184</v>
      </c>
      <c r="I194" s="9" t="n">
        <f aca="false">IF(F194="","",ROUND(H194*IF(N('نخبه الاغصان'!G16)&gt;1,'نخبه الاغصان'!G16-1,0),2))</f>
        <v>27.6</v>
      </c>
      <c r="J194" s="9" t="n">
        <f aca="false">N('نخبه الاغصان'!H16)</f>
        <v>211.6</v>
      </c>
      <c r="K194" s="9" t="n">
        <f aca="false">N('نخبه الاغصان'!I16)</f>
        <v>0</v>
      </c>
    </row>
    <row r="195" customFormat="false" ht="15" hidden="false" customHeight="false" outlineLevel="0" collapsed="false">
      <c r="A195" s="17" t="s">
        <v>38</v>
      </c>
      <c r="B195" s="11" t="n">
        <f aca="false">'نخبه الاغصان'!C17</f>
        <v>46307</v>
      </c>
      <c r="C195" s="17" t="str">
        <f aca="false">'نخبه الاغصان'!D17</f>
        <v>تفاح ابيض</v>
      </c>
      <c r="D195" s="17" t="s">
        <v>82</v>
      </c>
      <c r="E195" s="7" t="s">
        <v>59</v>
      </c>
      <c r="F195" s="18" t="n">
        <f aca="false">IF('نخبه الاغصان'!E17="","",'نخبه الاغصان'!E17)</f>
        <v>13</v>
      </c>
      <c r="G195" s="19" t="n">
        <f aca="false">IF('نخبه الاغصان'!F17="","",'نخبه الاغصان'!F17)</f>
        <v>7</v>
      </c>
      <c r="H195" s="9" t="n">
        <f aca="false">IF(F195="","",ROUND(F195*G195,2))</f>
        <v>91</v>
      </c>
      <c r="I195" s="9" t="n">
        <f aca="false">IF(F195="","",ROUND(H195*IF(N('نخبه الاغصان'!G17)&gt;1,'نخبه الاغصان'!G17-1,0),2))</f>
        <v>13.65</v>
      </c>
      <c r="J195" s="9" t="n">
        <f aca="false">N('نخبه الاغصان'!H17)</f>
        <v>104.65</v>
      </c>
      <c r="K195" s="9" t="n">
        <f aca="false">N('نخبه الاغصان'!I17)</f>
        <v>0</v>
      </c>
    </row>
    <row r="196" customFormat="false" ht="15" hidden="false" customHeight="false" outlineLevel="0" collapsed="false">
      <c r="A196" s="17" t="s">
        <v>38</v>
      </c>
      <c r="B196" s="11" t="n">
        <f aca="false">'نخبه الاغصان'!C18</f>
        <v>46308</v>
      </c>
      <c r="C196" s="17" t="str">
        <f aca="false">'نخبه الاغصان'!D18</f>
        <v>تفاح احمر</v>
      </c>
      <c r="D196" s="17" t="s">
        <v>73</v>
      </c>
      <c r="E196" s="7" t="s">
        <v>59</v>
      </c>
      <c r="F196" s="18" t="n">
        <f aca="false">IF('نخبه الاغصان'!E18="","",'نخبه الاغصان'!E18)</f>
        <v>15</v>
      </c>
      <c r="G196" s="19" t="n">
        <f aca="false">IF('نخبه الاغصان'!F18="","",'نخبه الاغصان'!F18)</f>
        <v>8</v>
      </c>
      <c r="H196" s="9" t="n">
        <f aca="false">IF(F196="","",ROUND(F196*G196,2))</f>
        <v>120</v>
      </c>
      <c r="I196" s="9" t="n">
        <f aca="false">IF(F196="","",ROUND(H196*IF(N('نخبه الاغصان'!G18)&gt;1,'نخبه الاغصان'!G18-1,0),2))</f>
        <v>18</v>
      </c>
      <c r="J196" s="9" t="n">
        <f aca="false">N('نخبه الاغصان'!H18)</f>
        <v>138</v>
      </c>
      <c r="K196" s="9" t="n">
        <f aca="false">N('نخبه الاغصان'!I18)</f>
        <v>0</v>
      </c>
    </row>
    <row r="197" customFormat="false" ht="15" hidden="false" customHeight="false" outlineLevel="0" collapsed="false">
      <c r="A197" s="17" t="s">
        <v>38</v>
      </c>
      <c r="B197" s="11" t="n">
        <f aca="false">'نخبه الاغصان'!C19</f>
        <v>46309</v>
      </c>
      <c r="C197" s="17" t="str">
        <f aca="false">'نخبه الاغصان'!D19</f>
        <v>تفاح احمر</v>
      </c>
      <c r="D197" s="17" t="s">
        <v>73</v>
      </c>
      <c r="E197" s="7" t="s">
        <v>59</v>
      </c>
      <c r="F197" s="18" t="n">
        <f aca="false">IF('نخبه الاغصان'!E19="","",'نخبه الاغصان'!E19)</f>
        <v>20</v>
      </c>
      <c r="G197" s="19" t="n">
        <f aca="false">IF('نخبه الاغصان'!F19="","",'نخبه الاغصان'!F19)</f>
        <v>8</v>
      </c>
      <c r="H197" s="9" t="n">
        <f aca="false">IF(F197="","",ROUND(F197*G197,2))</f>
        <v>160</v>
      </c>
      <c r="I197" s="9" t="n">
        <f aca="false">IF(F197="","",ROUND(H197*IF(N('نخبه الاغصان'!G19)&gt;1,'نخبه الاغصان'!G19-1,0),2))</f>
        <v>24</v>
      </c>
      <c r="J197" s="9" t="n">
        <f aca="false">N('نخبه الاغصان'!H19)</f>
        <v>184</v>
      </c>
      <c r="K197" s="9" t="n">
        <f aca="false">N('نخبه الاغصان'!I19)</f>
        <v>0</v>
      </c>
    </row>
    <row r="198" customFormat="false" ht="15" hidden="false" customHeight="false" outlineLevel="0" collapsed="false">
      <c r="A198" s="17" t="s">
        <v>38</v>
      </c>
      <c r="B198" s="11" t="n">
        <f aca="false">'نخبه الاغصان'!C20</f>
        <v>46309</v>
      </c>
      <c r="C198" s="17" t="str">
        <f aca="false">'نخبه الاغصان'!D20</f>
        <v>تفاح اخضر</v>
      </c>
      <c r="D198" s="17" t="s">
        <v>91</v>
      </c>
      <c r="E198" s="7" t="s">
        <v>59</v>
      </c>
      <c r="F198" s="18" t="n">
        <f aca="false">IF('نخبه الاغصان'!E20="","",'نخبه الاغصان'!E20)</f>
        <v>10</v>
      </c>
      <c r="G198" s="19" t="n">
        <f aca="false">IF('نخبه الاغصان'!F20="","",'نخبه الاغصان'!F20)</f>
        <v>7</v>
      </c>
      <c r="H198" s="9" t="n">
        <f aca="false">IF(F198="","",ROUND(F198*G198,2))</f>
        <v>70</v>
      </c>
      <c r="I198" s="9" t="n">
        <f aca="false">IF(F198="","",ROUND(H198*IF(N('نخبه الاغصان'!G20)&gt;1,'نخبه الاغصان'!G20-1,0),2))</f>
        <v>10.5</v>
      </c>
      <c r="J198" s="9" t="n">
        <f aca="false">N('نخبه الاغصان'!H20)</f>
        <v>80.5</v>
      </c>
      <c r="K198" s="9" t="n">
        <f aca="false">N('نخبه الاغصان'!I20)</f>
        <v>0</v>
      </c>
    </row>
    <row r="199" customFormat="false" ht="15" hidden="false" customHeight="false" outlineLevel="0" collapsed="false">
      <c r="A199" s="17" t="s">
        <v>38</v>
      </c>
      <c r="B199" s="11" t="n">
        <f aca="false">'نخبه الاغصان'!C21</f>
        <v>46312</v>
      </c>
      <c r="C199" s="17" t="str">
        <f aca="false">'نخبه الاغصان'!D21</f>
        <v>بطاطا</v>
      </c>
      <c r="D199" s="17" t="s">
        <v>95</v>
      </c>
      <c r="E199" s="7" t="s">
        <v>56</v>
      </c>
      <c r="F199" s="18" t="n">
        <f aca="false">IF('نخبه الاغصان'!E21="","",'نخبه الاغصان'!E21)</f>
        <v>8</v>
      </c>
      <c r="G199" s="19" t="n">
        <f aca="false">IF('نخبه الاغصان'!F21="","",'نخبه الاغصان'!F21)</f>
        <v>10</v>
      </c>
      <c r="H199" s="9" t="n">
        <f aca="false">IF(F199="","",ROUND(F199*G199,2))</f>
        <v>80</v>
      </c>
      <c r="I199" s="9" t="n">
        <f aca="false">IF(F199="","",ROUND(H199*IF(N('نخبه الاغصان'!G21)&gt;1,'نخبه الاغصان'!G21-1,0),2))</f>
        <v>0</v>
      </c>
      <c r="J199" s="9" t="n">
        <f aca="false">N('نخبه الاغصان'!H21)</f>
        <v>0</v>
      </c>
      <c r="K199" s="9" t="n">
        <f aca="false">N('نخبه الاغصان'!I21)</f>
        <v>80</v>
      </c>
    </row>
    <row r="200" customFormat="false" ht="15" hidden="false" customHeight="false" outlineLevel="0" collapsed="false">
      <c r="A200" s="17" t="s">
        <v>38</v>
      </c>
      <c r="B200" s="11" t="n">
        <f aca="false">'نخبه الاغصان'!C22</f>
        <v>46312</v>
      </c>
      <c r="C200" s="17" t="str">
        <f aca="false">'نخبه الاغصان'!D22</f>
        <v>شبكة تحويل</v>
      </c>
      <c r="D200" s="17"/>
      <c r="E200" s="7" t="s">
        <v>65</v>
      </c>
      <c r="F200" s="7" t="str">
        <f aca="false">IF('نخبه الاغصان'!E22="","",'نخبه الاغصان'!E22)</f>
        <v/>
      </c>
      <c r="G200" s="19" t="str">
        <f aca="false">IF('نخبه الاغصان'!F22="","",'نخبه الاغصان'!F22)</f>
        <v/>
      </c>
      <c r="H200" s="9" t="str">
        <f aca="false">IF(F200="","",ROUND(F200*G200,2))</f>
        <v/>
      </c>
      <c r="I200" s="9" t="str">
        <f aca="false">IF(F200="","",ROUND(H200*IF(N('نخبه الاغصان'!G22)&gt;1,'نخبه الاغصان'!G22-1,0),2))</f>
        <v/>
      </c>
      <c r="J200" s="9" t="n">
        <f aca="false">N('نخبه الاغصان'!H22)</f>
        <v>0</v>
      </c>
      <c r="K200" s="9" t="n">
        <f aca="false">N('نخبه الاغصان'!I22)</f>
        <v>46</v>
      </c>
    </row>
    <row r="201" customFormat="false" ht="15" hidden="false" customHeight="false" outlineLevel="0" collapsed="false">
      <c r="A201" s="17" t="s">
        <v>38</v>
      </c>
      <c r="B201" s="11" t="n">
        <f aca="false">'نخبه الاغصان'!C23</f>
        <v>46312</v>
      </c>
      <c r="C201" s="17" t="str">
        <f aca="false">'نخبه الاغصان'!D23</f>
        <v>كمثري عكاظ</v>
      </c>
      <c r="D201" s="17" t="s">
        <v>69</v>
      </c>
      <c r="E201" s="7" t="s">
        <v>59</v>
      </c>
      <c r="F201" s="18" t="n">
        <f aca="false">IF('نخبه الاغصان'!E23="","",'نخبه الاغصان'!E23)</f>
        <v>32</v>
      </c>
      <c r="G201" s="19" t="n">
        <f aca="false">IF('نخبه الاغصان'!F23="","",'نخبه الاغصان'!F23)</f>
        <v>8</v>
      </c>
      <c r="H201" s="9" t="n">
        <f aca="false">IF(F201="","",ROUND(F201*G201,2))</f>
        <v>256</v>
      </c>
      <c r="I201" s="9" t="n">
        <f aca="false">IF(F201="","",ROUND(H201*IF(N('نخبه الاغصان'!G23)&gt;1,'نخبه الاغصان'!G23-1,0),2))</f>
        <v>0</v>
      </c>
      <c r="J201" s="9" t="n">
        <f aca="false">N('نخبه الاغصان'!H23)</f>
        <v>256</v>
      </c>
      <c r="K201" s="9" t="n">
        <f aca="false">N('نخبه الاغصان'!I23)</f>
        <v>0</v>
      </c>
    </row>
    <row r="202" customFormat="false" ht="15" hidden="false" customHeight="false" outlineLevel="0" collapsed="false">
      <c r="A202" s="17" t="s">
        <v>38</v>
      </c>
      <c r="B202" s="11" t="n">
        <f aca="false">'نخبه الاغصان'!C24</f>
        <v>46313</v>
      </c>
      <c r="C202" s="17" t="str">
        <f aca="false">'نخبه الاغصان'!D24</f>
        <v>فراولة</v>
      </c>
      <c r="D202" s="17" t="s">
        <v>63</v>
      </c>
      <c r="E202" s="7" t="s">
        <v>56</v>
      </c>
      <c r="F202" s="18" t="n">
        <f aca="false">IF('نخبه الاغصان'!E24="","",'نخبه الاغصان'!E24)</f>
        <v>10</v>
      </c>
      <c r="G202" s="19" t="n">
        <f aca="false">IF('نخبه الاغصان'!F24="","",'نخبه الاغصان'!F24)</f>
        <v>123</v>
      </c>
      <c r="H202" s="9" t="n">
        <f aca="false">IF(F202="","",ROUND(F202*G202,2))</f>
        <v>1230</v>
      </c>
      <c r="I202" s="9" t="n">
        <f aca="false">IF(F202="","",ROUND(H202*IF(N('نخبه الاغصان'!G24)&gt;1,'نخبه الاغصان'!G24-1,0),2))</f>
        <v>0</v>
      </c>
      <c r="J202" s="9" t="n">
        <f aca="false">N('نخبه الاغصان'!H24)</f>
        <v>0</v>
      </c>
      <c r="K202" s="9" t="n">
        <f aca="false">N('نخبه الاغصان'!I24)</f>
        <v>1230</v>
      </c>
    </row>
    <row r="203" customFormat="false" ht="15" hidden="false" customHeight="false" outlineLevel="0" collapsed="false">
      <c r="A203" s="17" t="s">
        <v>38</v>
      </c>
      <c r="B203" s="11" t="n">
        <f aca="false">'نخبه الاغصان'!C25</f>
        <v>46314</v>
      </c>
      <c r="C203" s="17" t="str">
        <f aca="false">'نخبه الاغصان'!D25</f>
        <v>كمثري عكاظ</v>
      </c>
      <c r="D203" s="17" t="s">
        <v>69</v>
      </c>
      <c r="E203" s="7" t="s">
        <v>59</v>
      </c>
      <c r="F203" s="18" t="n">
        <f aca="false">IF('نخبه الاغصان'!E25="","",'نخبه الاغصان'!E25)</f>
        <v>16</v>
      </c>
      <c r="G203" s="19" t="n">
        <f aca="false">IF('نخبه الاغصان'!F25="","",'نخبه الاغصان'!F25)</f>
        <v>8</v>
      </c>
      <c r="H203" s="9" t="n">
        <f aca="false">IF(F203="","",ROUND(F203*G203,2))</f>
        <v>128</v>
      </c>
      <c r="I203" s="9" t="n">
        <f aca="false">IF(F203="","",ROUND(H203*IF(N('نخبه الاغصان'!G25)&gt;1,'نخبه الاغصان'!G25-1,0),2))</f>
        <v>0</v>
      </c>
      <c r="J203" s="9" t="n">
        <f aca="false">N('نخبه الاغصان'!H25)</f>
        <v>128</v>
      </c>
      <c r="K203" s="9" t="n">
        <f aca="false">N('نخبه الاغصان'!I25)</f>
        <v>0</v>
      </c>
    </row>
    <row r="204" customFormat="false" ht="15" hidden="false" customHeight="false" outlineLevel="0" collapsed="false">
      <c r="A204" s="17" t="s">
        <v>38</v>
      </c>
      <c r="B204" s="11" t="n">
        <f aca="false">'نخبه الاغصان'!C26</f>
        <v>46315</v>
      </c>
      <c r="C204" s="17" t="str">
        <f aca="false">'نخبه الاغصان'!D26</f>
        <v>كاكا</v>
      </c>
      <c r="D204" s="17" t="s">
        <v>74</v>
      </c>
      <c r="E204" s="7" t="s">
        <v>59</v>
      </c>
      <c r="F204" s="18" t="n">
        <f aca="false">IF('نخبه الاغصان'!E26="","",'نخبه الاغصان'!E26)</f>
        <v>30</v>
      </c>
      <c r="G204" s="19" t="n">
        <f aca="false">IF('نخبه الاغصان'!F26="","",'نخبه الاغصان'!F26)</f>
        <v>16</v>
      </c>
      <c r="H204" s="9" t="n">
        <f aca="false">IF(F204="","",ROUND(F204*G204,2))</f>
        <v>480</v>
      </c>
      <c r="I204" s="9" t="n">
        <f aca="false">IF(F204="","",ROUND(H204*IF(N('نخبه الاغصان'!G26)&gt;1,'نخبه الاغصان'!G26-1,0),2))</f>
        <v>72</v>
      </c>
      <c r="J204" s="9" t="n">
        <f aca="false">N('نخبه الاغصان'!H26)</f>
        <v>552</v>
      </c>
      <c r="K204" s="9" t="n">
        <f aca="false">N('نخبه الاغصان'!I26)</f>
        <v>0</v>
      </c>
    </row>
    <row r="205" customFormat="false" ht="15" hidden="false" customHeight="false" outlineLevel="0" collapsed="false">
      <c r="A205" s="17" t="s">
        <v>38</v>
      </c>
      <c r="B205" s="11" t="n">
        <f aca="false">'نخبه الاغصان'!C27</f>
        <v>46315</v>
      </c>
      <c r="C205" s="17" t="str">
        <f aca="false">'نخبه الاغصان'!D27</f>
        <v>شبكة تحويل</v>
      </c>
      <c r="D205" s="17"/>
      <c r="E205" s="7" t="s">
        <v>65</v>
      </c>
      <c r="F205" s="7" t="str">
        <f aca="false">IF('نخبه الاغصان'!E27="","",'نخبه الاغصان'!E27)</f>
        <v/>
      </c>
      <c r="G205" s="19" t="str">
        <f aca="false">IF('نخبه الاغصان'!F27="","",'نخبه الاغصان'!F27)</f>
        <v/>
      </c>
      <c r="H205" s="9" t="str">
        <f aca="false">IF(F205="","",ROUND(F205*G205,2))</f>
        <v/>
      </c>
      <c r="I205" s="9" t="str">
        <f aca="false">IF(F205="","",ROUND(H205*IF(N('نخبه الاغصان'!G27)&gt;1,'نخبه الاغصان'!G27-1,0),2))</f>
        <v/>
      </c>
      <c r="J205" s="9" t="n">
        <f aca="false">N('نخبه الاغصان'!H27)</f>
        <v>0</v>
      </c>
      <c r="K205" s="9" t="n">
        <f aca="false">N('نخبه الاغصان'!I27)</f>
        <v>120</v>
      </c>
    </row>
    <row r="206" customFormat="false" ht="15" hidden="false" customHeight="false" outlineLevel="0" collapsed="false">
      <c r="A206" s="17" t="s">
        <v>38</v>
      </c>
      <c r="B206" s="11" t="n">
        <f aca="false">'نخبه الاغصان'!C28</f>
        <v>46316</v>
      </c>
      <c r="C206" s="17" t="str">
        <f aca="false">'نخبه الاغصان'!D28</f>
        <v>كاكا لبناني</v>
      </c>
      <c r="D206" s="17" t="s">
        <v>74</v>
      </c>
      <c r="E206" s="7" t="s">
        <v>59</v>
      </c>
      <c r="F206" s="18" t="n">
        <f aca="false">IF('نخبه الاغصان'!E28="","",'نخبه الاغصان'!E28)</f>
        <v>30</v>
      </c>
      <c r="G206" s="19" t="n">
        <f aca="false">IF('نخبه الاغصان'!F28="","",'نخبه الاغصان'!F28)</f>
        <v>16</v>
      </c>
      <c r="H206" s="9" t="n">
        <f aca="false">IF(F206="","",ROUND(F206*G206,2))</f>
        <v>480</v>
      </c>
      <c r="I206" s="9" t="n">
        <f aca="false">IF(F206="","",ROUND(H206*IF(N('نخبه الاغصان'!G28)&gt;1,'نخبه الاغصان'!G28-1,0),2))</f>
        <v>72</v>
      </c>
      <c r="J206" s="9" t="n">
        <f aca="false">N('نخبه الاغصان'!H28)</f>
        <v>552</v>
      </c>
      <c r="K206" s="9" t="n">
        <f aca="false">N('نخبه الاغصان'!I28)</f>
        <v>0</v>
      </c>
    </row>
    <row r="207" customFormat="false" ht="15" hidden="false" customHeight="false" outlineLevel="0" collapsed="false">
      <c r="A207" s="17" t="s">
        <v>38</v>
      </c>
      <c r="B207" s="11" t="n">
        <f aca="false">'نخبه الاغصان'!C29</f>
        <v>46316</v>
      </c>
      <c r="C207" s="17" t="str">
        <f aca="false">'نخبه الاغصان'!D29</f>
        <v>تفاح احمر</v>
      </c>
      <c r="D207" s="17" t="s">
        <v>73</v>
      </c>
      <c r="E207" s="7" t="s">
        <v>59</v>
      </c>
      <c r="F207" s="18" t="n">
        <f aca="false">IF('نخبه الاغصان'!E29="","",'نخبه الاغصان'!E29)</f>
        <v>30</v>
      </c>
      <c r="G207" s="19" t="n">
        <f aca="false">IF('نخبه الاغصان'!F29="","",'نخبه الاغصان'!F29)</f>
        <v>8</v>
      </c>
      <c r="H207" s="9" t="n">
        <f aca="false">IF(F207="","",ROUND(F207*G207,2))</f>
        <v>240</v>
      </c>
      <c r="I207" s="9" t="n">
        <f aca="false">IF(F207="","",ROUND(H207*IF(N('نخبه الاغصان'!G29)&gt;1,'نخبه الاغصان'!G29-1,0),2))</f>
        <v>36</v>
      </c>
      <c r="J207" s="9" t="n">
        <f aca="false">N('نخبه الاغصان'!H29)</f>
        <v>276</v>
      </c>
      <c r="K207" s="9" t="n">
        <f aca="false">N('نخبه الاغصان'!I29)</f>
        <v>0</v>
      </c>
    </row>
    <row r="208" customFormat="false" ht="15" hidden="false" customHeight="false" outlineLevel="0" collapsed="false">
      <c r="A208" s="17" t="s">
        <v>38</v>
      </c>
      <c r="B208" s="11" t="n">
        <f aca="false">'نخبه الاغصان'!C30</f>
        <v>46316</v>
      </c>
      <c r="C208" s="17" t="str">
        <f aca="false">'نخبه الاغصان'!D30</f>
        <v>تفاح اخضر</v>
      </c>
      <c r="D208" s="17" t="s">
        <v>91</v>
      </c>
      <c r="E208" s="7" t="s">
        <v>59</v>
      </c>
      <c r="F208" s="18" t="n">
        <f aca="false">IF('نخبه الاغصان'!E30="","",'نخبه الاغصان'!E30)</f>
        <v>5</v>
      </c>
      <c r="G208" s="19" t="n">
        <f aca="false">IF('نخبه الاغصان'!F30="","",'نخبه الاغصان'!F30)</f>
        <v>7</v>
      </c>
      <c r="H208" s="9" t="n">
        <f aca="false">IF(F208="","",ROUND(F208*G208,2))</f>
        <v>35</v>
      </c>
      <c r="I208" s="9" t="n">
        <f aca="false">IF(F208="","",ROUND(H208*IF(N('نخبه الاغصان'!G30)&gt;1,'نخبه الاغصان'!G30-1,0),2))</f>
        <v>5.25</v>
      </c>
      <c r="J208" s="9" t="n">
        <f aca="false">N('نخبه الاغصان'!H30)</f>
        <v>40.25</v>
      </c>
      <c r="K208" s="9" t="n">
        <f aca="false">N('نخبه الاغصان'!I30)</f>
        <v>0</v>
      </c>
    </row>
    <row r="209" customFormat="false" ht="15" hidden="false" customHeight="false" outlineLevel="0" collapsed="false">
      <c r="A209" s="17" t="s">
        <v>38</v>
      </c>
      <c r="B209" s="11" t="n">
        <f aca="false">'نخبه الاغصان'!C31</f>
        <v>46317</v>
      </c>
      <c r="C209" s="17" t="str">
        <f aca="false">'نخبه الاغصان'!D31</f>
        <v>شبكة تحويل</v>
      </c>
      <c r="D209" s="17"/>
      <c r="E209" s="7" t="s">
        <v>65</v>
      </c>
      <c r="F209" s="7" t="str">
        <f aca="false">IF('نخبه الاغصان'!E31="","",'نخبه الاغصان'!E31)</f>
        <v/>
      </c>
      <c r="G209" s="19" t="str">
        <f aca="false">IF('نخبه الاغصان'!F31="","",'نخبه الاغصان'!F31)</f>
        <v/>
      </c>
      <c r="H209" s="9" t="str">
        <f aca="false">IF(F209="","",ROUND(F209*G209,2))</f>
        <v/>
      </c>
      <c r="I209" s="9" t="str">
        <f aca="false">IF(F209="","",ROUND(H209*IF(N('نخبه الاغصان'!G31)&gt;1,'نخبه الاغصان'!G31-1,0),2))</f>
        <v/>
      </c>
      <c r="J209" s="9" t="n">
        <f aca="false">N('نخبه الاغصان'!H31)</f>
        <v>0</v>
      </c>
      <c r="K209" s="9" t="n">
        <f aca="false">N('نخبه الاغصان'!I31)</f>
        <v>98</v>
      </c>
    </row>
    <row r="210" customFormat="false" ht="15" hidden="false" customHeight="false" outlineLevel="0" collapsed="false">
      <c r="A210" s="17" t="s">
        <v>38</v>
      </c>
      <c r="B210" s="11" t="n">
        <f aca="false">'نخبه الاغصان'!C32</f>
        <v>46321</v>
      </c>
      <c r="C210" s="17" t="str">
        <f aca="false">'نخبه الاغصان'!D32</f>
        <v>كاكا</v>
      </c>
      <c r="D210" s="17" t="s">
        <v>74</v>
      </c>
      <c r="E210" s="7" t="s">
        <v>59</v>
      </c>
      <c r="F210" s="18" t="n">
        <f aca="false">IF('نخبه الاغصان'!E32="","",'نخبه الاغصان'!E32)</f>
        <v>24</v>
      </c>
      <c r="G210" s="19" t="n">
        <f aca="false">IF('نخبه الاغصان'!F32="","",'نخبه الاغصان'!F32)</f>
        <v>20</v>
      </c>
      <c r="H210" s="9" t="n">
        <f aca="false">IF(F210="","",ROUND(F210*G210,2))</f>
        <v>480</v>
      </c>
      <c r="I210" s="9" t="n">
        <f aca="false">IF(F210="","",ROUND(H210*IF(N('نخبه الاغصان'!G32)&gt;1,'نخبه الاغصان'!G32-1,0),2))</f>
        <v>72</v>
      </c>
      <c r="J210" s="9" t="n">
        <f aca="false">N('نخبه الاغصان'!H32)</f>
        <v>552</v>
      </c>
      <c r="K210" s="9" t="n">
        <f aca="false">N('نخبه الاغصان'!I32)</f>
        <v>0</v>
      </c>
    </row>
    <row r="211" customFormat="false" ht="15" hidden="false" customHeight="false" outlineLevel="0" collapsed="false">
      <c r="A211" s="17" t="s">
        <v>38</v>
      </c>
      <c r="B211" s="11" t="n">
        <f aca="false">'نخبه الاغصان'!C33</f>
        <v>46323</v>
      </c>
      <c r="C211" s="17" t="str">
        <f aca="false">'نخبه الاغصان'!D33</f>
        <v>شبكة تحويل</v>
      </c>
      <c r="D211" s="17"/>
      <c r="E211" s="7" t="s">
        <v>65</v>
      </c>
      <c r="F211" s="7" t="str">
        <f aca="false">IF('نخبه الاغصان'!E33="","",'نخبه الاغصان'!E33)</f>
        <v/>
      </c>
      <c r="G211" s="19" t="str">
        <f aca="false">IF('نخبه الاغصان'!F33="","",'نخبه الاغصان'!F33)</f>
        <v/>
      </c>
      <c r="H211" s="9" t="str">
        <f aca="false">IF(F211="","",ROUND(F211*G211,2))</f>
        <v/>
      </c>
      <c r="I211" s="9" t="str">
        <f aca="false">IF(F211="","",ROUND(H211*IF(N('نخبه الاغصان'!G33)&gt;1,'نخبه الاغصان'!G33-1,0),2))</f>
        <v/>
      </c>
      <c r="J211" s="9" t="n">
        <f aca="false">N('نخبه الاغصان'!H33)</f>
        <v>0</v>
      </c>
      <c r="K211" s="9" t="n">
        <f aca="false">N('نخبه الاغصان'!I33)</f>
        <v>40</v>
      </c>
    </row>
    <row r="212" customFormat="false" ht="15" hidden="false" customHeight="false" outlineLevel="0" collapsed="false">
      <c r="A212" s="17" t="s">
        <v>38</v>
      </c>
      <c r="B212" s="11" t="n">
        <f aca="false">'نخبه الاغصان'!C34</f>
        <v>46324</v>
      </c>
      <c r="C212" s="17" t="str">
        <f aca="false">'نخبه الاغصان'!D34</f>
        <v>فراولة</v>
      </c>
      <c r="D212" s="17" t="s">
        <v>63</v>
      </c>
      <c r="E212" s="7" t="s">
        <v>56</v>
      </c>
      <c r="F212" s="18" t="n">
        <f aca="false">IF('نخبه الاغصان'!E34="","",'نخبه الاغصان'!E34)</f>
        <v>22</v>
      </c>
      <c r="G212" s="19" t="n">
        <f aca="false">IF('نخبه الاغصان'!F34="","",'نخبه الاغصان'!F34)</f>
        <v>122</v>
      </c>
      <c r="H212" s="9" t="n">
        <f aca="false">IF(F212="","",ROUND(F212*G212,2))</f>
        <v>2684</v>
      </c>
      <c r="I212" s="9" t="n">
        <f aca="false">IF(F212="","",ROUND(H212*IF(N('نخبه الاغصان'!G34)&gt;1,'نخبه الاغصان'!G34-1,0),2))</f>
        <v>0</v>
      </c>
      <c r="J212" s="9" t="n">
        <f aca="false">N('نخبه الاغصان'!H34)</f>
        <v>0</v>
      </c>
      <c r="K212" s="9" t="n">
        <f aca="false">N('نخبه الاغصان'!I34)</f>
        <v>2684</v>
      </c>
    </row>
    <row r="213" customFormat="false" ht="15" hidden="false" customHeight="false" outlineLevel="0" collapsed="false">
      <c r="A213" s="17" t="s">
        <v>39</v>
      </c>
      <c r="B213" s="11" t="n">
        <f aca="false">'فصل الاعمال'!C7</f>
        <v>46299</v>
      </c>
      <c r="C213" s="17" t="str">
        <f aca="false">'فصل الاعمال'!D7</f>
        <v>رمان مصري</v>
      </c>
      <c r="D213" s="17" t="s">
        <v>87</v>
      </c>
      <c r="E213" s="7" t="s">
        <v>59</v>
      </c>
      <c r="F213" s="18" t="n">
        <f aca="false">IF('فصل الاعمال'!E7="","",'فصل الاعمال'!E7)</f>
        <v>195</v>
      </c>
      <c r="G213" s="19" t="n">
        <f aca="false">IF('فصل الاعمال'!F7="","",'فصل الاعمال'!F7)</f>
        <v>10</v>
      </c>
      <c r="H213" s="9" t="n">
        <f aca="false">IF(F213="","",ROUND(F213*G213,2))</f>
        <v>1950</v>
      </c>
      <c r="I213" s="9" t="n">
        <f aca="false">IF(F213="","",ROUND(H213*IF(N('فصل الاعمال'!G7)&gt;1,'فصل الاعمال'!G7-1,0),2))</f>
        <v>292.5</v>
      </c>
      <c r="J213" s="9" t="n">
        <f aca="false">N('فصل الاعمال'!H7)</f>
        <v>2242.5</v>
      </c>
      <c r="K213" s="9" t="n">
        <f aca="false">N('فصل الاعمال'!I7)</f>
        <v>0</v>
      </c>
    </row>
    <row r="214" customFormat="false" ht="15" hidden="false" customHeight="false" outlineLevel="0" collapsed="false">
      <c r="A214" s="17" t="s">
        <v>39</v>
      </c>
      <c r="B214" s="11" t="n">
        <f aca="false">'فصل الاعمال'!C8</f>
        <v>46302</v>
      </c>
      <c r="C214" s="17" t="str">
        <f aca="false">'فصل الاعمال'!D8</f>
        <v>رمان مصري</v>
      </c>
      <c r="D214" s="17" t="s">
        <v>87</v>
      </c>
      <c r="E214" s="7" t="s">
        <v>59</v>
      </c>
      <c r="F214" s="18" t="n">
        <f aca="false">IF('فصل الاعمال'!E8="","",'فصل الاعمال'!E8)</f>
        <v>170</v>
      </c>
      <c r="G214" s="19" t="n">
        <f aca="false">IF('فصل الاعمال'!F8="","",'فصل الاعمال'!F8)</f>
        <v>10</v>
      </c>
      <c r="H214" s="9" t="n">
        <f aca="false">IF(F214="","",ROUND(F214*G214,2))</f>
        <v>1700</v>
      </c>
      <c r="I214" s="9" t="n">
        <f aca="false">IF(F214="","",ROUND(H214*IF(N('فصل الاعمال'!G8)&gt;1,'فصل الاعمال'!G8-1,0),2))</f>
        <v>255</v>
      </c>
      <c r="J214" s="9" t="n">
        <f aca="false">N('فصل الاعمال'!H8)</f>
        <v>1955</v>
      </c>
      <c r="K214" s="9" t="n">
        <f aca="false">N('فصل الاعمال'!I8)</f>
        <v>0</v>
      </c>
    </row>
    <row r="215" customFormat="false" ht="15" hidden="false" customHeight="false" outlineLevel="0" collapsed="false">
      <c r="A215" s="17" t="s">
        <v>39</v>
      </c>
      <c r="B215" s="11" t="n">
        <f aca="false">'فصل الاعمال'!C9</f>
        <v>46304</v>
      </c>
      <c r="C215" s="17" t="str">
        <f aca="false">'فصل الاعمال'!D9</f>
        <v>سداد سند /11226</v>
      </c>
      <c r="D215" s="17"/>
      <c r="E215" s="7" t="s">
        <v>57</v>
      </c>
      <c r="F215" s="7" t="str">
        <f aca="false">IF('فصل الاعمال'!E9="","",'فصل الاعمال'!E9)</f>
        <v/>
      </c>
      <c r="G215" s="19" t="str">
        <f aca="false">IF('فصل الاعمال'!F9="","",'فصل الاعمال'!F9)</f>
        <v/>
      </c>
      <c r="H215" s="9" t="str">
        <f aca="false">IF(F215="","",ROUND(F215*G215,2))</f>
        <v/>
      </c>
      <c r="I215" s="9" t="str">
        <f aca="false">IF(F215="","",ROUND(H215*IF(N('فصل الاعمال'!G9)&gt;1,'فصل الاعمال'!G9-1,0),2))</f>
        <v/>
      </c>
      <c r="J215" s="9" t="n">
        <f aca="false">N('فصل الاعمال'!H9)</f>
        <v>0</v>
      </c>
      <c r="K215" s="9" t="n">
        <f aca="false">N('فصل الاعمال'!I9)</f>
        <v>500</v>
      </c>
    </row>
    <row r="216" customFormat="false" ht="15" hidden="false" customHeight="false" outlineLevel="0" collapsed="false">
      <c r="A216" s="17" t="s">
        <v>39</v>
      </c>
      <c r="B216" s="11" t="n">
        <f aca="false">'فصل الاعمال'!C10</f>
        <v>46306</v>
      </c>
      <c r="C216" s="17" t="str">
        <f aca="false">'فصل الاعمال'!D10</f>
        <v>سداد سند/11258</v>
      </c>
      <c r="D216" s="17"/>
      <c r="E216" s="7" t="s">
        <v>57</v>
      </c>
      <c r="F216" s="7" t="str">
        <f aca="false">IF('فصل الاعمال'!E10="","",'فصل الاعمال'!E10)</f>
        <v/>
      </c>
      <c r="G216" s="19" t="str">
        <f aca="false">IF('فصل الاعمال'!F10="","",'فصل الاعمال'!F10)</f>
        <v/>
      </c>
      <c r="H216" s="9" t="str">
        <f aca="false">IF(F216="","",ROUND(F216*G216,2))</f>
        <v/>
      </c>
      <c r="I216" s="9" t="str">
        <f aca="false">IF(F216="","",ROUND(H216*IF(N('فصل الاعمال'!G10)&gt;1,'فصل الاعمال'!G10-1,0),2))</f>
        <v/>
      </c>
      <c r="J216" s="9" t="n">
        <f aca="false">N('فصل الاعمال'!H10)</f>
        <v>0</v>
      </c>
      <c r="K216" s="9" t="n">
        <f aca="false">N('فصل الاعمال'!I10)</f>
        <v>500</v>
      </c>
    </row>
    <row r="217" customFormat="false" ht="15" hidden="false" customHeight="false" outlineLevel="0" collapsed="false">
      <c r="A217" s="17" t="s">
        <v>39</v>
      </c>
      <c r="B217" s="11" t="n">
        <f aca="false">'فصل الاعمال'!C11</f>
        <v>46309</v>
      </c>
      <c r="C217" s="17" t="str">
        <f aca="false">'فصل الاعمال'!D11</f>
        <v>سداد سند/11308</v>
      </c>
      <c r="D217" s="17"/>
      <c r="E217" s="7" t="s">
        <v>57</v>
      </c>
      <c r="F217" s="7" t="str">
        <f aca="false">IF('فصل الاعمال'!E11="","",'فصل الاعمال'!E11)</f>
        <v/>
      </c>
      <c r="G217" s="19" t="str">
        <f aca="false">IF('فصل الاعمال'!F11="","",'فصل الاعمال'!F11)</f>
        <v/>
      </c>
      <c r="H217" s="9" t="str">
        <f aca="false">IF(F217="","",ROUND(F217*G217,2))</f>
        <v/>
      </c>
      <c r="I217" s="9" t="str">
        <f aca="false">IF(F217="","",ROUND(H217*IF(N('فصل الاعمال'!G11)&gt;1,'فصل الاعمال'!G11-1,0),2))</f>
        <v/>
      </c>
      <c r="J217" s="9" t="n">
        <f aca="false">N('فصل الاعمال'!H11)</f>
        <v>0</v>
      </c>
      <c r="K217" s="9" t="n">
        <f aca="false">N('فصل الاعمال'!I11)</f>
        <v>500</v>
      </c>
    </row>
    <row r="218" customFormat="false" ht="15" hidden="false" customHeight="false" outlineLevel="0" collapsed="false">
      <c r="A218" s="17" t="s">
        <v>39</v>
      </c>
      <c r="B218" s="11" t="n">
        <f aca="false">'فصل الاعمال'!C12</f>
        <v>46313</v>
      </c>
      <c r="C218" s="17" t="str">
        <f aca="false">'فصل الاعمال'!D12</f>
        <v>سداد سند/11367</v>
      </c>
      <c r="D218" s="17"/>
      <c r="E218" s="7" t="s">
        <v>57</v>
      </c>
      <c r="F218" s="7" t="str">
        <f aca="false">IF('فصل الاعمال'!E12="","",'فصل الاعمال'!E12)</f>
        <v/>
      </c>
      <c r="G218" s="19" t="str">
        <f aca="false">IF('فصل الاعمال'!F12="","",'فصل الاعمال'!F12)</f>
        <v/>
      </c>
      <c r="H218" s="9" t="str">
        <f aca="false">IF(F218="","",ROUND(F218*G218,2))</f>
        <v/>
      </c>
      <c r="I218" s="9" t="str">
        <f aca="false">IF(F218="","",ROUND(H218*IF(N('فصل الاعمال'!G12)&gt;1,'فصل الاعمال'!G12-1,0),2))</f>
        <v/>
      </c>
      <c r="J218" s="9" t="n">
        <f aca="false">N('فصل الاعمال'!H12)</f>
        <v>0</v>
      </c>
      <c r="K218" s="9" t="n">
        <f aca="false">N('فصل الاعمال'!I12)</f>
        <v>500</v>
      </c>
    </row>
    <row r="219" customFormat="false" ht="15" hidden="false" customHeight="false" outlineLevel="0" collapsed="false">
      <c r="A219" s="17" t="s">
        <v>39</v>
      </c>
      <c r="B219" s="11" t="n">
        <f aca="false">'فصل الاعمال'!C13</f>
        <v>46315</v>
      </c>
      <c r="C219" s="17" t="str">
        <f aca="false">'فصل الاعمال'!D13</f>
        <v>سداد سند/11415</v>
      </c>
      <c r="D219" s="17"/>
      <c r="E219" s="7" t="s">
        <v>57</v>
      </c>
      <c r="F219" s="7" t="str">
        <f aca="false">IF('فصل الاعمال'!E13="","",'فصل الاعمال'!E13)</f>
        <v/>
      </c>
      <c r="G219" s="19" t="str">
        <f aca="false">IF('فصل الاعمال'!F13="","",'فصل الاعمال'!F13)</f>
        <v/>
      </c>
      <c r="H219" s="9" t="str">
        <f aca="false">IF(F219="","",ROUND(F219*G219,2))</f>
        <v/>
      </c>
      <c r="I219" s="9" t="str">
        <f aca="false">IF(F219="","",ROUND(H219*IF(N('فصل الاعمال'!G13)&gt;1,'فصل الاعمال'!G13-1,0),2))</f>
        <v/>
      </c>
      <c r="J219" s="9" t="n">
        <f aca="false">N('فصل الاعمال'!H13)</f>
        <v>0</v>
      </c>
      <c r="K219" s="9" t="n">
        <f aca="false">N('فصل الاعمال'!I13)</f>
        <v>500</v>
      </c>
    </row>
    <row r="220" customFormat="false" ht="15" hidden="false" customHeight="false" outlineLevel="0" collapsed="false">
      <c r="A220" s="17" t="s">
        <v>39</v>
      </c>
      <c r="B220" s="11" t="n">
        <f aca="false">'فصل الاعمال'!C14</f>
        <v>46317</v>
      </c>
      <c r="C220" s="17" t="str">
        <f aca="false">'فصل الاعمال'!D14</f>
        <v>سداد سند /11452</v>
      </c>
      <c r="D220" s="17"/>
      <c r="E220" s="7" t="s">
        <v>57</v>
      </c>
      <c r="F220" s="7" t="str">
        <f aca="false">IF('فصل الاعمال'!E14="","",'فصل الاعمال'!E14)</f>
        <v/>
      </c>
      <c r="G220" s="19" t="str">
        <f aca="false">IF('فصل الاعمال'!F14="","",'فصل الاعمال'!F14)</f>
        <v/>
      </c>
      <c r="H220" s="9" t="str">
        <f aca="false">IF(F220="","",ROUND(F220*G220,2))</f>
        <v/>
      </c>
      <c r="I220" s="9" t="str">
        <f aca="false">IF(F220="","",ROUND(H220*IF(N('فصل الاعمال'!G14)&gt;1,'فصل الاعمال'!G14-1,0),2))</f>
        <v/>
      </c>
      <c r="J220" s="9" t="n">
        <f aca="false">N('فصل الاعمال'!H14)</f>
        <v>0</v>
      </c>
      <c r="K220" s="9" t="n">
        <f aca="false">N('فصل الاعمال'!I14)</f>
        <v>1600</v>
      </c>
    </row>
    <row r="221" customFormat="false" ht="15" hidden="false" customHeight="false" outlineLevel="0" collapsed="false">
      <c r="A221" s="17" t="s">
        <v>39</v>
      </c>
      <c r="B221" s="11" t="n">
        <f aca="false">'فصل الاعمال'!C15</f>
        <v>46317</v>
      </c>
      <c r="C221" s="17" t="str">
        <f aca="false">'فصل الاعمال'!D15</f>
        <v>تم خصم 97</v>
      </c>
      <c r="D221" s="17"/>
      <c r="E221" s="7" t="s">
        <v>92</v>
      </c>
      <c r="F221" s="7" t="str">
        <f aca="false">IF('فصل الاعمال'!E15="","",'فصل الاعمال'!E15)</f>
        <v/>
      </c>
      <c r="G221" s="19" t="str">
        <f aca="false">IF('فصل الاعمال'!F15="","",'فصل الاعمال'!F15)</f>
        <v/>
      </c>
      <c r="H221" s="9" t="str">
        <f aca="false">IF(F221="","",ROUND(F221*G221,2))</f>
        <v/>
      </c>
      <c r="I221" s="9" t="str">
        <f aca="false">IF(F221="","",ROUND(H221*IF(N('فصل الاعمال'!G15)&gt;1,'فصل الاعمال'!G15-1,0),2))</f>
        <v/>
      </c>
      <c r="J221" s="9" t="n">
        <f aca="false">N('فصل الاعمال'!H15)</f>
        <v>0</v>
      </c>
      <c r="K221" s="9" t="n">
        <f aca="false">N('فصل الاعمال'!I15)</f>
        <v>97</v>
      </c>
    </row>
    <row r="222" customFormat="false" ht="15" hidden="false" customHeight="false" outlineLevel="0" collapsed="false">
      <c r="A222" s="17" t="s">
        <v>40</v>
      </c>
      <c r="B222" s="11" t="n">
        <f aca="false">'توت المتقدمة'!C7</f>
        <v>46312</v>
      </c>
      <c r="C222" s="17" t="str">
        <f aca="false">'توت المتقدمة'!D7</f>
        <v>تفاح سلة</v>
      </c>
      <c r="D222" s="17" t="s">
        <v>88</v>
      </c>
      <c r="E222" s="7" t="s">
        <v>59</v>
      </c>
      <c r="F222" s="18" t="n">
        <f aca="false">IF('توت المتقدمة'!E7="","",'توت المتقدمة'!E7)</f>
        <v>72</v>
      </c>
      <c r="G222" s="19" t="n">
        <f aca="false">IF('توت المتقدمة'!F7="","",'توت المتقدمة'!F7)</f>
        <v>50</v>
      </c>
      <c r="H222" s="9" t="n">
        <f aca="false">IF(F222="","",ROUND(F222*G222,2))</f>
        <v>3600</v>
      </c>
      <c r="I222" s="9" t="n">
        <f aca="false">IF(F222="","",ROUND(H222*IF(N('توت المتقدمة'!G7)&gt;1,'توت المتقدمة'!G7-1,0),2))</f>
        <v>540</v>
      </c>
      <c r="J222" s="9" t="n">
        <f aca="false">N('توت المتقدمة'!H7)</f>
        <v>4140</v>
      </c>
      <c r="K222" s="9" t="n">
        <f aca="false">N('توت المتقدمة'!I7)</f>
        <v>0</v>
      </c>
    </row>
    <row r="223" customFormat="false" ht="15" hidden="false" customHeight="false" outlineLevel="0" collapsed="false">
      <c r="A223" s="17" t="s">
        <v>40</v>
      </c>
      <c r="B223" s="11" t="n">
        <f aca="false">'توت المتقدمة'!C8</f>
        <v>46314</v>
      </c>
      <c r="C223" s="17" t="str">
        <f aca="false">'توت المتقدمة'!D8</f>
        <v>سداد سند/16204</v>
      </c>
      <c r="D223" s="17"/>
      <c r="E223" s="7" t="s">
        <v>57</v>
      </c>
      <c r="F223" s="7" t="str">
        <f aca="false">IF('توت المتقدمة'!E8="","",'توت المتقدمة'!E8)</f>
        <v/>
      </c>
      <c r="G223" s="19" t="str">
        <f aca="false">IF('توت المتقدمة'!F8="","",'توت المتقدمة'!F8)</f>
        <v/>
      </c>
      <c r="H223" s="9" t="str">
        <f aca="false">IF(F223="","",ROUND(F223*G223,2))</f>
        <v/>
      </c>
      <c r="I223" s="9" t="str">
        <f aca="false">IF(F223="","",ROUND(H223*IF(N('توت المتقدمة'!G8)&gt;1,'توت المتقدمة'!G8-1,0),2))</f>
        <v/>
      </c>
      <c r="J223" s="9" t="n">
        <f aca="false">N('توت المتقدمة'!H8)</f>
        <v>0</v>
      </c>
      <c r="K223" s="9" t="n">
        <f aca="false">N('توت المتقدمة'!I8)</f>
        <v>1000</v>
      </c>
    </row>
    <row r="224" customFormat="false" ht="15" hidden="false" customHeight="false" outlineLevel="0" collapsed="false">
      <c r="A224" s="17" t="s">
        <v>40</v>
      </c>
      <c r="B224" s="11" t="n">
        <f aca="false">'توت المتقدمة'!C9</f>
        <v>46316</v>
      </c>
      <c r="C224" s="17" t="str">
        <f aca="false">'توت المتقدمة'!D9</f>
        <v>سداد سند/16244</v>
      </c>
      <c r="D224" s="17"/>
      <c r="E224" s="7" t="s">
        <v>57</v>
      </c>
      <c r="F224" s="7" t="str">
        <f aca="false">IF('توت المتقدمة'!E9="","",'توت المتقدمة'!E9)</f>
        <v/>
      </c>
      <c r="G224" s="19" t="str">
        <f aca="false">IF('توت المتقدمة'!F9="","",'توت المتقدمة'!F9)</f>
        <v/>
      </c>
      <c r="H224" s="9" t="str">
        <f aca="false">IF(F224="","",ROUND(F224*G224,2))</f>
        <v/>
      </c>
      <c r="I224" s="9" t="str">
        <f aca="false">IF(F224="","",ROUND(H224*IF(N('توت المتقدمة'!G9)&gt;1,'توت المتقدمة'!G9-1,0),2))</f>
        <v/>
      </c>
      <c r="J224" s="9" t="n">
        <f aca="false">N('توت المتقدمة'!H9)</f>
        <v>0</v>
      </c>
      <c r="K224" s="9" t="n">
        <f aca="false">N('توت المتقدمة'!I9)</f>
        <v>1000</v>
      </c>
    </row>
    <row r="225" customFormat="false" ht="15" hidden="false" customHeight="false" outlineLevel="0" collapsed="false">
      <c r="A225" s="17" t="s">
        <v>40</v>
      </c>
      <c r="B225" s="11" t="n">
        <f aca="false">'توت المتقدمة'!C10</f>
        <v>46318</v>
      </c>
      <c r="C225" s="17" t="str">
        <f aca="false">'توت المتقدمة'!D10</f>
        <v>سداد سند/16283</v>
      </c>
      <c r="D225" s="17"/>
      <c r="E225" s="7" t="s">
        <v>57</v>
      </c>
      <c r="F225" s="7" t="str">
        <f aca="false">IF('توت المتقدمة'!E10="","",'توت المتقدمة'!E10)</f>
        <v/>
      </c>
      <c r="G225" s="19" t="str">
        <f aca="false">IF('توت المتقدمة'!F10="","",'توت المتقدمة'!F10)</f>
        <v/>
      </c>
      <c r="H225" s="9" t="str">
        <f aca="false">IF(F225="","",ROUND(F225*G225,2))</f>
        <v/>
      </c>
      <c r="I225" s="9" t="str">
        <f aca="false">IF(F225="","",ROUND(H225*IF(N('توت المتقدمة'!G10)&gt;1,'توت المتقدمة'!G10-1,0),2))</f>
        <v/>
      </c>
      <c r="J225" s="9" t="n">
        <f aca="false">N('توت المتقدمة'!H10)</f>
        <v>0</v>
      </c>
      <c r="K225" s="9" t="n">
        <f aca="false">N('توت المتقدمة'!I10)</f>
        <v>1000</v>
      </c>
    </row>
    <row r="226" customFormat="false" ht="15" hidden="false" customHeight="false" outlineLevel="0" collapsed="false">
      <c r="A226" s="17" t="s">
        <v>40</v>
      </c>
      <c r="B226" s="11" t="n">
        <f aca="false">'توت المتقدمة'!C11</f>
        <v>46320</v>
      </c>
      <c r="C226" s="17" t="str">
        <f aca="false">'توت المتقدمة'!D11</f>
        <v>سداد سند/16317</v>
      </c>
      <c r="D226" s="17"/>
      <c r="E226" s="7" t="s">
        <v>57</v>
      </c>
      <c r="F226" s="7" t="str">
        <f aca="false">IF('توت المتقدمة'!E11="","",'توت المتقدمة'!E11)</f>
        <v/>
      </c>
      <c r="G226" s="19" t="str">
        <f aca="false">IF('توت المتقدمة'!F11="","",'توت المتقدمة'!F11)</f>
        <v/>
      </c>
      <c r="H226" s="9" t="str">
        <f aca="false">IF(F226="","",ROUND(F226*G226,2))</f>
        <v/>
      </c>
      <c r="I226" s="9" t="str">
        <f aca="false">IF(F226="","",ROUND(H226*IF(N('توت المتقدمة'!G11)&gt;1,'توت المتقدمة'!G11-1,0),2))</f>
        <v/>
      </c>
      <c r="J226" s="9" t="n">
        <f aca="false">N('توت المتقدمة'!H11)</f>
        <v>0</v>
      </c>
      <c r="K226" s="9" t="n">
        <f aca="false">N('توت المتقدمة'!I11)</f>
        <v>1000</v>
      </c>
    </row>
    <row r="227" customFormat="false" ht="15" hidden="false" customHeight="false" outlineLevel="0" collapsed="false">
      <c r="A227" s="17" t="s">
        <v>40</v>
      </c>
      <c r="B227" s="11" t="n">
        <f aca="false">'توت المتقدمة'!C12</f>
        <v>46321</v>
      </c>
      <c r="C227" s="17" t="str">
        <f aca="false">'توت المتقدمة'!D12</f>
        <v>سداد سند/16333</v>
      </c>
      <c r="D227" s="17"/>
      <c r="E227" s="7" t="s">
        <v>57</v>
      </c>
      <c r="F227" s="7" t="str">
        <f aca="false">IF('توت المتقدمة'!E12="","",'توت المتقدمة'!E12)</f>
        <v/>
      </c>
      <c r="G227" s="19" t="str">
        <f aca="false">IF('توت المتقدمة'!F12="","",'توت المتقدمة'!F12)</f>
        <v/>
      </c>
      <c r="H227" s="9" t="str">
        <f aca="false">IF(F227="","",ROUND(F227*G227,2))</f>
        <v/>
      </c>
      <c r="I227" s="9" t="str">
        <f aca="false">IF(F227="","",ROUND(H227*IF(N('توت المتقدمة'!G12)&gt;1,'توت المتقدمة'!G12-1,0),2))</f>
        <v/>
      </c>
      <c r="J227" s="9" t="n">
        <f aca="false">N('توت المتقدمة'!H12)</f>
        <v>0</v>
      </c>
      <c r="K227" s="9" t="n">
        <f aca="false">N('توت المتقدمة'!I12)</f>
        <v>140</v>
      </c>
    </row>
    <row r="228" customFormat="false" ht="15" hidden="false" customHeight="false" outlineLevel="0" collapsed="false">
      <c r="A228" s="17" t="s">
        <v>41</v>
      </c>
      <c r="B228" s="11" t="n">
        <f aca="false">حمدان!C7</f>
        <v>46304</v>
      </c>
      <c r="C228" s="17" t="str">
        <f aca="false">حمدان!D7</f>
        <v>رمان مصري</v>
      </c>
      <c r="D228" s="17" t="s">
        <v>87</v>
      </c>
      <c r="E228" s="7" t="s">
        <v>59</v>
      </c>
      <c r="F228" s="18" t="n">
        <f aca="false">IF(حمدان!E7="","",حمدان!E7)</f>
        <v>200</v>
      </c>
      <c r="G228" s="19" t="n">
        <f aca="false">IF(حمدان!F7="","",حمدان!F7)</f>
        <v>10</v>
      </c>
      <c r="H228" s="9" t="n">
        <f aca="false">IF(F228="","",ROUND(F228*G228,2))</f>
        <v>2000</v>
      </c>
      <c r="I228" s="9" t="n">
        <f aca="false">IF(F228="","",ROUND(H228*IF(N(حمدان!G7)&gt;1,حمدان!G7-1,0),2))</f>
        <v>300</v>
      </c>
      <c r="J228" s="9" t="n">
        <f aca="false">N(حمدان!H7)</f>
        <v>2300</v>
      </c>
      <c r="K228" s="9" t="n">
        <f aca="false">N(حمدان!I7)</f>
        <v>0</v>
      </c>
    </row>
    <row r="229" customFormat="false" ht="15" hidden="false" customHeight="false" outlineLevel="0" collapsed="false">
      <c r="A229" s="17" t="s">
        <v>41</v>
      </c>
      <c r="B229" s="11" t="n">
        <f aca="false">حمدان!C8</f>
        <v>46306</v>
      </c>
      <c r="C229" s="17" t="str">
        <f aca="false">حمدان!D8</f>
        <v>سداد رمان مصري</v>
      </c>
      <c r="D229" s="17"/>
      <c r="E229" s="7" t="s">
        <v>57</v>
      </c>
      <c r="F229" s="7" t="str">
        <f aca="false">IF(حمدان!E8="","",حمدان!E8)</f>
        <v/>
      </c>
      <c r="G229" s="19" t="str">
        <f aca="false">IF(حمدان!F8="","",حمدان!F8)</f>
        <v/>
      </c>
      <c r="H229" s="9" t="str">
        <f aca="false">IF(F229="","",ROUND(F229*G229,2))</f>
        <v/>
      </c>
      <c r="I229" s="9" t="str">
        <f aca="false">IF(F229="","",ROUND(H229*IF(N(حمدان!G8)&gt;1,حمدان!G8-1,0),2))</f>
        <v/>
      </c>
      <c r="J229" s="9" t="n">
        <f aca="false">N(حمدان!H8)</f>
        <v>0</v>
      </c>
      <c r="K229" s="9" t="n">
        <f aca="false">N(حمدان!I8)</f>
        <v>2300</v>
      </c>
    </row>
    <row r="230" customFormat="false" ht="15" hidden="false" customHeight="false" outlineLevel="0" collapsed="false">
      <c r="A230" s="12" t="s">
        <v>42</v>
      </c>
      <c r="H230" s="14" t="n">
        <f aca="false">SUM(H4:H229)</f>
        <v>292275</v>
      </c>
      <c r="I230" s="14" t="n">
        <f aca="false">SUM(I4:I229)</f>
        <v>40052.85</v>
      </c>
      <c r="J230" s="14" t="n">
        <f aca="false">SUM(J4:J229)</f>
        <v>325230.1</v>
      </c>
      <c r="K230" s="14" t="n">
        <f aca="false">SUM(K4:K229)</f>
        <v>227481.3</v>
      </c>
    </row>
  </sheetData>
  <autoFilter ref="A3:K229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K3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2"/>
  </cols>
  <sheetData>
    <row r="1" customFormat="false" ht="17.35" hidden="false" customHeight="true" outlineLevel="0" collapsed="false">
      <c r="A1" s="15" t="s">
        <v>96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5" hidden="false" customHeight="false" outlineLevel="0" collapsed="false">
      <c r="A2" s="16" t="s">
        <v>97</v>
      </c>
      <c r="B2" s="16"/>
      <c r="C2" s="16"/>
      <c r="D2" s="16"/>
      <c r="E2" s="16"/>
      <c r="F2" s="16"/>
      <c r="G2" s="16"/>
      <c r="H2" s="16"/>
      <c r="I2" s="16"/>
      <c r="J2" s="16"/>
    </row>
    <row r="3" customFormat="false" ht="15" hidden="false" customHeight="false" outlineLevel="0" collapsed="false">
      <c r="A3" s="6" t="s">
        <v>8</v>
      </c>
      <c r="B3" s="6" t="s">
        <v>98</v>
      </c>
      <c r="C3" s="6" t="s">
        <v>99</v>
      </c>
      <c r="D3" s="6" t="s">
        <v>10</v>
      </c>
      <c r="E3" s="6" t="s">
        <v>100</v>
      </c>
      <c r="F3" s="6" t="s">
        <v>52</v>
      </c>
      <c r="G3" s="6" t="s">
        <v>42</v>
      </c>
      <c r="H3" s="6" t="s">
        <v>101</v>
      </c>
      <c r="I3" s="6" t="s">
        <v>102</v>
      </c>
      <c r="J3" s="6" t="s">
        <v>103</v>
      </c>
      <c r="K3" s="6" t="s">
        <v>104</v>
      </c>
    </row>
    <row r="4" customFormat="false" ht="15" hidden="false" customHeight="false" outlineLevel="0" collapsed="false">
      <c r="A4" s="7" t="n">
        <v>1</v>
      </c>
      <c r="B4" s="17" t="s">
        <v>63</v>
      </c>
      <c r="C4" s="20" t="n">
        <f aca="false">SUMIFS('سجل الحركات'!$F$4:$F$229,'سجل الحركات'!$D$4:$D$229,B4,'سجل الحركات'!$E$4:$E$229,"بضاعة")</f>
        <v>835</v>
      </c>
      <c r="D4" s="21" t="n">
        <f aca="false">COUNTIFS('سجل الحركات'!$D$4:$D$229,B4,'سجل الحركات'!$E$4:$E$229,"بضاعة")</f>
        <v>22</v>
      </c>
      <c r="E4" s="9" t="n">
        <f aca="false">SUMIFS('سجل الحركات'!$H$4:$H$229,'سجل الحركات'!$D$4:$D$229,B4,'سجل الحركات'!$E$4:$E$229,"بضاعة")</f>
        <v>82715</v>
      </c>
      <c r="F4" s="9" t="n">
        <f aca="false">SUMIFS('سجل الحركات'!$I$4:$I$229,'سجل الحركات'!$D$4:$D$229,B4,'سجل الحركات'!$E$4:$E$229,"بضاعة")</f>
        <v>11637</v>
      </c>
      <c r="G4" s="9" t="n">
        <f aca="false">E4+F4</f>
        <v>94352</v>
      </c>
      <c r="H4" s="19" t="n">
        <f aca="false">IF(C4=0,"",E4/C4)</f>
        <v>99.059880239521</v>
      </c>
      <c r="I4" s="19" t="n">
        <f aca="false">_xlfn.MINIFS('سجل الحركات'!$G$4:$G$229,'سجل الحركات'!$D$4:$D$229,B4,'سجل الحركات'!$E$4:$E$229,"بضاعة")</f>
        <v>61</v>
      </c>
      <c r="J4" s="19" t="n">
        <f aca="false">_xlfn.MAXIFS('سجل الحركات'!$G$4:$G$229,'سجل الحركات'!$D$4:$D$229,B4,'سجل الحركات'!$E$4:$E$229,"بضاعة")</f>
        <v>120</v>
      </c>
      <c r="K4" s="22" t="n">
        <f aca="false">IF($G$37=0,"",G4/$G$37)</f>
        <v>0.29016197983763</v>
      </c>
    </row>
    <row r="5" customFormat="false" ht="15" hidden="false" customHeight="false" outlineLevel="0" collapsed="false">
      <c r="A5" s="7" t="n">
        <v>2</v>
      </c>
      <c r="B5" s="17" t="s">
        <v>67</v>
      </c>
      <c r="C5" s="20" t="n">
        <f aca="false">SUMIFS('سجل الحركات'!$F$4:$F$229,'سجل الحركات'!$D$4:$D$229,B5,'سجل الحركات'!$E$4:$E$229,"بضاعة")</f>
        <v>1766</v>
      </c>
      <c r="D5" s="21" t="n">
        <f aca="false">COUNTIFS('سجل الحركات'!$D$4:$D$229,B5,'سجل الحركات'!$E$4:$E$229,"بضاعة")</f>
        <v>9</v>
      </c>
      <c r="E5" s="9" t="n">
        <f aca="false">SUMIFS('سجل الحركات'!$H$4:$H$229,'سجل الحركات'!$D$4:$D$229,B5,'سجل الحركات'!$E$4:$E$229,"بضاعة")</f>
        <v>27921</v>
      </c>
      <c r="F5" s="9" t="n">
        <f aca="false">SUMIFS('سجل الحركات'!$I$4:$I$229,'سجل الحركات'!$D$4:$D$229,B5,'سجل الحركات'!$E$4:$E$229,"بضاعة")</f>
        <v>4188.15</v>
      </c>
      <c r="G5" s="9" t="n">
        <f aca="false">E5+F5</f>
        <v>32109.15</v>
      </c>
      <c r="H5" s="19" t="n">
        <f aca="false">IF(C5=0,"",E5/C5)</f>
        <v>15.8103057757644</v>
      </c>
      <c r="I5" s="19" t="n">
        <f aca="false">_xlfn.MINIFS('سجل الحركات'!$G$4:$G$229,'سجل الحركات'!$D$4:$D$229,B5,'سجل الحركات'!$E$4:$E$229,"بضاعة")</f>
        <v>15</v>
      </c>
      <c r="J5" s="19" t="n">
        <f aca="false">_xlfn.MAXIFS('سجل الحركات'!$G$4:$G$229,'سجل الحركات'!$D$4:$D$229,B5,'سجل الحركات'!$E$4:$E$229,"بضاعة")</f>
        <v>17</v>
      </c>
      <c r="K5" s="22" t="n">
        <f aca="false">IF($G$37=0,"",G5/$G$37)</f>
        <v>0.0987457026337908</v>
      </c>
    </row>
    <row r="6" customFormat="false" ht="15" hidden="false" customHeight="false" outlineLevel="0" collapsed="false">
      <c r="A6" s="7" t="n">
        <v>3</v>
      </c>
      <c r="B6" s="17" t="s">
        <v>89</v>
      </c>
      <c r="C6" s="20" t="n">
        <f aca="false">SUMIFS('سجل الحركات'!$F$4:$F$229,'سجل الحركات'!$D$4:$D$229,B6,'سجل الحركات'!$E$4:$E$229,"بضاعة")</f>
        <v>304</v>
      </c>
      <c r="D6" s="21" t="n">
        <f aca="false">COUNTIFS('سجل الحركات'!$D$4:$D$229,B6,'سجل الحركات'!$E$4:$E$229,"بضاعة")</f>
        <v>4</v>
      </c>
      <c r="E6" s="9" t="n">
        <f aca="false">SUMIFS('سجل الحركات'!$H$4:$H$229,'سجل الحركات'!$D$4:$D$229,B6,'سجل الحركات'!$E$4:$E$229,"بضاعة")</f>
        <v>21280</v>
      </c>
      <c r="F6" s="9" t="n">
        <f aca="false">SUMIFS('سجل الحركات'!$I$4:$I$229,'سجل الحركات'!$D$4:$D$229,B6,'سجل الحركات'!$E$4:$E$229,"بضاعة")</f>
        <v>3192</v>
      </c>
      <c r="G6" s="9" t="n">
        <f aca="false">E6+F6</f>
        <v>24472</v>
      </c>
      <c r="H6" s="19" t="n">
        <f aca="false">IF(C6=0,"",E6/C6)</f>
        <v>70</v>
      </c>
      <c r="I6" s="19" t="n">
        <f aca="false">_xlfn.MINIFS('سجل الحركات'!$G$4:$G$229,'سجل الحركات'!$D$4:$D$229,B6,'سجل الحركات'!$E$4:$E$229,"بضاعة")</f>
        <v>70</v>
      </c>
      <c r="J6" s="19" t="n">
        <f aca="false">_xlfn.MAXIFS('سجل الحركات'!$G$4:$G$229,'سجل الحركات'!$D$4:$D$229,B6,'سجل الحركات'!$E$4:$E$229,"بضاعة")</f>
        <v>70</v>
      </c>
      <c r="K6" s="22" t="n">
        <f aca="false">IF($G$37=0,"",G6/$G$37)</f>
        <v>0.0752590720979574</v>
      </c>
    </row>
    <row r="7" customFormat="false" ht="15" hidden="false" customHeight="false" outlineLevel="0" collapsed="false">
      <c r="A7" s="7" t="n">
        <v>4</v>
      </c>
      <c r="B7" s="17" t="s">
        <v>60</v>
      </c>
      <c r="C7" s="20" t="n">
        <f aca="false">SUMIFS('سجل الحركات'!$F$4:$F$229,'سجل الحركات'!$D$4:$D$229,B7,'سجل الحركات'!$E$4:$E$229,"بضاعة")</f>
        <v>345</v>
      </c>
      <c r="D7" s="21" t="n">
        <f aca="false">COUNTIFS('سجل الحركات'!$D$4:$D$229,B7,'سجل الحركات'!$E$4:$E$229,"بضاعة")</f>
        <v>6</v>
      </c>
      <c r="E7" s="9" t="n">
        <f aca="false">SUMIFS('سجل الحركات'!$H$4:$H$229,'سجل الحركات'!$D$4:$D$229,B7,'سجل الحركات'!$E$4:$E$229,"بضاعة")</f>
        <v>20760</v>
      </c>
      <c r="F7" s="9" t="n">
        <f aca="false">SUMIFS('سجل الحركات'!$I$4:$I$229,'سجل الحركات'!$D$4:$D$229,B7,'سجل الحركات'!$E$4:$E$229,"بضاعة")</f>
        <v>3114</v>
      </c>
      <c r="G7" s="9" t="n">
        <f aca="false">E7+F7</f>
        <v>23874</v>
      </c>
      <c r="H7" s="19" t="n">
        <f aca="false">IF(C7=0,"",E7/C7)</f>
        <v>60.1739130434783</v>
      </c>
      <c r="I7" s="19" t="n">
        <f aca="false">_xlfn.MINIFS('سجل الحركات'!$G$4:$G$229,'سجل الحركات'!$D$4:$D$229,B7,'سجل الحركات'!$E$4:$E$229,"بضاعة")</f>
        <v>50</v>
      </c>
      <c r="J7" s="19" t="n">
        <f aca="false">_xlfn.MAXIFS('سجل الحركات'!$G$4:$G$229,'سجل الحركات'!$D$4:$D$229,B7,'سجل الحركات'!$E$4:$E$229,"بضاعة")</f>
        <v>65</v>
      </c>
      <c r="K7" s="22" t="n">
        <f aca="false">IF($G$37=0,"",G7/$G$37)</f>
        <v>0.0734200346218795</v>
      </c>
    </row>
    <row r="8" customFormat="false" ht="15" hidden="false" customHeight="false" outlineLevel="0" collapsed="false">
      <c r="A8" s="7" t="n">
        <v>5</v>
      </c>
      <c r="B8" s="17" t="s">
        <v>62</v>
      </c>
      <c r="C8" s="20" t="n">
        <f aca="false">SUMIFS('سجل الحركات'!$F$4:$F$229,'سجل الحركات'!$D$4:$D$229,B8,'سجل الحركات'!$E$4:$E$229,"بضاعة")</f>
        <v>662</v>
      </c>
      <c r="D8" s="21" t="n">
        <f aca="false">COUNTIFS('سجل الحركات'!$D$4:$D$229,B8,'سجل الحركات'!$E$4:$E$229,"بضاعة")</f>
        <v>7</v>
      </c>
      <c r="E8" s="9" t="n">
        <f aca="false">SUMIFS('سجل الحركات'!$H$4:$H$229,'سجل الحركات'!$D$4:$D$229,B8,'سجل الحركات'!$E$4:$E$229,"بضاعة")</f>
        <v>18361</v>
      </c>
      <c r="F8" s="9" t="n">
        <f aca="false">SUMIFS('سجل الحركات'!$I$4:$I$229,'سجل الحركات'!$D$4:$D$229,B8,'سجل الحركات'!$E$4:$E$229,"بضاعة")</f>
        <v>2754.15</v>
      </c>
      <c r="G8" s="9" t="n">
        <f aca="false">E8+F8</f>
        <v>21115.15</v>
      </c>
      <c r="H8" s="19" t="n">
        <f aca="false">IF(C8=0,"",E8/C8)</f>
        <v>27.7356495468278</v>
      </c>
      <c r="I8" s="19" t="n">
        <f aca="false">_xlfn.MINIFS('سجل الحركات'!$G$4:$G$229,'سجل الحركات'!$D$4:$D$229,B8,'سجل الحركات'!$E$4:$E$229,"بضاعة")</f>
        <v>20</v>
      </c>
      <c r="J8" s="19" t="n">
        <f aca="false">_xlfn.MAXIFS('سجل الحركات'!$G$4:$G$229,'سجل الحركات'!$D$4:$D$229,B8,'سجل الحركات'!$E$4:$E$229,"بضاعة")</f>
        <v>40</v>
      </c>
      <c r="K8" s="22" t="n">
        <f aca="false">IF($G$37=0,"",G8/$G$37)</f>
        <v>0.0649357059582047</v>
      </c>
    </row>
    <row r="9" customFormat="false" ht="15" hidden="false" customHeight="false" outlineLevel="0" collapsed="false">
      <c r="A9" s="7" t="n">
        <v>6</v>
      </c>
      <c r="B9" s="17" t="s">
        <v>87</v>
      </c>
      <c r="C9" s="20" t="n">
        <f aca="false">SUMIFS('سجل الحركات'!$F$4:$F$229,'سجل الحركات'!$D$4:$D$229,B9,'سجل الحركات'!$E$4:$E$229,"بضاعة")</f>
        <v>1481</v>
      </c>
      <c r="D9" s="21" t="n">
        <f aca="false">COUNTIFS('سجل الحركات'!$D$4:$D$229,B9,'سجل الحركات'!$E$4:$E$229,"بضاعة")</f>
        <v>10</v>
      </c>
      <c r="E9" s="9" t="n">
        <f aca="false">SUMIFS('سجل الحركات'!$H$4:$H$229,'سجل الحركات'!$D$4:$D$229,B9,'سجل الحركات'!$E$4:$E$229,"بضاعة")</f>
        <v>15484</v>
      </c>
      <c r="F9" s="9" t="n">
        <f aca="false">SUMIFS('سجل الحركات'!$I$4:$I$229,'سجل الحركات'!$D$4:$D$229,B9,'سجل الحركات'!$E$4:$E$229,"بضاعة")</f>
        <v>2157</v>
      </c>
      <c r="G9" s="9" t="n">
        <f aca="false">E9+F9</f>
        <v>17641</v>
      </c>
      <c r="H9" s="19" t="n">
        <f aca="false">IF(C9=0,"",E9/C9)</f>
        <v>10.4550979068197</v>
      </c>
      <c r="I9" s="19" t="n">
        <f aca="false">_xlfn.MINIFS('سجل الحركات'!$G$4:$G$229,'سجل الحركات'!$D$4:$D$229,B9,'سجل الحركات'!$E$4:$E$229,"بضاعة")</f>
        <v>10</v>
      </c>
      <c r="J9" s="19" t="n">
        <f aca="false">_xlfn.MAXIFS('سجل الحركات'!$G$4:$G$229,'سجل الحركات'!$D$4:$D$229,B9,'سجل الحركات'!$E$4:$E$229,"بضاعة")</f>
        <v>11.5</v>
      </c>
      <c r="K9" s="22" t="n">
        <f aca="false">IF($G$37=0,"",G9/$G$37)</f>
        <v>0.0542516055442982</v>
      </c>
    </row>
    <row r="10" customFormat="false" ht="15" hidden="false" customHeight="false" outlineLevel="0" collapsed="false">
      <c r="A10" s="7" t="n">
        <v>7</v>
      </c>
      <c r="B10" s="17" t="s">
        <v>74</v>
      </c>
      <c r="C10" s="20" t="n">
        <f aca="false">SUMIFS('سجل الحركات'!$F$4:$F$229,'سجل الحركات'!$D$4:$D$229,B10,'سجل الحركات'!$E$4:$E$229,"بضاعة")</f>
        <v>849</v>
      </c>
      <c r="D10" s="21" t="n">
        <f aca="false">COUNTIFS('سجل الحركات'!$D$4:$D$229,B10,'سجل الحركات'!$E$4:$E$229,"بضاعة")</f>
        <v>5</v>
      </c>
      <c r="E10" s="9" t="n">
        <f aca="false">SUMIFS('سجل الحركات'!$H$4:$H$229,'سجل الحركات'!$D$4:$D$229,B10,'سجل الحركات'!$E$4:$E$229,"بضاعة")</f>
        <v>13680</v>
      </c>
      <c r="F10" s="9" t="n">
        <f aca="false">SUMIFS('سجل الحركات'!$I$4:$I$229,'سجل الحركات'!$D$4:$D$229,B10,'سجل الحركات'!$E$4:$E$229,"بضاعة")</f>
        <v>2052</v>
      </c>
      <c r="G10" s="9" t="n">
        <f aca="false">E10+F10</f>
        <v>15732</v>
      </c>
      <c r="H10" s="19" t="n">
        <f aca="false">IF(C10=0,"",E10/C10)</f>
        <v>16.113074204947</v>
      </c>
      <c r="I10" s="19" t="n">
        <f aca="false">_xlfn.MINIFS('سجل الحركات'!$G$4:$G$229,'سجل الحركات'!$D$4:$D$229,B10,'سجل الحركات'!$E$4:$E$229,"بضاعة")</f>
        <v>16</v>
      </c>
      <c r="J10" s="19" t="n">
        <f aca="false">_xlfn.MAXIFS('سجل الحركات'!$G$4:$G$229,'سجل الحركات'!$D$4:$D$229,B10,'سجل الحركات'!$E$4:$E$229,"بضاعة")</f>
        <v>20</v>
      </c>
      <c r="K10" s="22" t="n">
        <f aca="false">IF($G$37=0,"",G10/$G$37)</f>
        <v>0.0483808320629726</v>
      </c>
    </row>
    <row r="11" customFormat="false" ht="15" hidden="false" customHeight="false" outlineLevel="0" collapsed="false">
      <c r="A11" s="7" t="n">
        <v>8</v>
      </c>
      <c r="B11" s="17" t="s">
        <v>61</v>
      </c>
      <c r="C11" s="20" t="n">
        <f aca="false">SUMIFS('سجل الحركات'!$F$4:$F$229,'سجل الحركات'!$D$4:$D$229,B11,'سجل الحركات'!$E$4:$E$229,"بضاعة")</f>
        <v>159</v>
      </c>
      <c r="D11" s="21" t="n">
        <f aca="false">COUNTIFS('سجل الحركات'!$D$4:$D$229,B11,'سجل الحركات'!$E$4:$E$229,"بضاعة")</f>
        <v>2</v>
      </c>
      <c r="E11" s="9" t="n">
        <f aca="false">SUMIFS('سجل الحركات'!$H$4:$H$229,'سجل الحركات'!$D$4:$D$229,B11,'سجل الحركات'!$E$4:$E$229,"بضاعة")</f>
        <v>12635</v>
      </c>
      <c r="F11" s="9" t="n">
        <f aca="false">SUMIFS('سجل الحركات'!$I$4:$I$229,'سجل الحركات'!$D$4:$D$229,B11,'سجل الحركات'!$E$4:$E$229,"بضاعة")</f>
        <v>1895.25</v>
      </c>
      <c r="G11" s="9" t="n">
        <f aca="false">E11+F11</f>
        <v>14530.25</v>
      </c>
      <c r="H11" s="19" t="n">
        <f aca="false">IF(C11=0,"",E11/C11)</f>
        <v>79.4654088050314</v>
      </c>
      <c r="I11" s="19" t="n">
        <f aca="false">_xlfn.MINIFS('سجل الحركات'!$G$4:$G$229,'سجل الحركات'!$D$4:$D$229,B11,'سجل الحركات'!$E$4:$E$229,"بضاعة")</f>
        <v>74</v>
      </c>
      <c r="J11" s="19" t="n">
        <f aca="false">_xlfn.MAXIFS('سجل الحركات'!$G$4:$G$229,'سجل الحركات'!$D$4:$D$229,B11,'سجل الحركات'!$E$4:$E$229,"بضاعة")</f>
        <v>85</v>
      </c>
      <c r="K11" s="22" t="n">
        <f aca="false">IF($G$37=0,"",G11/$G$37)</f>
        <v>0.0446850740581622</v>
      </c>
    </row>
    <row r="12" customFormat="false" ht="15" hidden="false" customHeight="false" outlineLevel="0" collapsed="false">
      <c r="A12" s="7" t="n">
        <v>9</v>
      </c>
      <c r="B12" s="17" t="s">
        <v>88</v>
      </c>
      <c r="C12" s="20" t="n">
        <f aca="false">SUMIFS('سجل الحركات'!$F$4:$F$229,'سجل الحركات'!$D$4:$D$229,B12,'سجل الحركات'!$E$4:$E$229,"بضاعة")</f>
        <v>280</v>
      </c>
      <c r="D12" s="21" t="n">
        <f aca="false">COUNTIFS('سجل الحركات'!$D$4:$D$229,B12,'سجل الحركات'!$E$4:$E$229,"بضاعة")</f>
        <v>4</v>
      </c>
      <c r="E12" s="9" t="n">
        <f aca="false">SUMIFS('سجل الحركات'!$H$4:$H$229,'سجل الحركات'!$D$4:$D$229,B12,'سجل الحركات'!$E$4:$E$229,"بضاعة")</f>
        <v>12406</v>
      </c>
      <c r="F12" s="9" t="n">
        <f aca="false">SUMIFS('سجل الحركات'!$I$4:$I$229,'سجل الحركات'!$D$4:$D$229,B12,'سجل الحركات'!$E$4:$E$229,"بضاعة")</f>
        <v>1860.9</v>
      </c>
      <c r="G12" s="9" t="n">
        <f aca="false">E12+F12</f>
        <v>14266.9</v>
      </c>
      <c r="H12" s="19" t="n">
        <f aca="false">IF(C12=0,"",E12/C12)</f>
        <v>44.3071428571429</v>
      </c>
      <c r="I12" s="19" t="n">
        <f aca="false">_xlfn.MINIFS('سجل الحركات'!$G$4:$G$229,'سجل الحركات'!$D$4:$D$229,B12,'سجل الحركات'!$E$4:$E$229,"بضاعة")</f>
        <v>42</v>
      </c>
      <c r="J12" s="19" t="n">
        <f aca="false">_xlfn.MAXIFS('سجل الحركات'!$G$4:$G$229,'سجل الحركات'!$D$4:$D$229,B12,'سجل الحركات'!$E$4:$E$229,"بضاعة")</f>
        <v>50</v>
      </c>
      <c r="K12" s="22" t="n">
        <f aca="false">IF($G$37=0,"",G12/$G$37)</f>
        <v>0.0438751902465817</v>
      </c>
    </row>
    <row r="13" customFormat="false" ht="15" hidden="false" customHeight="false" outlineLevel="0" collapsed="false">
      <c r="A13" s="7" t="n">
        <v>10</v>
      </c>
      <c r="B13" s="17" t="s">
        <v>58</v>
      </c>
      <c r="C13" s="20" t="n">
        <f aca="false">SUMIFS('سجل الحركات'!$F$4:$F$229,'سجل الحركات'!$D$4:$D$229,B13,'سجل الحركات'!$E$4:$E$229,"بضاعة")</f>
        <v>270</v>
      </c>
      <c r="D13" s="21" t="n">
        <f aca="false">COUNTIFS('سجل الحركات'!$D$4:$D$229,B13,'سجل الحركات'!$E$4:$E$229,"بضاعة")</f>
        <v>3</v>
      </c>
      <c r="E13" s="9" t="n">
        <f aca="false">SUMIFS('سجل الحركات'!$H$4:$H$229,'سجل الحركات'!$D$4:$D$229,B13,'سجل الحركات'!$E$4:$E$229,"بضاعة")</f>
        <v>8650</v>
      </c>
      <c r="F13" s="9" t="n">
        <f aca="false">SUMIFS('سجل الحركات'!$I$4:$I$229,'سجل الحركات'!$D$4:$D$229,B13,'سجل الحركات'!$E$4:$E$229,"بضاعة")</f>
        <v>1297.5</v>
      </c>
      <c r="G13" s="9" t="n">
        <f aca="false">E13+F13</f>
        <v>9947.5</v>
      </c>
      <c r="H13" s="19" t="n">
        <f aca="false">IF(C13=0,"",E13/C13)</f>
        <v>32.037037037037</v>
      </c>
      <c r="I13" s="19" t="n">
        <f aca="false">_xlfn.MINIFS('سجل الحركات'!$G$4:$G$229,'سجل الحركات'!$D$4:$D$229,B13,'سجل الحركات'!$E$4:$E$229,"بضاعة")</f>
        <v>25</v>
      </c>
      <c r="J13" s="19" t="n">
        <f aca="false">_xlfn.MAXIFS('سجل الحركات'!$G$4:$G$229,'سجل الحركات'!$D$4:$D$229,B13,'سجل الحركات'!$E$4:$E$229,"بضاعة")</f>
        <v>45</v>
      </c>
      <c r="K13" s="22" t="n">
        <f aca="false">IF($G$37=0,"",G13/$G$37)</f>
        <v>0.0305916810924498</v>
      </c>
    </row>
    <row r="14" customFormat="false" ht="15" hidden="false" customHeight="false" outlineLevel="0" collapsed="false">
      <c r="A14" s="7" t="n">
        <v>11</v>
      </c>
      <c r="B14" s="17" t="s">
        <v>86</v>
      </c>
      <c r="C14" s="20" t="n">
        <f aca="false">SUMIFS('سجل الحركات'!$F$4:$F$229,'سجل الحركات'!$D$4:$D$229,B14,'سجل الحركات'!$E$4:$E$229,"بضاعة")</f>
        <v>219</v>
      </c>
      <c r="D14" s="21" t="n">
        <f aca="false">COUNTIFS('سجل الحركات'!$D$4:$D$229,B14,'سجل الحركات'!$E$4:$E$229,"بضاعة")</f>
        <v>3</v>
      </c>
      <c r="E14" s="9" t="n">
        <f aca="false">SUMIFS('سجل الحركات'!$H$4:$H$229,'سجل الحركات'!$D$4:$D$229,B14,'سجل الحركات'!$E$4:$E$229,"بضاعة")</f>
        <v>8465</v>
      </c>
      <c r="F14" s="9" t="n">
        <f aca="false">SUMIFS('سجل الحركات'!$I$4:$I$229,'سجل الحركات'!$D$4:$D$229,B14,'سجل الحركات'!$E$4:$E$229,"بضاعة")</f>
        <v>939.75</v>
      </c>
      <c r="G14" s="9" t="n">
        <f aca="false">E14+F14</f>
        <v>9404.75</v>
      </c>
      <c r="H14" s="19" t="n">
        <f aca="false">IF(C14=0,"",E14/C14)</f>
        <v>38.6529680365297</v>
      </c>
      <c r="I14" s="19" t="n">
        <f aca="false">_xlfn.MINIFS('سجل الحركات'!$G$4:$G$229,'سجل الحركات'!$D$4:$D$229,B14,'سجل الحركات'!$E$4:$E$229,"بضاعة")</f>
        <v>35</v>
      </c>
      <c r="J14" s="19" t="n">
        <f aca="false">_xlfn.MAXIFS('سجل الحركات'!$G$4:$G$229,'سجل الحركات'!$D$4:$D$229,B14,'سجل الحركات'!$E$4:$E$229,"بضاعة")</f>
        <v>55</v>
      </c>
      <c r="K14" s="22" t="n">
        <f aca="false">IF($G$37=0,"",G14/$G$37)</f>
        <v>0.0289225546875312</v>
      </c>
    </row>
    <row r="15" customFormat="false" ht="15" hidden="false" customHeight="false" outlineLevel="0" collapsed="false">
      <c r="A15" s="7" t="n">
        <v>12</v>
      </c>
      <c r="B15" s="17" t="s">
        <v>84</v>
      </c>
      <c r="C15" s="20" t="n">
        <f aca="false">SUMIFS('سجل الحركات'!$F$4:$F$229,'سجل الحركات'!$D$4:$D$229,B15,'سجل الحركات'!$E$4:$E$229,"بضاعة")</f>
        <v>154</v>
      </c>
      <c r="D15" s="21" t="n">
        <f aca="false">COUNTIFS('سجل الحركات'!$D$4:$D$229,B15,'سجل الحركات'!$E$4:$E$229,"بضاعة")</f>
        <v>4</v>
      </c>
      <c r="E15" s="9" t="n">
        <f aca="false">SUMIFS('سجل الحركات'!$H$4:$H$229,'سجل الحركات'!$D$4:$D$229,B15,'سجل الحركات'!$E$4:$E$229,"بضاعة")</f>
        <v>6952</v>
      </c>
      <c r="F15" s="9" t="n">
        <f aca="false">SUMIFS('سجل الحركات'!$I$4:$I$229,'سجل الحركات'!$D$4:$D$229,B15,'سجل الحركات'!$E$4:$E$229,"بضاعة")</f>
        <v>1041.6</v>
      </c>
      <c r="G15" s="9" t="n">
        <f aca="false">E15+F15</f>
        <v>7993.6</v>
      </c>
      <c r="H15" s="19" t="n">
        <f aca="false">IF(C15=0,"",E15/C15)</f>
        <v>45.1428571428571</v>
      </c>
      <c r="I15" s="19" t="n">
        <f aca="false">_xlfn.MINIFS('سجل الحركات'!$G$4:$G$229,'سجل الحركات'!$D$4:$D$229,B15,'سجل الحركات'!$E$4:$E$229,"بضاعة")</f>
        <v>8</v>
      </c>
      <c r="J15" s="19" t="n">
        <f aca="false">_xlfn.MAXIFS('سجل الحركات'!$G$4:$G$229,'سجل الحركات'!$D$4:$D$229,B15,'سجل الحركات'!$E$4:$E$229,"بضاعة")</f>
        <v>48</v>
      </c>
      <c r="K15" s="22" t="n">
        <f aca="false">IF($G$37=0,"",G15/$G$37)</f>
        <v>0.0245828260347431</v>
      </c>
    </row>
    <row r="16" customFormat="false" ht="15" hidden="false" customHeight="false" outlineLevel="0" collapsed="false">
      <c r="A16" s="7" t="n">
        <v>13</v>
      </c>
      <c r="B16" s="17" t="s">
        <v>77</v>
      </c>
      <c r="C16" s="20" t="n">
        <f aca="false">SUMIFS('سجل الحركات'!$F$4:$F$229,'سجل الحركات'!$D$4:$D$229,B16,'سجل الحركات'!$E$4:$E$229,"بضاعة")</f>
        <v>190</v>
      </c>
      <c r="D16" s="21" t="n">
        <f aca="false">COUNTIFS('سجل الحركات'!$D$4:$D$229,B16,'سجل الحركات'!$E$4:$E$229,"بضاعة")</f>
        <v>5</v>
      </c>
      <c r="E16" s="9" t="n">
        <f aca="false">SUMIFS('سجل الحركات'!$H$4:$H$229,'سجل الحركات'!$D$4:$D$229,B16,'سجل الحركات'!$E$4:$E$229,"بضاعة")</f>
        <v>6518</v>
      </c>
      <c r="F16" s="9" t="n">
        <f aca="false">SUMIFS('سجل الحركات'!$I$4:$I$229,'سجل الحركات'!$D$4:$D$229,B16,'سجل الحركات'!$E$4:$E$229,"بضاعة")</f>
        <v>368.7</v>
      </c>
      <c r="G16" s="9" t="n">
        <f aca="false">E16+F16</f>
        <v>6886.7</v>
      </c>
      <c r="H16" s="19" t="n">
        <f aca="false">IF(C16=0,"",E16/C16)</f>
        <v>34.3052631578947</v>
      </c>
      <c r="I16" s="19" t="n">
        <f aca="false">_xlfn.MINIFS('سجل الحركات'!$G$4:$G$229,'سجل الحركات'!$D$4:$D$229,B16,'سجل الحركات'!$E$4:$E$229,"بضاعة")</f>
        <v>30</v>
      </c>
      <c r="J16" s="19" t="n">
        <f aca="false">_xlfn.MAXIFS('سجل الحركات'!$G$4:$G$229,'سجل الحركات'!$D$4:$D$229,B16,'سجل الحركات'!$E$4:$E$229,"بضاعة")</f>
        <v>38</v>
      </c>
      <c r="K16" s="22" t="n">
        <f aca="false">IF($G$37=0,"",G16/$G$37)</f>
        <v>0.0211787615158958</v>
      </c>
    </row>
    <row r="17" customFormat="false" ht="15" hidden="false" customHeight="false" outlineLevel="0" collapsed="false">
      <c r="A17" s="7" t="n">
        <v>14</v>
      </c>
      <c r="B17" s="17" t="s">
        <v>64</v>
      </c>
      <c r="C17" s="20" t="n">
        <f aca="false">SUMIFS('سجل الحركات'!$F$4:$F$229,'سجل الحركات'!$D$4:$D$229,B17,'سجل الحركات'!$E$4:$E$229,"بضاعة")</f>
        <v>295</v>
      </c>
      <c r="D17" s="21" t="n">
        <f aca="false">COUNTIFS('سجل الحركات'!$D$4:$D$229,B17,'سجل الحركات'!$E$4:$E$229,"بضاعة")</f>
        <v>1</v>
      </c>
      <c r="E17" s="9" t="n">
        <f aca="false">SUMIFS('سجل الحركات'!$H$4:$H$229,'سجل الحركات'!$D$4:$D$229,B17,'سجل الحركات'!$E$4:$E$229,"بضاعة")</f>
        <v>5900</v>
      </c>
      <c r="F17" s="9" t="n">
        <f aca="false">SUMIFS('سجل الحركات'!$I$4:$I$229,'سجل الحركات'!$D$4:$D$229,B17,'سجل الحركات'!$E$4:$E$229,"بضاعة")</f>
        <v>885</v>
      </c>
      <c r="G17" s="9" t="n">
        <f aca="false">E17+F17</f>
        <v>6785</v>
      </c>
      <c r="H17" s="19" t="n">
        <f aca="false">IF(C17=0,"",E17/C17)</f>
        <v>20</v>
      </c>
      <c r="I17" s="19" t="n">
        <f aca="false">_xlfn.MINIFS('سجل الحركات'!$G$4:$G$229,'سجل الحركات'!$D$4:$D$229,B17,'سجل الحركات'!$E$4:$E$229,"بضاعة")</f>
        <v>20</v>
      </c>
      <c r="J17" s="19" t="n">
        <f aca="false">_xlfn.MAXIFS('سجل الحركات'!$G$4:$G$229,'سجل الحركات'!$D$4:$D$229,B17,'سجل الحركات'!$E$4:$E$229,"بضاعة")</f>
        <v>20</v>
      </c>
      <c r="K17" s="22" t="n">
        <f aca="false">IF($G$37=0,"",G17/$G$37)</f>
        <v>0.0208660021324224</v>
      </c>
    </row>
    <row r="18" customFormat="false" ht="15" hidden="false" customHeight="false" outlineLevel="0" collapsed="false">
      <c r="A18" s="7" t="n">
        <v>15</v>
      </c>
      <c r="B18" s="17" t="s">
        <v>73</v>
      </c>
      <c r="C18" s="20" t="n">
        <f aca="false">SUMIFS('سجل الحركات'!$F$4:$F$229,'سجل الحركات'!$D$4:$D$229,B18,'سجل الحركات'!$E$4:$E$229,"بضاعة")</f>
        <v>192</v>
      </c>
      <c r="D18" s="21" t="n">
        <f aca="false">COUNTIFS('سجل الحركات'!$D$4:$D$229,B18,'سجل الحركات'!$E$4:$E$229,"بضاعة")</f>
        <v>8</v>
      </c>
      <c r="E18" s="9" t="n">
        <f aca="false">SUMIFS('سجل الحركات'!$H$4:$H$229,'سجل الحركات'!$D$4:$D$229,B18,'سجل الحركات'!$E$4:$E$229,"بضاعة")</f>
        <v>4178</v>
      </c>
      <c r="F18" s="9" t="n">
        <f aca="false">SUMIFS('سجل الحركات'!$I$4:$I$229,'سجل الحركات'!$D$4:$D$229,B18,'سجل الحركات'!$E$4:$E$229,"بضاعة")</f>
        <v>626.7</v>
      </c>
      <c r="G18" s="9" t="n">
        <f aca="false">E18+F18</f>
        <v>4804.7</v>
      </c>
      <c r="H18" s="19" t="n">
        <f aca="false">IF(C18=0,"",E18/C18)</f>
        <v>21.7604166666667</v>
      </c>
      <c r="I18" s="19" t="n">
        <f aca="false">_xlfn.MINIFS('سجل الحركات'!$G$4:$G$229,'سجل الحركات'!$D$4:$D$229,B18,'سجل الحركات'!$E$4:$E$229,"بضاعة")</f>
        <v>8</v>
      </c>
      <c r="J18" s="19" t="n">
        <f aca="false">_xlfn.MAXIFS('سجل الحركات'!$G$4:$G$229,'سجل الحركات'!$D$4:$D$229,B18,'سجل الحركات'!$E$4:$E$229,"بضاعة")</f>
        <v>45</v>
      </c>
      <c r="K18" s="22" t="n">
        <f aca="false">IF($G$37=0,"",G18/$G$37)</f>
        <v>0.0147759587981798</v>
      </c>
    </row>
    <row r="19" customFormat="false" ht="15" hidden="false" customHeight="false" outlineLevel="0" collapsed="false">
      <c r="A19" s="7" t="n">
        <v>16</v>
      </c>
      <c r="B19" s="17" t="s">
        <v>79</v>
      </c>
      <c r="C19" s="20" t="n">
        <f aca="false">SUMIFS('سجل الحركات'!$F$4:$F$229,'سجل الحركات'!$D$4:$D$229,B19,'سجل الحركات'!$E$4:$E$229,"بضاعة")</f>
        <v>140</v>
      </c>
      <c r="D19" s="21" t="n">
        <f aca="false">COUNTIFS('سجل الحركات'!$D$4:$D$229,B19,'سجل الحركات'!$E$4:$E$229,"بضاعة")</f>
        <v>5</v>
      </c>
      <c r="E19" s="9" t="n">
        <f aca="false">SUMIFS('سجل الحركات'!$H$4:$H$229,'سجل الحركات'!$D$4:$D$229,B19,'سجل الحركات'!$E$4:$E$229,"بضاعة")</f>
        <v>3580</v>
      </c>
      <c r="F19" s="9" t="n">
        <f aca="false">SUMIFS('سجل الحركات'!$I$4:$I$229,'سجل الحركات'!$D$4:$D$229,B19,'سجل الحركات'!$E$4:$E$229,"بضاعة")</f>
        <v>252</v>
      </c>
      <c r="G19" s="9" t="n">
        <f aca="false">E19+F19</f>
        <v>3832</v>
      </c>
      <c r="H19" s="19" t="n">
        <f aca="false">IF(C19=0,"",E19/C19)</f>
        <v>25.5714285714286</v>
      </c>
      <c r="I19" s="19" t="n">
        <f aca="false">_xlfn.MINIFS('سجل الحركات'!$G$4:$G$229,'سجل الحركات'!$D$4:$D$229,B19,'سجل الحركات'!$E$4:$E$229,"بضاعة")</f>
        <v>24</v>
      </c>
      <c r="J19" s="19" t="n">
        <f aca="false">_xlfn.MAXIFS('سجل الحركات'!$G$4:$G$229,'سجل الحركات'!$D$4:$D$229,B19,'سجل الحركات'!$E$4:$E$229,"بضاعة")</f>
        <v>28</v>
      </c>
      <c r="K19" s="22" t="n">
        <f aca="false">IF($G$37=0,"",G19/$G$37)</f>
        <v>0.0117846013517233</v>
      </c>
    </row>
    <row r="20" customFormat="false" ht="15" hidden="false" customHeight="false" outlineLevel="0" collapsed="false">
      <c r="A20" s="7" t="n">
        <v>17</v>
      </c>
      <c r="B20" s="17" t="s">
        <v>78</v>
      </c>
      <c r="C20" s="20" t="n">
        <f aca="false">SUMIFS('سجل الحركات'!$F$4:$F$229,'سجل الحركات'!$D$4:$D$229,B20,'سجل الحركات'!$E$4:$E$229,"بضاعة")</f>
        <v>80</v>
      </c>
      <c r="D20" s="21" t="n">
        <f aca="false">COUNTIFS('سجل الحركات'!$D$4:$D$229,B20,'سجل الحركات'!$E$4:$E$229,"بضاعة")</f>
        <v>3</v>
      </c>
      <c r="E20" s="9" t="n">
        <f aca="false">SUMIFS('سجل الحركات'!$H$4:$H$229,'سجل الحركات'!$D$4:$D$229,B20,'سجل الحركات'!$E$4:$E$229,"بضاعة")</f>
        <v>2830</v>
      </c>
      <c r="F20" s="9" t="n">
        <f aca="false">SUMIFS('سجل الحركات'!$I$4:$I$229,'سجل الحركات'!$D$4:$D$229,B20,'سجل الحركات'!$E$4:$E$229,"بضاعة")</f>
        <v>144</v>
      </c>
      <c r="G20" s="9" t="n">
        <f aca="false">E20+F20</f>
        <v>2974</v>
      </c>
      <c r="H20" s="19" t="n">
        <f aca="false">IF(C20=0,"",E20/C20)</f>
        <v>35.375</v>
      </c>
      <c r="I20" s="19" t="n">
        <f aca="false">_xlfn.MINIFS('سجل الحركات'!$G$4:$G$229,'سجل الحركات'!$D$4:$D$229,B20,'سجل الحركات'!$E$4:$E$229,"بضاعة")</f>
        <v>32</v>
      </c>
      <c r="J20" s="19" t="n">
        <f aca="false">_xlfn.MAXIFS('سجل الحركات'!$G$4:$G$229,'سجل الحركات'!$D$4:$D$229,B20,'سجل الحركات'!$E$4:$E$229,"بضاعة")</f>
        <v>38</v>
      </c>
      <c r="K20" s="22" t="n">
        <f aca="false">IF($G$37=0,"",G20/$G$37)</f>
        <v>0.00914598236430717</v>
      </c>
    </row>
    <row r="21" customFormat="false" ht="15" hidden="false" customHeight="false" outlineLevel="0" collapsed="false">
      <c r="A21" s="7" t="n">
        <v>18</v>
      </c>
      <c r="B21" s="17" t="s">
        <v>69</v>
      </c>
      <c r="C21" s="20" t="n">
        <f aca="false">SUMIFS('سجل الحركات'!$F$4:$F$229,'سجل الحركات'!$D$4:$D$229,B21,'سجل الحركات'!$E$4:$E$229,"بضاعة")</f>
        <v>351</v>
      </c>
      <c r="D21" s="21" t="n">
        <f aca="false">COUNTIFS('سجل الحركات'!$D$4:$D$229,B21,'سجل الحركات'!$E$4:$E$229,"بضاعة")</f>
        <v>6</v>
      </c>
      <c r="E21" s="9" t="n">
        <f aca="false">SUMIFS('سجل الحركات'!$H$4:$H$229,'سجل الحركات'!$D$4:$D$229,B21,'سجل الحركات'!$E$4:$E$229,"بضاعة")</f>
        <v>2283</v>
      </c>
      <c r="F21" s="9" t="n">
        <f aca="false">SUMIFS('سجل الحركات'!$I$4:$I$229,'سجل الحركات'!$D$4:$D$229,B21,'سجل الحركات'!$E$4:$E$229,"بضاعة")</f>
        <v>284.85</v>
      </c>
      <c r="G21" s="9" t="n">
        <f aca="false">E21+F21</f>
        <v>2567.85</v>
      </c>
      <c r="H21" s="19" t="n">
        <f aca="false">IF(C21=0,"",E21/C21)</f>
        <v>6.5042735042735</v>
      </c>
      <c r="I21" s="19" t="n">
        <f aca="false">_xlfn.MINIFS('سجل الحركات'!$G$4:$G$229,'سجل الحركات'!$D$4:$D$229,B21,'سجل الحركات'!$E$4:$E$229,"بضاعة")</f>
        <v>5</v>
      </c>
      <c r="J21" s="19" t="n">
        <f aca="false">_xlfn.MAXIFS('سجل الحركات'!$G$4:$G$229,'سجل الحركات'!$D$4:$D$229,B21,'سجل الحركات'!$E$4:$E$229,"بضاعة")</f>
        <v>8</v>
      </c>
      <c r="K21" s="22" t="n">
        <f aca="false">IF($G$37=0,"",G21/$G$37)</f>
        <v>0.00789694378419172</v>
      </c>
    </row>
    <row r="22" customFormat="false" ht="15" hidden="false" customHeight="false" outlineLevel="0" collapsed="false">
      <c r="A22" s="7" t="n">
        <v>19</v>
      </c>
      <c r="B22" s="17" t="s">
        <v>75</v>
      </c>
      <c r="C22" s="20" t="n">
        <f aca="false">SUMIFS('سجل الحركات'!$F$4:$F$229,'سجل الحركات'!$D$4:$D$229,B22,'سجل الحركات'!$E$4:$E$229,"بضاعة")</f>
        <v>130</v>
      </c>
      <c r="D22" s="21" t="n">
        <f aca="false">COUNTIFS('سجل الحركات'!$D$4:$D$229,B22,'سجل الحركات'!$E$4:$E$229,"بضاعة")</f>
        <v>1</v>
      </c>
      <c r="E22" s="9" t="n">
        <f aca="false">SUMIFS('سجل الحركات'!$H$4:$H$229,'سجل الحركات'!$D$4:$D$229,B22,'سجل الحركات'!$E$4:$E$229,"بضاعة")</f>
        <v>1560</v>
      </c>
      <c r="F22" s="9" t="n">
        <f aca="false">SUMIFS('سجل الحركات'!$I$4:$I$229,'سجل الحركات'!$D$4:$D$229,B22,'سجل الحركات'!$E$4:$E$229,"بضاعة")</f>
        <v>234</v>
      </c>
      <c r="G22" s="9" t="n">
        <f aca="false">E22+F22</f>
        <v>1794</v>
      </c>
      <c r="H22" s="19" t="n">
        <f aca="false">IF(C22=0,"",E22/C22)</f>
        <v>12</v>
      </c>
      <c r="I22" s="19" t="n">
        <f aca="false">_xlfn.MINIFS('سجل الحركات'!$G$4:$G$229,'سجل الحركات'!$D$4:$D$229,B22,'سجل الحركات'!$E$4:$E$229,"بضاعة")</f>
        <v>12</v>
      </c>
      <c r="J22" s="19" t="n">
        <f aca="false">_xlfn.MAXIFS('سجل الحركات'!$G$4:$G$229,'سجل الحركات'!$D$4:$D$229,B22,'سجل الحركات'!$E$4:$E$229,"بضاعة")</f>
        <v>12</v>
      </c>
      <c r="K22" s="22" t="n">
        <f aca="false">IF($G$37=0,"",G22/$G$37)</f>
        <v>0.00551711242823372</v>
      </c>
    </row>
    <row r="23" customFormat="false" ht="15" hidden="false" customHeight="false" outlineLevel="0" collapsed="false">
      <c r="A23" s="7" t="n">
        <v>20</v>
      </c>
      <c r="B23" s="17" t="s">
        <v>83</v>
      </c>
      <c r="C23" s="20" t="n">
        <f aca="false">SUMIFS('سجل الحركات'!$F$4:$F$229,'سجل الحركات'!$D$4:$D$229,B23,'سجل الحركات'!$E$4:$E$229,"بضاعة")</f>
        <v>86</v>
      </c>
      <c r="D23" s="21" t="n">
        <f aca="false">COUNTIFS('سجل الحركات'!$D$4:$D$229,B23,'سجل الحركات'!$E$4:$E$229,"بضاعة")</f>
        <v>1</v>
      </c>
      <c r="E23" s="9" t="n">
        <f aca="false">SUMIFS('سجل الحركات'!$H$4:$H$229,'سجل الحركات'!$D$4:$D$229,B23,'سجل الحركات'!$E$4:$E$229,"بضاعة")</f>
        <v>1548</v>
      </c>
      <c r="F23" s="9" t="n">
        <f aca="false">SUMIFS('سجل الحركات'!$I$4:$I$229,'سجل الحركات'!$D$4:$D$229,B23,'سجل الحركات'!$E$4:$E$229,"بضاعة")</f>
        <v>232.2</v>
      </c>
      <c r="G23" s="9" t="n">
        <f aca="false">E23+F23</f>
        <v>1780.2</v>
      </c>
      <c r="H23" s="19" t="n">
        <f aca="false">IF(C23=0,"",E23/C23)</f>
        <v>18</v>
      </c>
      <c r="I23" s="19" t="n">
        <f aca="false">_xlfn.MINIFS('سجل الحركات'!$G$4:$G$229,'سجل الحركات'!$D$4:$D$229,B23,'سجل الحركات'!$E$4:$E$229,"بضاعة")</f>
        <v>18</v>
      </c>
      <c r="J23" s="19" t="n">
        <f aca="false">_xlfn.MAXIFS('سجل الحركات'!$G$4:$G$229,'سجل الحركات'!$D$4:$D$229,B23,'سجل الحركات'!$E$4:$E$229,"بضاعة")</f>
        <v>18</v>
      </c>
      <c r="K23" s="22" t="n">
        <f aca="false">IF($G$37=0,"",G23/$G$37)</f>
        <v>0.00547467310186269</v>
      </c>
    </row>
    <row r="24" customFormat="false" ht="15" hidden="false" customHeight="false" outlineLevel="0" collapsed="false">
      <c r="A24" s="7" t="n">
        <v>21</v>
      </c>
      <c r="B24" s="17" t="s">
        <v>91</v>
      </c>
      <c r="C24" s="20" t="n">
        <f aca="false">SUMIFS('سجل الحركات'!$F$4:$F$229,'سجل الحركات'!$D$4:$D$229,B24,'سجل الحركات'!$E$4:$E$229,"بضاعة")</f>
        <v>55</v>
      </c>
      <c r="D24" s="21" t="n">
        <f aca="false">COUNTIFS('سجل الحركات'!$D$4:$D$229,B24,'سجل الحركات'!$E$4:$E$229,"بضاعة")</f>
        <v>4</v>
      </c>
      <c r="E24" s="9" t="n">
        <f aca="false">SUMIFS('سجل الحركات'!$H$4:$H$229,'سجل الحركات'!$D$4:$D$229,B24,'سجل الحركات'!$E$4:$E$229,"بضاعة")</f>
        <v>1305</v>
      </c>
      <c r="F24" s="9" t="n">
        <f aca="false">SUMIFS('سجل الحركات'!$I$4:$I$229,'سجل الحركات'!$D$4:$D$229,B24,'سجل الحركات'!$E$4:$E$229,"بضاعة")</f>
        <v>195.75</v>
      </c>
      <c r="G24" s="9" t="n">
        <f aca="false">E24+F24</f>
        <v>1500.75</v>
      </c>
      <c r="H24" s="19" t="n">
        <f aca="false">IF(C24=0,"",E24/C24)</f>
        <v>23.7272727272727</v>
      </c>
      <c r="I24" s="19" t="n">
        <f aca="false">_xlfn.MINIFS('سجل الحركات'!$G$4:$G$229,'سجل الحركات'!$D$4:$D$229,B24,'سجل الحركات'!$E$4:$E$229,"بضاعة")</f>
        <v>7</v>
      </c>
      <c r="J24" s="19" t="n">
        <f aca="false">_xlfn.MAXIFS('سجل الحركات'!$G$4:$G$229,'سجل الحركات'!$D$4:$D$229,B24,'سجل الحركات'!$E$4:$E$229,"بضاعة")</f>
        <v>30</v>
      </c>
      <c r="K24" s="22" t="n">
        <f aca="false">IF($G$37=0,"",G24/$G$37)</f>
        <v>0.00461527674284936</v>
      </c>
    </row>
    <row r="25" customFormat="false" ht="15" hidden="false" customHeight="false" outlineLevel="0" collapsed="false">
      <c r="A25" s="7" t="n">
        <v>22</v>
      </c>
      <c r="B25" s="17" t="s">
        <v>85</v>
      </c>
      <c r="C25" s="20" t="n">
        <f aca="false">SUMIFS('سجل الحركات'!$F$4:$F$229,'سجل الحركات'!$D$4:$D$229,B25,'سجل الحركات'!$E$4:$E$229,"بضاعة")</f>
        <v>33</v>
      </c>
      <c r="D25" s="21" t="n">
        <f aca="false">COUNTIFS('سجل الحركات'!$D$4:$D$229,B25,'سجل الحركات'!$E$4:$E$229,"بضاعة")</f>
        <v>2</v>
      </c>
      <c r="E25" s="9" t="n">
        <f aca="false">SUMIFS('سجل الحركات'!$H$4:$H$229,'سجل الحركات'!$D$4:$D$229,B25,'سجل الحركات'!$E$4:$E$229,"بضاعة")</f>
        <v>1176</v>
      </c>
      <c r="F25" s="9" t="n">
        <f aca="false">SUMIFS('سجل الحركات'!$I$4:$I$229,'سجل الحركات'!$D$4:$D$229,B25,'سجل الحركات'!$E$4:$E$229,"بضاعة")</f>
        <v>0</v>
      </c>
      <c r="G25" s="9" t="n">
        <f aca="false">E25+F25</f>
        <v>1176</v>
      </c>
      <c r="H25" s="19" t="n">
        <f aca="false">IF(C25=0,"",E25/C25)</f>
        <v>35.6363636363636</v>
      </c>
      <c r="I25" s="19" t="n">
        <f aca="false">_xlfn.MINIFS('سجل الحركات'!$G$4:$G$229,'سجل الحركات'!$D$4:$D$229,B25,'سجل الحركات'!$E$4:$E$229,"بضاعة")</f>
        <v>32</v>
      </c>
      <c r="J25" s="19" t="n">
        <f aca="false">_xlfn.MAXIFS('سجل الحركات'!$G$4:$G$229,'سجل الحركات'!$D$4:$D$229,B25,'سجل الحركات'!$E$4:$E$229,"بضاعة")</f>
        <v>36</v>
      </c>
      <c r="K25" s="22" t="n">
        <f aca="false">IF($G$37=0,"",G25/$G$37)</f>
        <v>0.00361656868205287</v>
      </c>
    </row>
    <row r="26" customFormat="false" ht="15" hidden="false" customHeight="false" outlineLevel="0" collapsed="false">
      <c r="A26" s="7" t="n">
        <v>23</v>
      </c>
      <c r="B26" s="17" t="s">
        <v>72</v>
      </c>
      <c r="C26" s="20" t="n">
        <f aca="false">SUMIFS('سجل الحركات'!$F$4:$F$229,'سجل الحركات'!$D$4:$D$229,B26,'سجل الحركات'!$E$4:$E$229,"بضاعة")</f>
        <v>88</v>
      </c>
      <c r="D26" s="21" t="n">
        <f aca="false">COUNTIFS('سجل الحركات'!$D$4:$D$229,B26,'سجل الحركات'!$E$4:$E$229,"بضاعة")</f>
        <v>2</v>
      </c>
      <c r="E26" s="9" t="n">
        <f aca="false">SUMIFS('سجل الحركات'!$H$4:$H$229,'سجل الحركات'!$D$4:$D$229,B26,'سجل الحركات'!$E$4:$E$229,"بضاعة")</f>
        <v>704</v>
      </c>
      <c r="F26" s="9" t="n">
        <f aca="false">SUMIFS('سجل الحركات'!$I$4:$I$229,'سجل الحركات'!$D$4:$D$229,B26,'سجل الحركات'!$E$4:$E$229,"بضاعة")</f>
        <v>105.6</v>
      </c>
      <c r="G26" s="9" t="n">
        <f aca="false">E26+F26</f>
        <v>809.6</v>
      </c>
      <c r="H26" s="19" t="n">
        <f aca="false">IF(C26=0,"",E26/C26)</f>
        <v>8</v>
      </c>
      <c r="I26" s="19" t="n">
        <f aca="false">_xlfn.MINIFS('سجل الحركات'!$G$4:$G$229,'سجل الحركات'!$D$4:$D$229,B26,'سجل الحركات'!$E$4:$E$229,"بضاعة")</f>
        <v>8</v>
      </c>
      <c r="J26" s="19" t="n">
        <f aca="false">_xlfn.MAXIFS('سجل الحركات'!$G$4:$G$229,'سجل الحركات'!$D$4:$D$229,B26,'سجل الحركات'!$E$4:$E$229,"بضاعة")</f>
        <v>8</v>
      </c>
      <c r="K26" s="22" t="n">
        <f aca="false">IF($G$37=0,"",G26/$G$37)</f>
        <v>0.00248977381376701</v>
      </c>
    </row>
    <row r="27" customFormat="false" ht="15" hidden="false" customHeight="false" outlineLevel="0" collapsed="false">
      <c r="A27" s="7" t="n">
        <v>24</v>
      </c>
      <c r="B27" s="17" t="s">
        <v>94</v>
      </c>
      <c r="C27" s="20" t="n">
        <f aca="false">SUMIFS('سجل الحركات'!$F$4:$F$229,'سجل الحركات'!$D$4:$D$229,B27,'سجل الحركات'!$E$4:$E$229,"بضاعة")</f>
        <v>20</v>
      </c>
      <c r="D27" s="21" t="n">
        <f aca="false">COUNTIFS('سجل الحركات'!$D$4:$D$229,B27,'سجل الحركات'!$E$4:$E$229,"بضاعة")</f>
        <v>1</v>
      </c>
      <c r="E27" s="9" t="n">
        <f aca="false">SUMIFS('سجل الحركات'!$H$4:$H$229,'سجل الحركات'!$D$4:$D$229,B27,'سجل الحركات'!$E$4:$E$229,"بضاعة")</f>
        <v>700</v>
      </c>
      <c r="F27" s="9" t="n">
        <f aca="false">SUMIFS('سجل الحركات'!$I$4:$I$229,'سجل الحركات'!$D$4:$D$229,B27,'سجل الحركات'!$E$4:$E$229,"بضاعة")</f>
        <v>0</v>
      </c>
      <c r="G27" s="9" t="n">
        <f aca="false">E27+F27</f>
        <v>700</v>
      </c>
      <c r="H27" s="19" t="n">
        <f aca="false">IF(C27=0,"",E27/C27)</f>
        <v>35</v>
      </c>
      <c r="I27" s="19" t="n">
        <f aca="false">_xlfn.MINIFS('سجل الحركات'!$G$4:$G$229,'سجل الحركات'!$D$4:$D$229,B27,'سجل الحركات'!$E$4:$E$229,"بضاعة")</f>
        <v>35</v>
      </c>
      <c r="J27" s="19" t="n">
        <f aca="false">_xlfn.MAXIFS('سجل الحركات'!$G$4:$G$229,'سجل الحركات'!$D$4:$D$229,B27,'سجل الحركات'!$E$4:$E$229,"بضاعة")</f>
        <v>35</v>
      </c>
      <c r="K27" s="22" t="n">
        <f aca="false">IF($G$37=0,"",G27/$G$37)</f>
        <v>0.0021527194536029</v>
      </c>
    </row>
    <row r="28" customFormat="false" ht="15" hidden="false" customHeight="false" outlineLevel="0" collapsed="false">
      <c r="A28" s="7" t="n">
        <v>25</v>
      </c>
      <c r="B28" s="17" t="s">
        <v>82</v>
      </c>
      <c r="C28" s="20" t="n">
        <f aca="false">SUMIFS('سجل الحركات'!$F$4:$F$229,'سجل الحركات'!$D$4:$D$229,B28,'سجل الحركات'!$E$4:$E$229,"بضاعة")</f>
        <v>32</v>
      </c>
      <c r="D28" s="21" t="n">
        <f aca="false">COUNTIFS('سجل الحركات'!$D$4:$D$229,B28,'سجل الحركات'!$E$4:$E$229,"بضاعة")</f>
        <v>2</v>
      </c>
      <c r="E28" s="9" t="n">
        <f aca="false">SUMIFS('سجل الحركات'!$H$4:$H$229,'سجل الحركات'!$D$4:$D$229,B28,'سجل الحركات'!$E$4:$E$229,"بضاعة")</f>
        <v>680</v>
      </c>
      <c r="F28" s="9" t="n">
        <f aca="false">SUMIFS('سجل الحركات'!$I$4:$I$229,'سجل الحركات'!$D$4:$D$229,B28,'سجل الحركات'!$E$4:$E$229,"بضاعة")</f>
        <v>102</v>
      </c>
      <c r="G28" s="9" t="n">
        <f aca="false">E28+F28</f>
        <v>782</v>
      </c>
      <c r="H28" s="19" t="n">
        <f aca="false">IF(C28=0,"",E28/C28)</f>
        <v>21.25</v>
      </c>
      <c r="I28" s="19" t="n">
        <f aca="false">_xlfn.MINIFS('سجل الحركات'!$G$4:$G$229,'سجل الحركات'!$D$4:$D$229,B28,'سجل الحركات'!$E$4:$E$229,"بضاعة")</f>
        <v>7</v>
      </c>
      <c r="J28" s="19" t="n">
        <f aca="false">_xlfn.MAXIFS('سجل الحركات'!$G$4:$G$229,'سجل الحركات'!$D$4:$D$229,B28,'سجل الحركات'!$E$4:$E$229,"بضاعة")</f>
        <v>31</v>
      </c>
      <c r="K28" s="22" t="n">
        <f aca="false">IF($G$37=0,"",G28/$G$37)</f>
        <v>0.00240489516102495</v>
      </c>
    </row>
    <row r="29" customFormat="false" ht="15" hidden="false" customHeight="false" outlineLevel="0" collapsed="false">
      <c r="A29" s="7" t="n">
        <v>26</v>
      </c>
      <c r="B29" s="17" t="s">
        <v>76</v>
      </c>
      <c r="C29" s="20" t="n">
        <f aca="false">SUMIFS('سجل الحركات'!$F$4:$F$229,'سجل الحركات'!$D$4:$D$229,B29,'سجل الحركات'!$E$4:$E$229,"بضاعة")</f>
        <v>9</v>
      </c>
      <c r="D29" s="21" t="n">
        <f aca="false">COUNTIFS('سجل الحركات'!$D$4:$D$229,B29,'سجل الحركات'!$E$4:$E$229,"بضاعة")</f>
        <v>1</v>
      </c>
      <c r="E29" s="9" t="n">
        <f aca="false">SUMIFS('سجل الحركات'!$H$4:$H$229,'سجل الحركات'!$D$4:$D$229,B29,'سجل الحركات'!$E$4:$E$229,"بضاعة")</f>
        <v>540</v>
      </c>
      <c r="F29" s="9" t="n">
        <f aca="false">SUMIFS('سجل الحركات'!$I$4:$I$229,'سجل الحركات'!$D$4:$D$229,B29,'سجل الحركات'!$E$4:$E$229,"بضاعة")</f>
        <v>81</v>
      </c>
      <c r="G29" s="9" t="n">
        <f aca="false">E29+F29</f>
        <v>621</v>
      </c>
      <c r="H29" s="19" t="n">
        <f aca="false">IF(C29=0,"",E29/C29)</f>
        <v>60</v>
      </c>
      <c r="I29" s="19" t="n">
        <f aca="false">_xlfn.MINIFS('سجل الحركات'!$G$4:$G$229,'سجل الحركات'!$D$4:$D$229,B29,'سجل الحركات'!$E$4:$E$229,"بضاعة")</f>
        <v>60</v>
      </c>
      <c r="J29" s="19" t="n">
        <f aca="false">_xlfn.MAXIFS('سجل الحركات'!$G$4:$G$229,'سجل الحركات'!$D$4:$D$229,B29,'سجل الحركات'!$E$4:$E$229,"بضاعة")</f>
        <v>60</v>
      </c>
      <c r="K29" s="22" t="n">
        <f aca="false">IF($G$37=0,"",G29/$G$37)</f>
        <v>0.00190976968669629</v>
      </c>
    </row>
    <row r="30" customFormat="false" ht="15" hidden="false" customHeight="false" outlineLevel="0" collapsed="false">
      <c r="A30" s="7" t="n">
        <v>27</v>
      </c>
      <c r="B30" s="17" t="s">
        <v>71</v>
      </c>
      <c r="C30" s="20" t="n">
        <f aca="false">SUMIFS('سجل الحركات'!$F$4:$F$229,'سجل الحركات'!$D$4:$D$229,B30,'سجل الحركات'!$E$4:$E$229,"بضاعة")</f>
        <v>64</v>
      </c>
      <c r="D30" s="21" t="n">
        <f aca="false">COUNTIFS('سجل الحركات'!$D$4:$D$229,B30,'سجل الحركات'!$E$4:$E$229,"بضاعة")</f>
        <v>2</v>
      </c>
      <c r="E30" s="9" t="n">
        <f aca="false">SUMIFS('سجل الحركات'!$H$4:$H$229,'سجل الحركات'!$D$4:$D$229,B30,'سجل الحركات'!$E$4:$E$229,"بضاعة")</f>
        <v>512</v>
      </c>
      <c r="F30" s="9" t="n">
        <f aca="false">SUMIFS('سجل الحركات'!$I$4:$I$229,'سجل الحركات'!$D$4:$D$229,B30,'سجل الحركات'!$E$4:$E$229,"بضاعة")</f>
        <v>76.8</v>
      </c>
      <c r="G30" s="9" t="n">
        <f aca="false">E30+F30</f>
        <v>588.8</v>
      </c>
      <c r="H30" s="19" t="n">
        <f aca="false">IF(C30=0,"",E30/C30)</f>
        <v>8</v>
      </c>
      <c r="I30" s="19" t="n">
        <f aca="false">_xlfn.MINIFS('سجل الحركات'!$G$4:$G$229,'سجل الحركات'!$D$4:$D$229,B30,'سجل الحركات'!$E$4:$E$229,"بضاعة")</f>
        <v>8</v>
      </c>
      <c r="J30" s="19" t="n">
        <f aca="false">_xlfn.MAXIFS('سجل الحركات'!$G$4:$G$229,'سجل الحركات'!$D$4:$D$229,B30,'سجل الحركات'!$E$4:$E$229,"بضاعة")</f>
        <v>8</v>
      </c>
      <c r="K30" s="22" t="n">
        <f aca="false">IF($G$37=0,"",G30/$G$37)</f>
        <v>0.00181074459183055</v>
      </c>
    </row>
    <row r="31" customFormat="false" ht="15" hidden="false" customHeight="false" outlineLevel="0" collapsed="false">
      <c r="A31" s="7" t="n">
        <v>28</v>
      </c>
      <c r="B31" s="17" t="s">
        <v>81</v>
      </c>
      <c r="C31" s="20" t="n">
        <f aca="false">SUMIFS('سجل الحركات'!$F$4:$F$229,'سجل الحركات'!$D$4:$D$229,B31,'سجل الحركات'!$E$4:$E$229,"بضاعة")</f>
        <v>20</v>
      </c>
      <c r="D31" s="21" t="n">
        <f aca="false">COUNTIFS('سجل الحركات'!$D$4:$D$229,B31,'سجل الحركات'!$E$4:$E$229,"بضاعة")</f>
        <v>1</v>
      </c>
      <c r="E31" s="9" t="n">
        <f aca="false">SUMIFS('سجل الحركات'!$H$4:$H$229,'سجل الحركات'!$D$4:$D$229,B31,'سجل الحركات'!$E$4:$E$229,"بضاعة")</f>
        <v>400</v>
      </c>
      <c r="F31" s="9" t="n">
        <f aca="false">SUMIFS('سجل الحركات'!$I$4:$I$229,'سجل الحركات'!$D$4:$D$229,B31,'سجل الحركات'!$E$4:$E$229,"بضاعة")</f>
        <v>60</v>
      </c>
      <c r="G31" s="9" t="n">
        <f aca="false">E31+F31</f>
        <v>460</v>
      </c>
      <c r="H31" s="19" t="n">
        <f aca="false">IF(C31=0,"",E31/C31)</f>
        <v>20</v>
      </c>
      <c r="I31" s="19" t="n">
        <f aca="false">_xlfn.MINIFS('سجل الحركات'!$G$4:$G$229,'سجل الحركات'!$D$4:$D$229,B31,'سجل الحركات'!$E$4:$E$229,"بضاعة")</f>
        <v>20</v>
      </c>
      <c r="J31" s="19" t="n">
        <f aca="false">_xlfn.MAXIFS('سجل الحركات'!$G$4:$G$229,'سجل الحركات'!$D$4:$D$229,B31,'سجل الحركات'!$E$4:$E$229,"بضاعة")</f>
        <v>20</v>
      </c>
      <c r="K31" s="22" t="n">
        <f aca="false">IF($G$37=0,"",G31/$G$37)</f>
        <v>0.00141464421236762</v>
      </c>
    </row>
    <row r="32" customFormat="false" ht="15" hidden="false" customHeight="false" outlineLevel="0" collapsed="false">
      <c r="A32" s="7" t="n">
        <v>29</v>
      </c>
      <c r="B32" s="17" t="s">
        <v>68</v>
      </c>
      <c r="C32" s="20" t="n">
        <f aca="false">SUMIFS('سجل الحركات'!$F$4:$F$229,'سجل الحركات'!$D$4:$D$229,B32,'سجل الحركات'!$E$4:$E$229,"بضاعة")</f>
        <v>35</v>
      </c>
      <c r="D32" s="21" t="n">
        <f aca="false">COUNTIFS('سجل الحركات'!$D$4:$D$229,B32,'سجل الحركات'!$E$4:$E$229,"بضاعة")</f>
        <v>2</v>
      </c>
      <c r="E32" s="9" t="n">
        <f aca="false">SUMIFS('سجل الحركات'!$H$4:$H$229,'سجل الحركات'!$D$4:$D$229,B32,'سجل الحركات'!$E$4:$E$229,"بضاعة")</f>
        <v>385</v>
      </c>
      <c r="F32" s="9" t="n">
        <f aca="false">SUMIFS('سجل الحركات'!$I$4:$I$229,'سجل الحركات'!$D$4:$D$229,B32,'سجل الحركات'!$E$4:$E$229,"بضاعة")</f>
        <v>57.75</v>
      </c>
      <c r="G32" s="9" t="n">
        <f aca="false">E32+F32</f>
        <v>442.75</v>
      </c>
      <c r="H32" s="19" t="n">
        <f aca="false">IF(C32=0,"",E32/C32)</f>
        <v>11</v>
      </c>
      <c r="I32" s="19" t="n">
        <f aca="false">_xlfn.MINIFS('سجل الحركات'!$G$4:$G$229,'سجل الحركات'!$D$4:$D$229,B32,'سجل الحركات'!$E$4:$E$229,"بضاعة")</f>
        <v>11</v>
      </c>
      <c r="J32" s="19" t="n">
        <f aca="false">_xlfn.MAXIFS('سجل الحركات'!$G$4:$G$229,'سجل الحركات'!$D$4:$D$229,B32,'سجل الحركات'!$E$4:$E$229,"بضاعة")</f>
        <v>11</v>
      </c>
      <c r="K32" s="22" t="n">
        <f aca="false">IF($G$37=0,"",G32/$G$37)</f>
        <v>0.00136159505440383</v>
      </c>
    </row>
    <row r="33" customFormat="false" ht="15" hidden="false" customHeight="false" outlineLevel="0" collapsed="false">
      <c r="A33" s="7" t="n">
        <v>30</v>
      </c>
      <c r="B33" s="17" t="s">
        <v>70</v>
      </c>
      <c r="C33" s="20" t="n">
        <f aca="false">SUMIFS('سجل الحركات'!$F$4:$F$229,'سجل الحركات'!$D$4:$D$229,B33,'سجل الحركات'!$E$4:$E$229,"بضاعة")</f>
        <v>40</v>
      </c>
      <c r="D33" s="21" t="n">
        <f aca="false">COUNTIFS('سجل الحركات'!$D$4:$D$229,B33,'سجل الحركات'!$E$4:$E$229,"بضاعة")</f>
        <v>2</v>
      </c>
      <c r="E33" s="9" t="n">
        <f aca="false">SUMIFS('سجل الحركات'!$H$4:$H$229,'سجل الحركات'!$D$4:$D$229,B33,'سجل الحركات'!$E$4:$E$229,"بضاعة")</f>
        <v>344</v>
      </c>
      <c r="F33" s="9" t="n">
        <f aca="false">SUMIFS('سجل الحركات'!$I$4:$I$229,'سجل الحركات'!$D$4:$D$229,B33,'سجل الحركات'!$E$4:$E$229,"بضاعة")</f>
        <v>51.6</v>
      </c>
      <c r="G33" s="9" t="n">
        <f aca="false">E33+F33</f>
        <v>395.6</v>
      </c>
      <c r="H33" s="19" t="n">
        <f aca="false">IF(C33=0,"",E33/C33)</f>
        <v>8.6</v>
      </c>
      <c r="I33" s="19" t="n">
        <f aca="false">_xlfn.MINIFS('سجل الحركات'!$G$4:$G$229,'سجل الحركات'!$D$4:$D$229,B33,'سجل الحركات'!$E$4:$E$229,"بضاعة")</f>
        <v>8</v>
      </c>
      <c r="J33" s="19" t="n">
        <f aca="false">_xlfn.MAXIFS('سجل الحركات'!$G$4:$G$229,'سجل الحركات'!$D$4:$D$229,B33,'سجل الحركات'!$E$4:$E$229,"بضاعة")</f>
        <v>9</v>
      </c>
      <c r="K33" s="22" t="n">
        <f aca="false">IF($G$37=0,"",G33/$G$37)</f>
        <v>0.00121659402263615</v>
      </c>
    </row>
    <row r="34" customFormat="false" ht="15" hidden="false" customHeight="false" outlineLevel="0" collapsed="false">
      <c r="A34" s="7" t="n">
        <v>31</v>
      </c>
      <c r="B34" s="17" t="s">
        <v>80</v>
      </c>
      <c r="C34" s="20" t="n">
        <f aca="false">SUMIFS('سجل الحركات'!$F$4:$F$229,'سجل الحركات'!$D$4:$D$229,B34,'سجل الحركات'!$E$4:$E$229,"بضاعة")</f>
        <v>19</v>
      </c>
      <c r="D34" s="21" t="n">
        <f aca="false">COUNTIFS('سجل الحركات'!$D$4:$D$229,B34,'سجل الحركات'!$E$4:$E$229,"بضاعة")</f>
        <v>1</v>
      </c>
      <c r="E34" s="9" t="n">
        <f aca="false">SUMIFS('سجل الحركات'!$H$4:$H$229,'سجل الحركات'!$D$4:$D$229,B34,'سجل الحركات'!$E$4:$E$229,"بضاعة")</f>
        <v>304</v>
      </c>
      <c r="F34" s="9" t="n">
        <f aca="false">SUMIFS('سجل الحركات'!$I$4:$I$229,'سجل الحركات'!$D$4:$D$229,B34,'سجل الحركات'!$E$4:$E$229,"بضاعة")</f>
        <v>45.6</v>
      </c>
      <c r="G34" s="9" t="n">
        <f aca="false">E34+F34</f>
        <v>349.6</v>
      </c>
      <c r="H34" s="19" t="n">
        <f aca="false">IF(C34=0,"",E34/C34)</f>
        <v>16</v>
      </c>
      <c r="I34" s="19" t="n">
        <f aca="false">_xlfn.MINIFS('سجل الحركات'!$G$4:$G$229,'سجل الحركات'!$D$4:$D$229,B34,'سجل الحركات'!$E$4:$E$229,"بضاعة")</f>
        <v>16</v>
      </c>
      <c r="J34" s="19" t="n">
        <f aca="false">_xlfn.MAXIFS('سجل الحركات'!$G$4:$G$229,'سجل الحركات'!$D$4:$D$229,B34,'سجل الحركات'!$E$4:$E$229,"بضاعة")</f>
        <v>16</v>
      </c>
      <c r="K34" s="22" t="n">
        <f aca="false">IF($G$37=0,"",G34/$G$37)</f>
        <v>0.00107512960139939</v>
      </c>
    </row>
    <row r="35" customFormat="false" ht="15" hidden="false" customHeight="false" outlineLevel="0" collapsed="false">
      <c r="A35" s="7" t="n">
        <v>32</v>
      </c>
      <c r="B35" s="17" t="s">
        <v>90</v>
      </c>
      <c r="C35" s="20" t="n">
        <f aca="false">SUMIFS('سجل الحركات'!$F$4:$F$229,'سجل الحركات'!$D$4:$D$229,B35,'سجل الحركات'!$E$4:$E$229,"بضاعة")</f>
        <v>5</v>
      </c>
      <c r="D35" s="21" t="n">
        <f aca="false">COUNTIFS('سجل الحركات'!$D$4:$D$229,B35,'سجل الحركات'!$E$4:$E$229,"بضاعة")</f>
        <v>1</v>
      </c>
      <c r="E35" s="9" t="n">
        <f aca="false">SUMIFS('سجل الحركات'!$H$4:$H$229,'سجل الحركات'!$D$4:$D$229,B35,'سجل الحركات'!$E$4:$E$229,"بضاعة")</f>
        <v>275</v>
      </c>
      <c r="F35" s="9" t="n">
        <f aca="false">SUMIFS('سجل الحركات'!$I$4:$I$229,'سجل الحركات'!$D$4:$D$229,B35,'سجل الحركات'!$E$4:$E$229,"بضاعة")</f>
        <v>41.25</v>
      </c>
      <c r="G35" s="9" t="n">
        <f aca="false">E35+F35</f>
        <v>316.25</v>
      </c>
      <c r="H35" s="19" t="n">
        <f aca="false">IF(C35=0,"",E35/C35)</f>
        <v>55</v>
      </c>
      <c r="I35" s="19" t="n">
        <f aca="false">_xlfn.MINIFS('سجل الحركات'!$G$4:$G$229,'سجل الحركات'!$D$4:$D$229,B35,'سجل الحركات'!$E$4:$E$229,"بضاعة")</f>
        <v>55</v>
      </c>
      <c r="J35" s="19" t="n">
        <f aca="false">_xlfn.MAXIFS('سجل الحركات'!$G$4:$G$229,'سجل الحركات'!$D$4:$D$229,B35,'سجل الحركات'!$E$4:$E$229,"بضاعة")</f>
        <v>55</v>
      </c>
      <c r="K35" s="22" t="n">
        <f aca="false">IF($G$37=0,"",G35/$G$37)</f>
        <v>0.000972567896002738</v>
      </c>
    </row>
    <row r="36" customFormat="false" ht="15" hidden="false" customHeight="false" outlineLevel="0" collapsed="false">
      <c r="A36" s="7" t="n">
        <v>33</v>
      </c>
      <c r="B36" s="17" t="s">
        <v>93</v>
      </c>
      <c r="C36" s="20" t="n">
        <f aca="false">SUMIFS('سجل الحركات'!$F$4:$F$229,'سجل الحركات'!$D$4:$D$229,B36,'سجل الحركات'!$E$4:$E$229,"بضاعة")</f>
        <v>5</v>
      </c>
      <c r="D36" s="21" t="n">
        <f aca="false">COUNTIFS('سجل الحركات'!$D$4:$D$229,B36,'سجل الحركات'!$E$4:$E$229,"بضاعة")</f>
        <v>1</v>
      </c>
      <c r="E36" s="9" t="n">
        <f aca="false">SUMIFS('سجل الحركات'!$H$4:$H$229,'سجل الحركات'!$D$4:$D$229,B36,'سجل الحركات'!$E$4:$E$229,"بضاعة")</f>
        <v>165</v>
      </c>
      <c r="F36" s="9" t="n">
        <f aca="false">SUMIFS('سجل الحركات'!$I$4:$I$229,'سجل الحركات'!$D$4:$D$229,B36,'سجل الحركات'!$E$4:$E$229,"بضاعة")</f>
        <v>0</v>
      </c>
      <c r="G36" s="9" t="n">
        <f aca="false">E36+F36</f>
        <v>165</v>
      </c>
      <c r="H36" s="19" t="n">
        <f aca="false">IF(C36=0,"",E36/C36)</f>
        <v>33</v>
      </c>
      <c r="I36" s="19" t="n">
        <f aca="false">_xlfn.MINIFS('سجل الحركات'!$G$4:$G$229,'سجل الحركات'!$D$4:$D$229,B36,'سجل الحركات'!$E$4:$E$229,"بضاعة")</f>
        <v>33</v>
      </c>
      <c r="J36" s="19" t="n">
        <f aca="false">_xlfn.MAXIFS('سجل الحركات'!$G$4:$G$229,'سجل الحركات'!$D$4:$D$229,B36,'سجل الحركات'!$E$4:$E$229,"بضاعة")</f>
        <v>33</v>
      </c>
      <c r="K36" s="22" t="n">
        <f aca="false">IF($G$37=0,"",G36/$G$37)</f>
        <v>0.000507426728349255</v>
      </c>
    </row>
    <row r="37" customFormat="false" ht="15" hidden="false" customHeight="false" outlineLevel="0" collapsed="false">
      <c r="B37" s="12" t="s">
        <v>42</v>
      </c>
      <c r="C37" s="23" t="n">
        <f aca="false">SUM(C4:C36)</f>
        <v>9213</v>
      </c>
      <c r="D37" s="23" t="n">
        <f aca="false">SUM(D4:D36)</f>
        <v>131</v>
      </c>
      <c r="E37" s="14" t="n">
        <f aca="false">SUM(E4:E36)</f>
        <v>285196</v>
      </c>
      <c r="F37" s="14" t="n">
        <f aca="false">SUM(F4:F36)</f>
        <v>39974.1</v>
      </c>
      <c r="G37" s="14" t="n">
        <f aca="false">SUM(G4:G36)</f>
        <v>325170.1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K2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32"/>
  </cols>
  <sheetData>
    <row r="1" customFormat="false" ht="17.35" hidden="false" customHeight="true" outlineLevel="0" collapsed="false">
      <c r="A1" s="15" t="s">
        <v>105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1.9" hidden="false" customHeight="false" outlineLevel="0" collapsed="false">
      <c r="A2" s="16" t="s">
        <v>106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23.85" hidden="false" customHeight="false" outlineLevel="0" collapsed="false">
      <c r="A3" s="6" t="s">
        <v>45</v>
      </c>
      <c r="B3" s="6" t="s">
        <v>107</v>
      </c>
      <c r="C3" s="6" t="s">
        <v>9</v>
      </c>
      <c r="D3" s="6" t="s">
        <v>46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</row>
    <row r="4" customFormat="false" ht="22.35" hidden="false" customHeight="false" outlineLevel="0" collapsed="false">
      <c r="A4" s="24" t="n">
        <v>46303</v>
      </c>
      <c r="B4" s="25" t="s">
        <v>115</v>
      </c>
      <c r="C4" s="26" t="s">
        <v>30</v>
      </c>
      <c r="D4" s="26" t="s">
        <v>116</v>
      </c>
      <c r="E4" s="27" t="n">
        <v>2300</v>
      </c>
      <c r="F4" s="26" t="s">
        <v>117</v>
      </c>
      <c r="G4" s="25" t="s">
        <v>118</v>
      </c>
      <c r="H4" s="24"/>
      <c r="I4" s="27"/>
      <c r="J4" s="27"/>
      <c r="K4" s="28" t="s">
        <v>119</v>
      </c>
    </row>
    <row r="5" customFormat="false" ht="15" hidden="false" customHeight="false" outlineLevel="0" collapsed="false">
      <c r="A5" s="24" t="n">
        <v>46304</v>
      </c>
      <c r="B5" s="25" t="s">
        <v>115</v>
      </c>
      <c r="C5" s="26" t="s">
        <v>23</v>
      </c>
      <c r="D5" s="26" t="s">
        <v>120</v>
      </c>
      <c r="E5" s="27" t="n">
        <v>8935.5</v>
      </c>
      <c r="F5" s="26" t="s">
        <v>121</v>
      </c>
      <c r="G5" s="25" t="s">
        <v>118</v>
      </c>
      <c r="H5" s="24"/>
      <c r="I5" s="27"/>
      <c r="J5" s="27"/>
      <c r="K5" s="28" t="s">
        <v>122</v>
      </c>
    </row>
    <row r="6" customFormat="false" ht="15" hidden="false" customHeight="false" outlineLevel="0" collapsed="false">
      <c r="A6" s="24" t="n">
        <v>46308</v>
      </c>
      <c r="B6" s="25" t="s">
        <v>115</v>
      </c>
      <c r="C6" s="26" t="s">
        <v>23</v>
      </c>
      <c r="D6" s="26" t="s">
        <v>123</v>
      </c>
      <c r="E6" s="27" t="n">
        <v>5037</v>
      </c>
      <c r="F6" s="26" t="s">
        <v>124</v>
      </c>
      <c r="G6" s="25" t="s">
        <v>125</v>
      </c>
      <c r="H6" s="24" t="n">
        <v>46308</v>
      </c>
      <c r="I6" s="27" t="n">
        <v>3450</v>
      </c>
      <c r="J6" s="27" t="n">
        <v>1587</v>
      </c>
      <c r="K6" s="28" t="s">
        <v>126</v>
      </c>
    </row>
    <row r="7" customFormat="false" ht="15" hidden="false" customHeight="false" outlineLevel="0" collapsed="false">
      <c r="A7" s="29" t="n">
        <v>46299</v>
      </c>
      <c r="B7" s="30" t="s">
        <v>115</v>
      </c>
      <c r="C7" s="31" t="s">
        <v>23</v>
      </c>
      <c r="D7" s="31" t="s">
        <v>127</v>
      </c>
      <c r="E7" s="32" t="n">
        <v>4508</v>
      </c>
      <c r="F7" s="31" t="s">
        <v>128</v>
      </c>
      <c r="G7" s="30" t="s">
        <v>125</v>
      </c>
      <c r="H7" s="29" t="n">
        <v>46300</v>
      </c>
      <c r="I7" s="32" t="n">
        <v>4508</v>
      </c>
      <c r="J7" s="32" t="n">
        <v>0</v>
      </c>
      <c r="K7" s="33" t="s">
        <v>129</v>
      </c>
    </row>
    <row r="8" customFormat="false" ht="15" hidden="false" customHeight="false" outlineLevel="0" collapsed="false">
      <c r="A8" s="29" t="n">
        <v>46299</v>
      </c>
      <c r="B8" s="30" t="s">
        <v>115</v>
      </c>
      <c r="C8" s="31" t="s">
        <v>23</v>
      </c>
      <c r="D8" s="31" t="s">
        <v>130</v>
      </c>
      <c r="E8" s="32" t="n">
        <v>362.25</v>
      </c>
      <c r="F8" s="31" t="s">
        <v>131</v>
      </c>
      <c r="G8" s="30" t="s">
        <v>125</v>
      </c>
      <c r="H8" s="29" t="n">
        <v>46300</v>
      </c>
      <c r="I8" s="32" t="n">
        <v>362.25</v>
      </c>
      <c r="J8" s="32" t="n">
        <v>0</v>
      </c>
      <c r="K8" s="33" t="s">
        <v>129</v>
      </c>
    </row>
    <row r="9" customFormat="false" ht="15" hidden="false" customHeight="false" outlineLevel="0" collapsed="false">
      <c r="A9" s="29" t="n">
        <v>46300</v>
      </c>
      <c r="B9" s="30" t="s">
        <v>115</v>
      </c>
      <c r="C9" s="31" t="s">
        <v>23</v>
      </c>
      <c r="D9" s="31" t="s">
        <v>132</v>
      </c>
      <c r="E9" s="32" t="n">
        <v>770.5</v>
      </c>
      <c r="F9" s="31" t="s">
        <v>131</v>
      </c>
      <c r="G9" s="30" t="s">
        <v>125</v>
      </c>
      <c r="H9" s="29" t="n">
        <v>46300</v>
      </c>
      <c r="I9" s="32" t="n">
        <v>770.5</v>
      </c>
      <c r="J9" s="32" t="n">
        <v>0</v>
      </c>
      <c r="K9" s="33" t="s">
        <v>133</v>
      </c>
    </row>
    <row r="10" customFormat="false" ht="15" hidden="false" customHeight="false" outlineLevel="0" collapsed="false">
      <c r="A10" s="29" t="n">
        <v>46301</v>
      </c>
      <c r="B10" s="30" t="s">
        <v>115</v>
      </c>
      <c r="C10" s="31" t="s">
        <v>23</v>
      </c>
      <c r="D10" s="31" t="s">
        <v>134</v>
      </c>
      <c r="E10" s="32" t="n">
        <v>4048</v>
      </c>
      <c r="F10" s="31" t="s">
        <v>135</v>
      </c>
      <c r="G10" s="30" t="s">
        <v>125</v>
      </c>
      <c r="H10" s="29" t="n">
        <v>46301</v>
      </c>
      <c r="I10" s="32" t="n">
        <v>4048</v>
      </c>
      <c r="J10" s="32" t="n">
        <v>0</v>
      </c>
      <c r="K10" s="33" t="s">
        <v>133</v>
      </c>
    </row>
    <row r="11" customFormat="false" ht="15" hidden="false" customHeight="false" outlineLevel="0" collapsed="false">
      <c r="A11" s="29" t="n">
        <v>46301</v>
      </c>
      <c r="B11" s="30" t="s">
        <v>115</v>
      </c>
      <c r="C11" s="31" t="s">
        <v>28</v>
      </c>
      <c r="D11" s="31" t="s">
        <v>136</v>
      </c>
      <c r="E11" s="32" t="n">
        <v>2769</v>
      </c>
      <c r="F11" s="31" t="s">
        <v>137</v>
      </c>
      <c r="G11" s="30" t="s">
        <v>125</v>
      </c>
      <c r="H11" s="29" t="n">
        <v>46301</v>
      </c>
      <c r="I11" s="32" t="n">
        <v>2769</v>
      </c>
      <c r="J11" s="32" t="n">
        <v>0</v>
      </c>
      <c r="K11" s="33" t="s">
        <v>133</v>
      </c>
    </row>
    <row r="12" customFormat="false" ht="15" hidden="false" customHeight="false" outlineLevel="0" collapsed="false">
      <c r="A12" s="29" t="n">
        <v>46306</v>
      </c>
      <c r="B12" s="30" t="s">
        <v>115</v>
      </c>
      <c r="C12" s="31" t="s">
        <v>23</v>
      </c>
      <c r="D12" s="31" t="s">
        <v>123</v>
      </c>
      <c r="E12" s="32" t="n">
        <v>7728</v>
      </c>
      <c r="F12" s="31" t="s">
        <v>124</v>
      </c>
      <c r="G12" s="30" t="s">
        <v>125</v>
      </c>
      <c r="H12" s="29" t="n">
        <v>46305</v>
      </c>
      <c r="I12" s="32" t="n">
        <v>7728</v>
      </c>
      <c r="J12" s="32" t="n">
        <v>0</v>
      </c>
      <c r="K12" s="33" t="s">
        <v>129</v>
      </c>
    </row>
    <row r="13" customFormat="false" ht="15" hidden="false" customHeight="false" outlineLevel="0" collapsed="false">
      <c r="A13" s="29" t="n">
        <v>46309</v>
      </c>
      <c r="B13" s="30" t="s">
        <v>115</v>
      </c>
      <c r="C13" s="31" t="s">
        <v>28</v>
      </c>
      <c r="D13" s="31" t="s">
        <v>138</v>
      </c>
      <c r="E13" s="32" t="n">
        <v>1400</v>
      </c>
      <c r="F13" s="31" t="s">
        <v>137</v>
      </c>
      <c r="G13" s="30" t="s">
        <v>125</v>
      </c>
      <c r="H13" s="29" t="n">
        <v>46309</v>
      </c>
      <c r="I13" s="32" t="n">
        <v>1400</v>
      </c>
      <c r="J13" s="32" t="n">
        <v>0</v>
      </c>
      <c r="K13" s="33" t="s">
        <v>133</v>
      </c>
    </row>
    <row r="14" customFormat="false" ht="15" hidden="false" customHeight="false" outlineLevel="0" collapsed="false">
      <c r="A14" s="29" t="n">
        <v>46313</v>
      </c>
      <c r="B14" s="30" t="s">
        <v>115</v>
      </c>
      <c r="C14" s="31" t="s">
        <v>23</v>
      </c>
      <c r="D14" s="31" t="s">
        <v>123</v>
      </c>
      <c r="E14" s="32" t="n">
        <v>2428</v>
      </c>
      <c r="F14" s="31" t="s">
        <v>124</v>
      </c>
      <c r="G14" s="30" t="s">
        <v>125</v>
      </c>
      <c r="H14" s="29" t="n">
        <v>46313</v>
      </c>
      <c r="I14" s="32" t="n">
        <v>2428</v>
      </c>
      <c r="J14" s="32" t="n">
        <v>0</v>
      </c>
      <c r="K14" s="33" t="s">
        <v>133</v>
      </c>
    </row>
    <row r="15" customFormat="false" ht="15" hidden="false" customHeight="false" outlineLevel="0" collapsed="false">
      <c r="A15" s="29" t="n">
        <v>46315</v>
      </c>
      <c r="B15" s="30" t="s">
        <v>115</v>
      </c>
      <c r="C15" s="31" t="s">
        <v>23</v>
      </c>
      <c r="D15" s="31" t="s">
        <v>139</v>
      </c>
      <c r="E15" s="32" t="n">
        <v>6626.3</v>
      </c>
      <c r="F15" s="31" t="s">
        <v>140</v>
      </c>
      <c r="G15" s="30" t="s">
        <v>125</v>
      </c>
      <c r="H15" s="29" t="n">
        <v>46315</v>
      </c>
      <c r="I15" s="32" t="n">
        <v>6626.3</v>
      </c>
      <c r="J15" s="32" t="n">
        <v>0</v>
      </c>
      <c r="K15" s="33" t="s">
        <v>133</v>
      </c>
    </row>
    <row r="16" customFormat="false" ht="15" hidden="false" customHeight="false" outlineLevel="0" collapsed="false">
      <c r="A16" s="29" t="n">
        <v>46317</v>
      </c>
      <c r="B16" s="30" t="s">
        <v>115</v>
      </c>
      <c r="C16" s="31" t="s">
        <v>23</v>
      </c>
      <c r="D16" s="31" t="s">
        <v>141</v>
      </c>
      <c r="E16" s="32" t="n">
        <v>3000</v>
      </c>
      <c r="F16" s="31" t="s">
        <v>142</v>
      </c>
      <c r="G16" s="30" t="s">
        <v>125</v>
      </c>
      <c r="H16" s="29" t="n">
        <v>46317</v>
      </c>
      <c r="I16" s="32" t="n">
        <v>3000</v>
      </c>
      <c r="J16" s="32" t="n">
        <v>0</v>
      </c>
      <c r="K16" s="33" t="s">
        <v>133</v>
      </c>
    </row>
    <row r="17" customFormat="false" ht="15" hidden="false" customHeight="false" outlineLevel="0" collapsed="false">
      <c r="A17" s="29" t="n">
        <v>46320</v>
      </c>
      <c r="B17" s="30" t="s">
        <v>115</v>
      </c>
      <c r="C17" s="31" t="s">
        <v>23</v>
      </c>
      <c r="D17" s="31" t="s">
        <v>143</v>
      </c>
      <c r="E17" s="32" t="n">
        <v>7000</v>
      </c>
      <c r="F17" s="31" t="s">
        <v>124</v>
      </c>
      <c r="G17" s="30" t="s">
        <v>125</v>
      </c>
      <c r="H17" s="29" t="n">
        <v>46320</v>
      </c>
      <c r="I17" s="32" t="n">
        <v>7000</v>
      </c>
      <c r="J17" s="32" t="n">
        <v>0</v>
      </c>
      <c r="K17" s="33" t="s">
        <v>133</v>
      </c>
    </row>
    <row r="18" customFormat="false" ht="15" hidden="false" customHeight="false" outlineLevel="0" collapsed="false">
      <c r="A18" s="29" t="n">
        <v>46321</v>
      </c>
      <c r="B18" s="30" t="s">
        <v>115</v>
      </c>
      <c r="C18" s="31" t="s">
        <v>23</v>
      </c>
      <c r="D18" s="31" t="s">
        <v>141</v>
      </c>
      <c r="E18" s="32" t="n">
        <v>7800</v>
      </c>
      <c r="F18" s="31" t="s">
        <v>142</v>
      </c>
      <c r="G18" s="30" t="s">
        <v>125</v>
      </c>
      <c r="H18" s="29" t="n">
        <v>46321</v>
      </c>
      <c r="I18" s="32" t="n">
        <v>7800</v>
      </c>
      <c r="J18" s="32" t="n">
        <v>0</v>
      </c>
      <c r="K18" s="33" t="s">
        <v>133</v>
      </c>
    </row>
    <row r="19" customFormat="false" ht="15" hidden="false" customHeight="false" outlineLevel="0" collapsed="false">
      <c r="A19" s="29" t="n">
        <v>46321</v>
      </c>
      <c r="B19" s="30" t="s">
        <v>115</v>
      </c>
      <c r="C19" s="31" t="s">
        <v>23</v>
      </c>
      <c r="D19" s="31" t="s">
        <v>143</v>
      </c>
      <c r="E19" s="32" t="n">
        <v>5110</v>
      </c>
      <c r="F19" s="31" t="s">
        <v>124</v>
      </c>
      <c r="G19" s="30" t="s">
        <v>125</v>
      </c>
      <c r="H19" s="29" t="n">
        <v>46321</v>
      </c>
      <c r="I19" s="32" t="n">
        <v>5110</v>
      </c>
      <c r="J19" s="32" t="n">
        <v>0</v>
      </c>
      <c r="K19" s="33" t="s">
        <v>133</v>
      </c>
    </row>
    <row r="20" customFormat="false" ht="15" hidden="false" customHeight="false" outlineLevel="0" collapsed="false">
      <c r="A20" s="29" t="n">
        <v>46323</v>
      </c>
      <c r="B20" s="30" t="s">
        <v>115</v>
      </c>
      <c r="C20" s="31" t="s">
        <v>23</v>
      </c>
      <c r="D20" s="31" t="s">
        <v>143</v>
      </c>
      <c r="E20" s="32" t="n">
        <v>5000</v>
      </c>
      <c r="F20" s="31" t="s">
        <v>124</v>
      </c>
      <c r="G20" s="30" t="s">
        <v>125</v>
      </c>
      <c r="H20" s="29" t="n">
        <v>46323</v>
      </c>
      <c r="I20" s="32" t="n">
        <v>5000</v>
      </c>
      <c r="J20" s="32" t="n">
        <v>0</v>
      </c>
      <c r="K20" s="33" t="s">
        <v>133</v>
      </c>
    </row>
    <row r="21" customFormat="false" ht="15" hidden="false" customHeight="false" outlineLevel="0" collapsed="false">
      <c r="A21" s="29" t="n">
        <v>46323</v>
      </c>
      <c r="B21" s="30" t="s">
        <v>115</v>
      </c>
      <c r="C21" s="31" t="s">
        <v>23</v>
      </c>
      <c r="D21" s="31" t="s">
        <v>144</v>
      </c>
      <c r="E21" s="32" t="n">
        <v>4275</v>
      </c>
      <c r="F21" s="31" t="s">
        <v>145</v>
      </c>
      <c r="G21" s="30" t="s">
        <v>125</v>
      </c>
      <c r="H21" s="29" t="n">
        <v>46323</v>
      </c>
      <c r="I21" s="32" t="n">
        <v>4275</v>
      </c>
      <c r="J21" s="32" t="n">
        <v>0</v>
      </c>
      <c r="K21" s="33" t="s">
        <v>133</v>
      </c>
    </row>
    <row r="22" customFormat="false" ht="15" hidden="false" customHeight="false" outlineLevel="0" collapsed="false">
      <c r="A22" s="29" t="n">
        <v>46323</v>
      </c>
      <c r="B22" s="30" t="s">
        <v>115</v>
      </c>
      <c r="C22" s="31" t="s">
        <v>23</v>
      </c>
      <c r="D22" s="31" t="s">
        <v>143</v>
      </c>
      <c r="E22" s="32" t="n">
        <v>4326</v>
      </c>
      <c r="F22" s="31" t="s">
        <v>124</v>
      </c>
      <c r="G22" s="30" t="s">
        <v>125</v>
      </c>
      <c r="H22" s="29" t="n">
        <v>46323</v>
      </c>
      <c r="I22" s="32" t="n">
        <v>4326</v>
      </c>
      <c r="J22" s="32" t="n">
        <v>0</v>
      </c>
      <c r="K22" s="33" t="s">
        <v>133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H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70"/>
    <col collapsed="false" customWidth="true" hidden="false" outlineLevel="0" max="7" min="7" style="0" width="22"/>
    <col collapsed="false" customWidth="true" hidden="false" outlineLevel="0" max="8" min="8" style="0" width="32"/>
  </cols>
  <sheetData>
    <row r="1" customFormat="false" ht="17.35" hidden="false" customHeight="true" outlineLevel="0" collapsed="false">
      <c r="A1" s="15" t="s">
        <v>146</v>
      </c>
      <c r="B1" s="15"/>
      <c r="C1" s="15"/>
      <c r="D1" s="15"/>
      <c r="E1" s="15"/>
      <c r="F1" s="15"/>
      <c r="G1" s="15"/>
      <c r="H1" s="15"/>
    </row>
    <row r="2" customFormat="false" ht="30" hidden="false" customHeight="true" outlineLevel="0" collapsed="false">
      <c r="A2" s="34" t="s">
        <v>147</v>
      </c>
      <c r="B2" s="34"/>
      <c r="C2" s="34"/>
      <c r="D2" s="34"/>
      <c r="E2" s="34"/>
      <c r="F2" s="34"/>
      <c r="G2" s="34"/>
      <c r="H2" s="34"/>
    </row>
    <row r="3" customFormat="false" ht="15" hidden="false" customHeight="false" outlineLevel="0" collapsed="false">
      <c r="B3" s="12" t="s">
        <v>148</v>
      </c>
      <c r="C3" s="35" t="n">
        <f aca="false">COUNTIF(D5:D2000,"عالية")</f>
        <v>4</v>
      </c>
      <c r="D3" s="12" t="s">
        <v>149</v>
      </c>
      <c r="E3" s="36" t="n">
        <f aca="false">COUNTIF(D5:D2000,"متوسطة")</f>
        <v>21</v>
      </c>
      <c r="F3" s="12" t="s">
        <v>150</v>
      </c>
      <c r="G3" s="37" t="n">
        <f aca="false">COUNTIF(D5:D2000,"منخفضة")</f>
        <v>12</v>
      </c>
    </row>
    <row r="4" customFormat="false" ht="23.85" hidden="false" customHeight="false" outlineLevel="0" collapsed="false">
      <c r="A4" s="6" t="s">
        <v>8</v>
      </c>
      <c r="B4" s="6" t="s">
        <v>9</v>
      </c>
      <c r="C4" s="6" t="s">
        <v>151</v>
      </c>
      <c r="D4" s="6" t="s">
        <v>152</v>
      </c>
      <c r="E4" s="6" t="s">
        <v>153</v>
      </c>
      <c r="F4" s="6" t="s">
        <v>154</v>
      </c>
      <c r="G4" s="6" t="s">
        <v>155</v>
      </c>
      <c r="H4" s="6" t="s">
        <v>156</v>
      </c>
    </row>
    <row r="5" customFormat="false" ht="15" hidden="false" customHeight="false" outlineLevel="0" collapsed="false">
      <c r="A5" s="38" t="n">
        <v>1</v>
      </c>
      <c r="B5" s="39" t="s">
        <v>157</v>
      </c>
      <c r="C5" s="38" t="s">
        <v>118</v>
      </c>
      <c r="D5" s="40" t="s">
        <v>148</v>
      </c>
      <c r="E5" s="38" t="s">
        <v>158</v>
      </c>
      <c r="F5" s="39" t="s">
        <v>159</v>
      </c>
      <c r="G5" s="39"/>
      <c r="H5" s="39" t="s">
        <v>160</v>
      </c>
    </row>
    <row r="6" customFormat="false" ht="22.35" hidden="false" customHeight="false" outlineLevel="0" collapsed="false">
      <c r="A6" s="38" t="n">
        <v>2</v>
      </c>
      <c r="B6" s="39" t="s">
        <v>157</v>
      </c>
      <c r="C6" s="38" t="s">
        <v>118</v>
      </c>
      <c r="D6" s="40" t="s">
        <v>148</v>
      </c>
      <c r="E6" s="38" t="s">
        <v>158</v>
      </c>
      <c r="F6" s="39" t="s">
        <v>161</v>
      </c>
      <c r="G6" s="39"/>
      <c r="H6" s="39" t="s">
        <v>160</v>
      </c>
    </row>
    <row r="7" customFormat="false" ht="22.35" hidden="false" customHeight="false" outlineLevel="0" collapsed="false">
      <c r="A7" s="38" t="n">
        <v>3</v>
      </c>
      <c r="B7" s="39" t="s">
        <v>157</v>
      </c>
      <c r="C7" s="38" t="s">
        <v>118</v>
      </c>
      <c r="D7" s="40" t="s">
        <v>148</v>
      </c>
      <c r="E7" s="38" t="s">
        <v>158</v>
      </c>
      <c r="F7" s="39" t="s">
        <v>162</v>
      </c>
      <c r="G7" s="39"/>
      <c r="H7" s="39" t="s">
        <v>160</v>
      </c>
    </row>
    <row r="8" customFormat="false" ht="22.35" hidden="false" customHeight="false" outlineLevel="0" collapsed="false">
      <c r="A8" s="38" t="n">
        <v>4</v>
      </c>
      <c r="B8" s="41" t="s">
        <v>163</v>
      </c>
      <c r="C8" s="38" t="s">
        <v>164</v>
      </c>
      <c r="D8" s="40" t="s">
        <v>148</v>
      </c>
      <c r="E8" s="38" t="s">
        <v>165</v>
      </c>
      <c r="F8" s="39" t="s">
        <v>166</v>
      </c>
      <c r="G8" s="39" t="s">
        <v>167</v>
      </c>
      <c r="H8" s="39" t="s">
        <v>168</v>
      </c>
    </row>
    <row r="9" customFormat="false" ht="15" hidden="false" customHeight="false" outlineLevel="0" collapsed="false">
      <c r="A9" s="38" t="n">
        <v>5</v>
      </c>
      <c r="B9" s="41" t="s">
        <v>41</v>
      </c>
      <c r="C9" s="38" t="s">
        <v>169</v>
      </c>
      <c r="D9" s="42" t="s">
        <v>149</v>
      </c>
      <c r="E9" s="38" t="s">
        <v>170</v>
      </c>
      <c r="F9" s="39" t="s">
        <v>171</v>
      </c>
      <c r="G9" s="39" t="s">
        <v>57</v>
      </c>
      <c r="H9" s="39" t="s">
        <v>172</v>
      </c>
    </row>
    <row r="10" customFormat="false" ht="15" hidden="false" customHeight="false" outlineLevel="0" collapsed="false">
      <c r="A10" s="38" t="n">
        <v>6</v>
      </c>
      <c r="B10" s="41" t="s">
        <v>19</v>
      </c>
      <c r="C10" s="38" t="n">
        <v>4</v>
      </c>
      <c r="D10" s="42" t="s">
        <v>149</v>
      </c>
      <c r="E10" s="38" t="s">
        <v>173</v>
      </c>
      <c r="F10" s="39" t="s">
        <v>174</v>
      </c>
      <c r="G10" s="39" t="s">
        <v>175</v>
      </c>
      <c r="H10" s="39" t="s">
        <v>176</v>
      </c>
    </row>
    <row r="11" customFormat="false" ht="15" hidden="false" customHeight="false" outlineLevel="0" collapsed="false">
      <c r="A11" s="38" t="n">
        <v>7</v>
      </c>
      <c r="B11" s="41" t="s">
        <v>19</v>
      </c>
      <c r="C11" s="38" t="n">
        <v>5</v>
      </c>
      <c r="D11" s="42" t="s">
        <v>149</v>
      </c>
      <c r="E11" s="38" t="s">
        <v>173</v>
      </c>
      <c r="F11" s="39" t="s">
        <v>177</v>
      </c>
      <c r="G11" s="39" t="s">
        <v>178</v>
      </c>
      <c r="H11" s="39" t="s">
        <v>176</v>
      </c>
    </row>
    <row r="12" customFormat="false" ht="15" hidden="false" customHeight="false" outlineLevel="0" collapsed="false">
      <c r="A12" s="38" t="n">
        <v>8</v>
      </c>
      <c r="B12" s="41" t="s">
        <v>36</v>
      </c>
      <c r="C12" s="38" t="n">
        <v>5</v>
      </c>
      <c r="D12" s="42" t="s">
        <v>149</v>
      </c>
      <c r="E12" s="38" t="s">
        <v>173</v>
      </c>
      <c r="F12" s="39" t="s">
        <v>174</v>
      </c>
      <c r="G12" s="39" t="s">
        <v>179</v>
      </c>
      <c r="H12" s="39" t="s">
        <v>176</v>
      </c>
    </row>
    <row r="13" customFormat="false" ht="15" hidden="false" customHeight="false" outlineLevel="0" collapsed="false">
      <c r="A13" s="38" t="n">
        <v>9</v>
      </c>
      <c r="B13" s="41" t="s">
        <v>163</v>
      </c>
      <c r="C13" s="38" t="n">
        <v>12</v>
      </c>
      <c r="D13" s="42" t="s">
        <v>149</v>
      </c>
      <c r="E13" s="38" t="s">
        <v>173</v>
      </c>
      <c r="F13" s="39" t="s">
        <v>174</v>
      </c>
      <c r="G13" s="39" t="s">
        <v>180</v>
      </c>
      <c r="H13" s="39" t="s">
        <v>176</v>
      </c>
    </row>
    <row r="14" customFormat="false" ht="15" hidden="false" customHeight="false" outlineLevel="0" collapsed="false">
      <c r="A14" s="38" t="n">
        <v>10</v>
      </c>
      <c r="B14" s="41" t="s">
        <v>163</v>
      </c>
      <c r="C14" s="38" t="n">
        <v>18</v>
      </c>
      <c r="D14" s="42" t="s">
        <v>149</v>
      </c>
      <c r="E14" s="38" t="s">
        <v>173</v>
      </c>
      <c r="F14" s="39" t="s">
        <v>174</v>
      </c>
      <c r="G14" s="39" t="s">
        <v>181</v>
      </c>
      <c r="H14" s="39" t="s">
        <v>176</v>
      </c>
    </row>
    <row r="15" customFormat="false" ht="15" hidden="false" customHeight="false" outlineLevel="0" collapsed="false">
      <c r="A15" s="38" t="n">
        <v>11</v>
      </c>
      <c r="B15" s="41" t="s">
        <v>163</v>
      </c>
      <c r="C15" s="38" t="n">
        <v>21</v>
      </c>
      <c r="D15" s="42" t="s">
        <v>149</v>
      </c>
      <c r="E15" s="38" t="s">
        <v>173</v>
      </c>
      <c r="F15" s="39" t="s">
        <v>174</v>
      </c>
      <c r="G15" s="39" t="s">
        <v>182</v>
      </c>
      <c r="H15" s="39" t="s">
        <v>176</v>
      </c>
    </row>
    <row r="16" customFormat="false" ht="15" hidden="false" customHeight="false" outlineLevel="0" collapsed="false">
      <c r="A16" s="38" t="n">
        <v>12</v>
      </c>
      <c r="B16" s="41" t="s">
        <v>163</v>
      </c>
      <c r="C16" s="38" t="n">
        <v>31</v>
      </c>
      <c r="D16" s="42" t="s">
        <v>149</v>
      </c>
      <c r="E16" s="38" t="s">
        <v>173</v>
      </c>
      <c r="F16" s="39" t="s">
        <v>174</v>
      </c>
      <c r="G16" s="39" t="s">
        <v>183</v>
      </c>
      <c r="H16" s="39" t="s">
        <v>176</v>
      </c>
    </row>
    <row r="17" customFormat="false" ht="15" hidden="false" customHeight="false" outlineLevel="0" collapsed="false">
      <c r="A17" s="38" t="n">
        <v>13</v>
      </c>
      <c r="B17" s="39" t="s">
        <v>184</v>
      </c>
      <c r="C17" s="38" t="s">
        <v>118</v>
      </c>
      <c r="D17" s="42" t="s">
        <v>149</v>
      </c>
      <c r="E17" s="38" t="s">
        <v>185</v>
      </c>
      <c r="F17" s="39" t="s">
        <v>186</v>
      </c>
      <c r="G17" s="39"/>
      <c r="H17" s="39"/>
    </row>
    <row r="18" customFormat="false" ht="22.35" hidden="false" customHeight="false" outlineLevel="0" collapsed="false">
      <c r="A18" s="38" t="n">
        <v>14</v>
      </c>
      <c r="B18" s="41" t="s">
        <v>19</v>
      </c>
      <c r="C18" s="38" t="s">
        <v>187</v>
      </c>
      <c r="D18" s="42" t="s">
        <v>149</v>
      </c>
      <c r="E18" s="38" t="s">
        <v>188</v>
      </c>
      <c r="F18" s="39" t="s">
        <v>189</v>
      </c>
      <c r="G18" s="39" t="s">
        <v>190</v>
      </c>
      <c r="H18" s="39" t="s">
        <v>191</v>
      </c>
    </row>
    <row r="19" customFormat="false" ht="22.35" hidden="false" customHeight="false" outlineLevel="0" collapsed="false">
      <c r="A19" s="38" t="n">
        <v>15</v>
      </c>
      <c r="B19" s="41" t="s">
        <v>23</v>
      </c>
      <c r="C19" s="38" t="s">
        <v>192</v>
      </c>
      <c r="D19" s="42" t="s">
        <v>149</v>
      </c>
      <c r="E19" s="38" t="s">
        <v>188</v>
      </c>
      <c r="F19" s="39" t="s">
        <v>193</v>
      </c>
      <c r="G19" s="39" t="s">
        <v>194</v>
      </c>
      <c r="H19" s="39" t="s">
        <v>191</v>
      </c>
    </row>
    <row r="20" customFormat="false" ht="22.35" hidden="false" customHeight="false" outlineLevel="0" collapsed="false">
      <c r="A20" s="38" t="n">
        <v>16</v>
      </c>
      <c r="B20" s="41" t="s">
        <v>25</v>
      </c>
      <c r="C20" s="38" t="s">
        <v>195</v>
      </c>
      <c r="D20" s="42" t="s">
        <v>149</v>
      </c>
      <c r="E20" s="38" t="s">
        <v>188</v>
      </c>
      <c r="F20" s="39" t="s">
        <v>196</v>
      </c>
      <c r="G20" s="39" t="s">
        <v>197</v>
      </c>
      <c r="H20" s="39" t="s">
        <v>191</v>
      </c>
    </row>
    <row r="21" customFormat="false" ht="22.35" hidden="false" customHeight="false" outlineLevel="0" collapsed="false">
      <c r="A21" s="38" t="n">
        <v>17</v>
      </c>
      <c r="B21" s="41" t="s">
        <v>198</v>
      </c>
      <c r="C21" s="38" t="s">
        <v>199</v>
      </c>
      <c r="D21" s="42" t="s">
        <v>149</v>
      </c>
      <c r="E21" s="38" t="s">
        <v>188</v>
      </c>
      <c r="F21" s="39" t="s">
        <v>200</v>
      </c>
      <c r="G21" s="39" t="s">
        <v>201</v>
      </c>
      <c r="H21" s="39" t="s">
        <v>191</v>
      </c>
    </row>
    <row r="22" customFormat="false" ht="22.35" hidden="false" customHeight="false" outlineLevel="0" collapsed="false">
      <c r="A22" s="38" t="n">
        <v>18</v>
      </c>
      <c r="B22" s="41" t="s">
        <v>30</v>
      </c>
      <c r="C22" s="38" t="s">
        <v>202</v>
      </c>
      <c r="D22" s="42" t="s">
        <v>149</v>
      </c>
      <c r="E22" s="38" t="s">
        <v>188</v>
      </c>
      <c r="F22" s="39" t="s">
        <v>203</v>
      </c>
      <c r="G22" s="39" t="s">
        <v>204</v>
      </c>
      <c r="H22" s="39" t="s">
        <v>191</v>
      </c>
    </row>
    <row r="23" customFormat="false" ht="15" hidden="false" customHeight="false" outlineLevel="0" collapsed="false">
      <c r="A23" s="38" t="n">
        <v>19</v>
      </c>
      <c r="B23" s="41" t="s">
        <v>205</v>
      </c>
      <c r="C23" s="38" t="s">
        <v>206</v>
      </c>
      <c r="D23" s="42" t="s">
        <v>149</v>
      </c>
      <c r="E23" s="38" t="s">
        <v>188</v>
      </c>
      <c r="F23" s="39" t="s">
        <v>207</v>
      </c>
      <c r="G23" s="39" t="s">
        <v>208</v>
      </c>
      <c r="H23" s="39" t="s">
        <v>209</v>
      </c>
    </row>
    <row r="24" customFormat="false" ht="15" hidden="false" customHeight="false" outlineLevel="0" collapsed="false">
      <c r="A24" s="38" t="n">
        <v>20</v>
      </c>
      <c r="B24" s="41" t="s">
        <v>35</v>
      </c>
      <c r="C24" s="38" t="s">
        <v>206</v>
      </c>
      <c r="D24" s="42" t="s">
        <v>149</v>
      </c>
      <c r="E24" s="38" t="s">
        <v>188</v>
      </c>
      <c r="F24" s="39" t="s">
        <v>207</v>
      </c>
      <c r="G24" s="39" t="s">
        <v>208</v>
      </c>
      <c r="H24" s="39" t="s">
        <v>209</v>
      </c>
    </row>
    <row r="25" customFormat="false" ht="15" hidden="false" customHeight="false" outlineLevel="0" collapsed="false">
      <c r="A25" s="38" t="n">
        <v>21</v>
      </c>
      <c r="B25" s="41" t="s">
        <v>35</v>
      </c>
      <c r="C25" s="38" t="s">
        <v>210</v>
      </c>
      <c r="D25" s="42" t="s">
        <v>149</v>
      </c>
      <c r="E25" s="38" t="s">
        <v>188</v>
      </c>
      <c r="F25" s="39" t="s">
        <v>211</v>
      </c>
      <c r="G25" s="39" t="s">
        <v>212</v>
      </c>
      <c r="H25" s="39" t="s">
        <v>209</v>
      </c>
    </row>
    <row r="26" customFormat="false" ht="22.35" hidden="false" customHeight="false" outlineLevel="0" collapsed="false">
      <c r="A26" s="38" t="n">
        <v>22</v>
      </c>
      <c r="B26" s="41" t="s">
        <v>37</v>
      </c>
      <c r="C26" s="38" t="s">
        <v>187</v>
      </c>
      <c r="D26" s="42" t="s">
        <v>149</v>
      </c>
      <c r="E26" s="38" t="s">
        <v>188</v>
      </c>
      <c r="F26" s="39" t="s">
        <v>213</v>
      </c>
      <c r="G26" s="39" t="s">
        <v>190</v>
      </c>
      <c r="H26" s="39" t="s">
        <v>191</v>
      </c>
    </row>
    <row r="27" customFormat="false" ht="22.35" hidden="false" customHeight="false" outlineLevel="0" collapsed="false">
      <c r="A27" s="38" t="n">
        <v>23</v>
      </c>
      <c r="B27" s="41" t="s">
        <v>163</v>
      </c>
      <c r="C27" s="38" t="s">
        <v>214</v>
      </c>
      <c r="D27" s="42" t="s">
        <v>149</v>
      </c>
      <c r="E27" s="38" t="s">
        <v>188</v>
      </c>
      <c r="F27" s="39" t="s">
        <v>215</v>
      </c>
      <c r="G27" s="39" t="s">
        <v>216</v>
      </c>
      <c r="H27" s="39" t="s">
        <v>191</v>
      </c>
    </row>
    <row r="28" customFormat="false" ht="22.35" hidden="false" customHeight="false" outlineLevel="0" collapsed="false">
      <c r="A28" s="38" t="n">
        <v>24</v>
      </c>
      <c r="B28" s="41" t="s">
        <v>39</v>
      </c>
      <c r="C28" s="38" t="s">
        <v>217</v>
      </c>
      <c r="D28" s="42" t="s">
        <v>149</v>
      </c>
      <c r="E28" s="38" t="s">
        <v>188</v>
      </c>
      <c r="F28" s="39" t="s">
        <v>218</v>
      </c>
      <c r="G28" s="39" t="s">
        <v>219</v>
      </c>
      <c r="H28" s="39" t="s">
        <v>191</v>
      </c>
    </row>
    <row r="29" customFormat="false" ht="22.35" hidden="false" customHeight="false" outlineLevel="0" collapsed="false">
      <c r="A29" s="38" t="n">
        <v>25</v>
      </c>
      <c r="B29" s="41" t="s">
        <v>41</v>
      </c>
      <c r="C29" s="38" t="s">
        <v>187</v>
      </c>
      <c r="D29" s="42" t="s">
        <v>149</v>
      </c>
      <c r="E29" s="38" t="s">
        <v>188</v>
      </c>
      <c r="F29" s="39" t="s">
        <v>220</v>
      </c>
      <c r="G29" s="39" t="s">
        <v>190</v>
      </c>
      <c r="H29" s="39" t="s">
        <v>191</v>
      </c>
    </row>
    <row r="30" customFormat="false" ht="15" hidden="false" customHeight="false" outlineLevel="0" collapsed="false">
      <c r="A30" s="38" t="n">
        <v>26</v>
      </c>
      <c r="B30" s="41" t="s">
        <v>23</v>
      </c>
      <c r="C30" s="38" t="s">
        <v>221</v>
      </c>
      <c r="D30" s="43" t="s">
        <v>150</v>
      </c>
      <c r="E30" s="38" t="s">
        <v>170</v>
      </c>
      <c r="F30" s="39" t="s">
        <v>222</v>
      </c>
      <c r="G30" s="39" t="s">
        <v>223</v>
      </c>
      <c r="H30" s="39" t="s">
        <v>224</v>
      </c>
    </row>
    <row r="31" customFormat="false" ht="15" hidden="false" customHeight="false" outlineLevel="0" collapsed="false">
      <c r="A31" s="38" t="n">
        <v>27</v>
      </c>
      <c r="B31" s="41" t="s">
        <v>22</v>
      </c>
      <c r="C31" s="38" t="s">
        <v>225</v>
      </c>
      <c r="D31" s="43" t="s">
        <v>150</v>
      </c>
      <c r="E31" s="38" t="s">
        <v>165</v>
      </c>
      <c r="F31" s="39" t="s">
        <v>226</v>
      </c>
      <c r="G31" s="39" t="s">
        <v>227</v>
      </c>
      <c r="H31" s="39" t="s">
        <v>228</v>
      </c>
    </row>
    <row r="32" customFormat="false" ht="15" hidden="false" customHeight="false" outlineLevel="0" collapsed="false">
      <c r="A32" s="38" t="n">
        <v>28</v>
      </c>
      <c r="B32" s="41" t="s">
        <v>23</v>
      </c>
      <c r="C32" s="38" t="s">
        <v>229</v>
      </c>
      <c r="D32" s="43" t="s">
        <v>150</v>
      </c>
      <c r="E32" s="38" t="s">
        <v>165</v>
      </c>
      <c r="F32" s="39" t="s">
        <v>230</v>
      </c>
      <c r="G32" s="39" t="s">
        <v>227</v>
      </c>
      <c r="H32" s="39" t="s">
        <v>228</v>
      </c>
    </row>
    <row r="33" customFormat="false" ht="15" hidden="false" customHeight="false" outlineLevel="0" collapsed="false">
      <c r="A33" s="38" t="n">
        <v>29</v>
      </c>
      <c r="B33" s="41" t="s">
        <v>198</v>
      </c>
      <c r="C33" s="38" t="s">
        <v>231</v>
      </c>
      <c r="D33" s="43" t="s">
        <v>150</v>
      </c>
      <c r="E33" s="38" t="s">
        <v>165</v>
      </c>
      <c r="F33" s="39" t="s">
        <v>232</v>
      </c>
      <c r="G33" s="39" t="s">
        <v>227</v>
      </c>
      <c r="H33" s="39" t="s">
        <v>228</v>
      </c>
    </row>
    <row r="34" customFormat="false" ht="15" hidden="false" customHeight="false" outlineLevel="0" collapsed="false">
      <c r="A34" s="38" t="n">
        <v>30</v>
      </c>
      <c r="B34" s="41" t="s">
        <v>29</v>
      </c>
      <c r="C34" s="38" t="s">
        <v>233</v>
      </c>
      <c r="D34" s="43" t="s">
        <v>150</v>
      </c>
      <c r="E34" s="38" t="s">
        <v>165</v>
      </c>
      <c r="F34" s="39" t="s">
        <v>234</v>
      </c>
      <c r="G34" s="39" t="s">
        <v>227</v>
      </c>
      <c r="H34" s="39" t="s">
        <v>228</v>
      </c>
    </row>
    <row r="35" customFormat="false" ht="15" hidden="false" customHeight="false" outlineLevel="0" collapsed="false">
      <c r="A35" s="38" t="n">
        <v>31</v>
      </c>
      <c r="B35" s="41" t="s">
        <v>30</v>
      </c>
      <c r="C35" s="38" t="s">
        <v>235</v>
      </c>
      <c r="D35" s="43" t="s">
        <v>150</v>
      </c>
      <c r="E35" s="38" t="s">
        <v>165</v>
      </c>
      <c r="F35" s="39" t="s">
        <v>236</v>
      </c>
      <c r="G35" s="39" t="n">
        <v>2300</v>
      </c>
      <c r="H35" s="39" t="s">
        <v>237</v>
      </c>
    </row>
    <row r="36" customFormat="false" ht="15" hidden="false" customHeight="false" outlineLevel="0" collapsed="false">
      <c r="A36" s="38" t="n">
        <v>32</v>
      </c>
      <c r="B36" s="41" t="s">
        <v>30</v>
      </c>
      <c r="C36" s="38" t="s">
        <v>238</v>
      </c>
      <c r="D36" s="43" t="s">
        <v>150</v>
      </c>
      <c r="E36" s="38" t="s">
        <v>165</v>
      </c>
      <c r="F36" s="39" t="s">
        <v>239</v>
      </c>
      <c r="G36" s="39" t="s">
        <v>227</v>
      </c>
      <c r="H36" s="39" t="s">
        <v>228</v>
      </c>
    </row>
    <row r="37" customFormat="false" ht="15" hidden="false" customHeight="false" outlineLevel="0" collapsed="false">
      <c r="A37" s="38" t="n">
        <v>33</v>
      </c>
      <c r="B37" s="41" t="s">
        <v>205</v>
      </c>
      <c r="C37" s="38" t="s">
        <v>240</v>
      </c>
      <c r="D37" s="43" t="s">
        <v>150</v>
      </c>
      <c r="E37" s="38" t="s">
        <v>165</v>
      </c>
      <c r="F37" s="39" t="s">
        <v>226</v>
      </c>
      <c r="G37" s="39" t="s">
        <v>227</v>
      </c>
      <c r="H37" s="39" t="s">
        <v>228</v>
      </c>
    </row>
    <row r="38" customFormat="false" ht="15" hidden="false" customHeight="false" outlineLevel="0" collapsed="false">
      <c r="A38" s="38" t="n">
        <v>34</v>
      </c>
      <c r="B38" s="41" t="s">
        <v>35</v>
      </c>
      <c r="C38" s="38" t="s">
        <v>241</v>
      </c>
      <c r="D38" s="43" t="s">
        <v>150</v>
      </c>
      <c r="E38" s="38" t="s">
        <v>165</v>
      </c>
      <c r="F38" s="39" t="s">
        <v>226</v>
      </c>
      <c r="G38" s="39" t="s">
        <v>227</v>
      </c>
      <c r="H38" s="39" t="s">
        <v>228</v>
      </c>
    </row>
    <row r="39" customFormat="false" ht="15" hidden="false" customHeight="false" outlineLevel="0" collapsed="false">
      <c r="A39" s="38" t="n">
        <v>35</v>
      </c>
      <c r="B39" s="41" t="s">
        <v>163</v>
      </c>
      <c r="C39" s="38" t="s">
        <v>242</v>
      </c>
      <c r="D39" s="43" t="s">
        <v>150</v>
      </c>
      <c r="E39" s="38" t="s">
        <v>165</v>
      </c>
      <c r="F39" s="39" t="s">
        <v>236</v>
      </c>
      <c r="G39" s="39" t="n">
        <v>96</v>
      </c>
      <c r="H39" s="39" t="s">
        <v>237</v>
      </c>
    </row>
    <row r="40" customFormat="false" ht="15" hidden="false" customHeight="false" outlineLevel="0" collapsed="false">
      <c r="A40" s="38" t="n">
        <v>36</v>
      </c>
      <c r="B40" s="41" t="s">
        <v>163</v>
      </c>
      <c r="C40" s="38" t="s">
        <v>243</v>
      </c>
      <c r="D40" s="43" t="s">
        <v>150</v>
      </c>
      <c r="E40" s="38" t="s">
        <v>165</v>
      </c>
      <c r="F40" s="39" t="s">
        <v>232</v>
      </c>
      <c r="G40" s="39" t="s">
        <v>227</v>
      </c>
      <c r="H40" s="39" t="s">
        <v>228</v>
      </c>
    </row>
    <row r="41" customFormat="false" ht="15" hidden="false" customHeight="false" outlineLevel="0" collapsed="false">
      <c r="A41" s="38" t="n">
        <v>37</v>
      </c>
      <c r="B41" s="41" t="s">
        <v>244</v>
      </c>
      <c r="C41" s="38" t="s">
        <v>118</v>
      </c>
      <c r="D41" s="43" t="s">
        <v>150</v>
      </c>
      <c r="E41" s="38" t="s">
        <v>245</v>
      </c>
      <c r="F41" s="39" t="s">
        <v>246</v>
      </c>
      <c r="G41" s="39"/>
      <c r="H41" s="39" t="s">
        <v>247</v>
      </c>
    </row>
  </sheetData>
  <autoFilter ref="A4:H41"/>
  <mergeCells count="2">
    <mergeCell ref="A1:H1"/>
    <mergeCell ref="A2:H2"/>
  </mergeCells>
  <hyperlinks>
    <hyperlink ref="B8" r:id="rId1" location="'نخبه%20الاغصان'!A1" display="نخبه الاغصان"/>
    <hyperlink ref="B9" r:id="rId2" location="'حمدان'!A1" display="حمدان"/>
    <hyperlink ref="B10" r:id="rId3" location="'المزارع%20المبدع'!A1" display="المزارع المبدع"/>
    <hyperlink ref="B11" r:id="rId4" location="'المزارع%20المبدع'!A1" display="المزارع المبدع"/>
    <hyperlink ref="B12" r:id="rId5" location="'اباصرة'!A1" display="اباصرة"/>
    <hyperlink ref="B13" r:id="rId6" location="'نخبه%20الاغصان'!A1" display="نخبه الاغصان"/>
    <hyperlink ref="B14" r:id="rId7" location="'نخبه%20الاغصان'!A1" display="نخبه الاغصان"/>
    <hyperlink ref="B15" r:id="rId8" location="'نخبه%20الاغصان'!A1" display="نخبه الاغصان"/>
    <hyperlink ref="B16" r:id="rId9" location="'نخبه%20الاغصان'!A1" display="نخبه الاغصان"/>
    <hyperlink ref="B18" r:id="rId10" location="'المزارع%20المبدع'!A1" display="المزارع المبدع"/>
    <hyperlink ref="B19" r:id="rId11" location="'جبار%20البيشي'!A1" display="جبار البيشي"/>
    <hyperlink ref="B20" r:id="rId12" location="'ثمار%20العالمي'!A1" display="ثمار العالمي"/>
    <hyperlink ref="B21" r:id="rId13" location="'عبر%20الاقليم'!A1" display="عبر الاقليم"/>
    <hyperlink ref="B22" r:id="rId14" location="'البشري'!A1" display="البشري"/>
    <hyperlink ref="B23" r:id="rId15" location="'الاغذية%20الطازجة'!A1" display="الاغذية الطازجة"/>
    <hyperlink ref="B24" r:id="rId16" location="'ثلاجة%20نخيل'!A1" display="ثلاجة نخيل"/>
    <hyperlink ref="B25" r:id="rId17" location="'ثلاجة%20نخيل'!A1" display="ثلاجة نخيل"/>
    <hyperlink ref="B26" r:id="rId18" location="'عبدالقادر'!A1" display="عبدالقادر"/>
    <hyperlink ref="B27" r:id="rId19" location="'نخبه%20الاغصان'!A1" display="نخبه الاغصان"/>
    <hyperlink ref="B28" r:id="rId20" location="'فصل%20الاعمال'!A1" display="فصل الاعمال"/>
    <hyperlink ref="B29" r:id="rId21" location="'حمدان'!A1" display="حمدان"/>
    <hyperlink ref="B30" r:id="rId22" location="'جبار%20البيشي'!A1" display="جبار البيشي"/>
    <hyperlink ref="B31" r:id="rId23" location="'الجوهرة'!A1" display="الجوهرة"/>
    <hyperlink ref="B32" r:id="rId24" location="'جبار%20البيشي'!A1" display="جبار البيشي"/>
    <hyperlink ref="B33" r:id="rId25" location="'عبر%20الاقليم'!A1" display="عبر الاقليم"/>
    <hyperlink ref="B34" r:id="rId26" location="'العجم'!A1" display="العجم"/>
    <hyperlink ref="B35" r:id="rId27" location="'البشري'!A1" display="البشري"/>
    <hyperlink ref="B36" r:id="rId28" location="'البشري'!A1" display="البشري"/>
    <hyperlink ref="B37" r:id="rId29" location="'الاغذية%20الطازجة'!A1" display="الاغذية الطازجة"/>
    <hyperlink ref="B38" r:id="rId30" location="'ثلاجة%20نخيل'!A1" display="ثلاجة نخيل"/>
    <hyperlink ref="B39" r:id="rId31" location="'نخبه%20الاغصان'!A1" display="نخبه الاغصان"/>
    <hyperlink ref="B40" r:id="rId32" location="'نخبه%20الاغصان'!A1" display="نخبه الاغصان"/>
    <hyperlink ref="B41" r:id="rId33" location="'ورقة1'!A1" display="ورقة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248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46296</v>
      </c>
      <c r="E4" s="48" t="n">
        <f aca="false">IF(COUNT(C7:C1000)=0,"",MAX(C7:C1000))</f>
        <v>46297</v>
      </c>
      <c r="F4" s="49" t="n">
        <f aca="false">SUM(H7:H1000)</f>
        <v>60</v>
      </c>
      <c r="G4" s="49" t="n">
        <f aca="false">SUM(I7:I1000)</f>
        <v>60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علينا","رصيد لنا"))</f>
        <v>مسدد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46296</v>
      </c>
      <c r="D7" s="56" t="s">
        <v>55</v>
      </c>
      <c r="E7" s="57" t="n">
        <v>2</v>
      </c>
      <c r="F7" s="58" t="n">
        <v>30</v>
      </c>
      <c r="G7" s="54" t="n">
        <v>0</v>
      </c>
      <c r="H7" s="59"/>
      <c r="I7" s="59" t="n">
        <f aca="false">ROUND(E7*F7*IF(G7&gt;1,G7,1),2)</f>
        <v>60</v>
      </c>
      <c r="J7" s="60" t="n">
        <f aca="false">IF(COUNTA(C7:D7)=0,"",ROUND(SUM(H$7:H7)-SUM(I$7:I7),2))</f>
        <v>-60</v>
      </c>
      <c r="K7" s="54"/>
      <c r="L7" s="61" t="s">
        <v>263</v>
      </c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46297</v>
      </c>
      <c r="D8" s="64" t="s">
        <v>57</v>
      </c>
      <c r="E8" s="65"/>
      <c r="F8" s="66"/>
      <c r="G8" s="62"/>
      <c r="H8" s="67" t="n">
        <v>60</v>
      </c>
      <c r="I8" s="67"/>
      <c r="J8" s="68" t="n">
        <f aca="false">IF(COUNTA(C8:D8)=0,"",ROUND(SUM(H$7:H8)-SUM(I$7:I8),2))</f>
        <v>0</v>
      </c>
      <c r="K8" s="62"/>
      <c r="L8" s="69" t="s">
        <v>263</v>
      </c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264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46318</v>
      </c>
      <c r="E4" s="48" t="n">
        <f aca="false">IF(COUNT(C7:C1000)=0,"",MAX(C7:C1000))</f>
        <v>46324</v>
      </c>
      <c r="F4" s="49" t="n">
        <f aca="false">SUM(H7:H1000)</f>
        <v>3622.5</v>
      </c>
      <c r="G4" s="49" t="n">
        <f aca="false">SUM(I7:I1000)</f>
        <v>2000</v>
      </c>
      <c r="H4" s="50" t="n">
        <f aca="false">ROUND(F4-G4,2)</f>
        <v>1622.5</v>
      </c>
      <c r="I4" s="49" t="n">
        <f aca="false">ROUND(SUMPRODUCT((G7:G1000&gt;1)*E7:E1000*F7:F1000*(G7:G1000-1)),2)</f>
        <v>472.5</v>
      </c>
      <c r="J4" s="48" t="n">
        <f aca="false">IF(COUNTIFS(I7:I1000,"&gt;0",E7:E1000,"")=0,"",_xlfn.MAXIFS(C7:C1000,I7:I1000,"&gt;0",E7:E1000,""))</f>
        <v>46324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46318</v>
      </c>
      <c r="D7" s="56" t="s">
        <v>265</v>
      </c>
      <c r="E7" s="57" t="n">
        <v>70</v>
      </c>
      <c r="F7" s="58" t="n">
        <v>45</v>
      </c>
      <c r="G7" s="54" t="n">
        <v>1.15</v>
      </c>
      <c r="H7" s="59" t="n">
        <f aca="false">ROUND(E7*F7*IF(G7&gt;1,G7,1),2)</f>
        <v>3622.5</v>
      </c>
      <c r="I7" s="59"/>
      <c r="J7" s="60" t="n">
        <f aca="false">IF(COUNTA(C7:D7)=0,"",ROUND(SUM(H$7:H7)-SUM(I$7:I7),2))</f>
        <v>3622.5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الخميس</v>
      </c>
      <c r="C8" s="63" t="n">
        <v>46324</v>
      </c>
      <c r="D8" s="64" t="s">
        <v>266</v>
      </c>
      <c r="E8" s="65"/>
      <c r="F8" s="66"/>
      <c r="G8" s="62"/>
      <c r="H8" s="67"/>
      <c r="I8" s="67" t="n">
        <v>2000</v>
      </c>
      <c r="J8" s="68" t="n">
        <f aca="false">IF(COUNTA(C8:D8)=0,"",ROUND(SUM(H$7:H8)-SUM(I$7:I8),2))</f>
        <v>1622.5</v>
      </c>
      <c r="K8" s="62" t="s">
        <v>267</v>
      </c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268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46324</v>
      </c>
      <c r="E4" s="48" t="n">
        <f aca="false">IF(COUNT(C7:C1000)=0,"",MAX(C7:C1000))</f>
        <v>46324</v>
      </c>
      <c r="F4" s="49" t="n">
        <f aca="false">SUM(H7:H1000)</f>
        <v>3047.5</v>
      </c>
      <c r="G4" s="49" t="n">
        <f aca="false">SUM(I7:I1000)</f>
        <v>0</v>
      </c>
      <c r="H4" s="50" t="n">
        <f aca="false">ROUND(F4-G4,2)</f>
        <v>3047.5</v>
      </c>
      <c r="I4" s="49" t="n">
        <f aca="false">ROUND(SUMPRODUCT((G7:G1000&gt;1)*E7:E1000*F7:F1000*(G7:G1000-1)),2)</f>
        <v>397.5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46324</v>
      </c>
      <c r="D7" s="56" t="s">
        <v>60</v>
      </c>
      <c r="E7" s="57" t="n">
        <v>53</v>
      </c>
      <c r="F7" s="58" t="n">
        <v>50</v>
      </c>
      <c r="G7" s="54" t="n">
        <v>1.15</v>
      </c>
      <c r="H7" s="59" t="n">
        <f aca="false">ROUND(E7*F7*IF(G7&gt;1,G7,1),2)</f>
        <v>3047.5</v>
      </c>
      <c r="I7" s="59"/>
      <c r="J7" s="60" t="n">
        <f aca="false">IF(COUNTA(C7:D7)=0,"",ROUND(SUM(H$7:H7)-SUM(I$7:I7),2))</f>
        <v>3047.5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/>
      </c>
      <c r="C8" s="70"/>
      <c r="D8" s="64"/>
      <c r="E8" s="71"/>
      <c r="F8" s="72"/>
      <c r="G8" s="73"/>
      <c r="H8" s="74"/>
      <c r="I8" s="74"/>
      <c r="J8" s="68" t="str">
        <f aca="false">IF(COUNTA(C8:D8)=0,"",ROUND(SUM(H$7:H8)-SUM(I$7:I8),2))</f>
        <v/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269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46318</v>
      </c>
      <c r="E4" s="48" t="n">
        <f aca="false">IF(COUNT(C7:C1000)=0,"",MAX(C7:C1000))</f>
        <v>46325</v>
      </c>
      <c r="F4" s="49" t="n">
        <f aca="false">SUM(H7:H1000)</f>
        <v>11365.45</v>
      </c>
      <c r="G4" s="49" t="n">
        <f aca="false">SUM(I7:I1000)</f>
        <v>6000</v>
      </c>
      <c r="H4" s="50" t="n">
        <f aca="false">ROUND(F4-G4,2)</f>
        <v>5365.45</v>
      </c>
      <c r="I4" s="49" t="n">
        <f aca="false">ROUND(SUMPRODUCT((G7:G1000&gt;1)*E7:E1000*F7:F1000*(G7:G1000-1)),2)</f>
        <v>1482.45</v>
      </c>
      <c r="J4" s="48" t="n">
        <f aca="false">IF(COUNTIFS(I7:I1000,"&gt;0",E7:E1000,"")=0,"",_xlfn.MAXIFS(C7:C1000,I7:I1000,"&gt;0",E7:E1000,""))</f>
        <v>46325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46318</v>
      </c>
      <c r="D7" s="56" t="s">
        <v>61</v>
      </c>
      <c r="E7" s="57" t="n">
        <v>79</v>
      </c>
      <c r="F7" s="58" t="n">
        <v>85</v>
      </c>
      <c r="G7" s="54" t="n">
        <v>1.15</v>
      </c>
      <c r="H7" s="59" t="n">
        <f aca="false">ROUND(E7*F7*IF(G7&gt;1,G7,1),2)</f>
        <v>7722.25</v>
      </c>
      <c r="I7" s="59"/>
      <c r="J7" s="60" t="n">
        <f aca="false">IF(COUNTA(C7:D7)=0,"",ROUND(SUM(H$7:H7)-SUM(I$7:I7),2))</f>
        <v>7722.25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السبت</v>
      </c>
      <c r="C8" s="63" t="n">
        <v>46319</v>
      </c>
      <c r="D8" s="64" t="s">
        <v>270</v>
      </c>
      <c r="E8" s="65"/>
      <c r="F8" s="66"/>
      <c r="G8" s="62"/>
      <c r="H8" s="67"/>
      <c r="I8" s="67" t="n">
        <v>1000</v>
      </c>
      <c r="J8" s="68" t="n">
        <f aca="false">IF(COUNTA(C8:D8)=0,"",ROUND(SUM(H$7:H8)-SUM(I$7:I8),2))</f>
        <v>6722.25</v>
      </c>
      <c r="K8" s="62" t="s">
        <v>271</v>
      </c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الاثنين</v>
      </c>
      <c r="C9" s="55" t="n">
        <v>46321</v>
      </c>
      <c r="D9" s="56" t="s">
        <v>272</v>
      </c>
      <c r="E9" s="57"/>
      <c r="F9" s="58"/>
      <c r="G9" s="54"/>
      <c r="H9" s="59"/>
      <c r="I9" s="59" t="n">
        <v>1000</v>
      </c>
      <c r="J9" s="60" t="n">
        <f aca="false">IF(COUNTA(C9:D9)=0,"",ROUND(SUM(H$7:H9)-SUM(I$7:I9),2))</f>
        <v>5722.25</v>
      </c>
      <c r="K9" s="54" t="s">
        <v>273</v>
      </c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الأربعاء</v>
      </c>
      <c r="C10" s="63" t="n">
        <v>46323</v>
      </c>
      <c r="D10" s="64" t="s">
        <v>274</v>
      </c>
      <c r="E10" s="65"/>
      <c r="F10" s="66"/>
      <c r="G10" s="62"/>
      <c r="H10" s="67"/>
      <c r="I10" s="67" t="n">
        <v>2000</v>
      </c>
      <c r="J10" s="68" t="n">
        <f aca="false">IF(COUNTA(C10:D10)=0,"",ROUND(SUM(H$7:H10)-SUM(I$7:I10),2))</f>
        <v>3722.25</v>
      </c>
      <c r="K10" s="62" t="s">
        <v>275</v>
      </c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الخميس</v>
      </c>
      <c r="C11" s="55" t="n">
        <v>46324</v>
      </c>
      <c r="D11" s="56" t="s">
        <v>62</v>
      </c>
      <c r="E11" s="57" t="n">
        <v>96</v>
      </c>
      <c r="F11" s="58" t="n">
        <v>33</v>
      </c>
      <c r="G11" s="54" t="n">
        <v>1.15</v>
      </c>
      <c r="H11" s="59" t="n">
        <f aca="false">ROUND(E11*F11*IF(G11&gt;1,G11,1),2)</f>
        <v>3643.2</v>
      </c>
      <c r="I11" s="59"/>
      <c r="J11" s="60" t="n">
        <f aca="false">IF(COUNTA(C11:D11)=0,"",ROUND(SUM(H$7:H11)-SUM(I$7:I11),2))</f>
        <v>7365.45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الجمعة</v>
      </c>
      <c r="C12" s="63" t="n">
        <v>46325</v>
      </c>
      <c r="D12" s="64" t="s">
        <v>276</v>
      </c>
      <c r="E12" s="65"/>
      <c r="F12" s="66"/>
      <c r="G12" s="62"/>
      <c r="H12" s="67"/>
      <c r="I12" s="67" t="n">
        <v>2000</v>
      </c>
      <c r="J12" s="68" t="n">
        <f aca="false">IF(COUNTA(C12:D12)=0,"",ROUND(SUM(H$7:H12)-SUM(I$7:I12),2))</f>
        <v>5365.45</v>
      </c>
      <c r="K12" s="62" t="s">
        <v>277</v>
      </c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10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278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46297</v>
      </c>
      <c r="E4" s="48" t="n">
        <f aca="false">IF(COUNT(C7:C1000)=0,"",MAX(C7:C1000))</f>
        <v>46325</v>
      </c>
      <c r="F4" s="49" t="n">
        <f aca="false">SUM(H7:H1000)</f>
        <v>146146.6</v>
      </c>
      <c r="G4" s="49" t="n">
        <f aca="false">SUM(I7:I1000)</f>
        <v>117176.55</v>
      </c>
      <c r="H4" s="50" t="n">
        <f aca="false">ROUND(F4-G4,2)</f>
        <v>28970.05</v>
      </c>
      <c r="I4" s="49" t="n">
        <f aca="false">ROUND(SUMPRODUCT((G7:G1000&gt;1)*E7:E1000*F7:F1000*(G7:G1000-1)),2)</f>
        <v>19062.6</v>
      </c>
      <c r="J4" s="48" t="n">
        <f aca="false">IF(COUNTIFS(I7:I1000,"&gt;0",E7:E1000,"")=0,"",_xlfn.MAXIFS(C7:C1000,I7:I1000,"&gt;0",E7:E1000,""))</f>
        <v>46324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46297</v>
      </c>
      <c r="D7" s="56" t="s">
        <v>63</v>
      </c>
      <c r="E7" s="57" t="n">
        <v>60</v>
      </c>
      <c r="F7" s="58" t="n">
        <v>85</v>
      </c>
      <c r="G7" s="54" t="n">
        <v>1.15</v>
      </c>
      <c r="H7" s="59" t="n">
        <f aca="false">ROUND(E7*F7*IF(G7&gt;1,G7,1),2)</f>
        <v>5865</v>
      </c>
      <c r="I7" s="59"/>
      <c r="J7" s="60" t="n">
        <f aca="false">IF(COUNTA(C7:D7)=0,"",ROUND(SUM(H$7:H7)-SUM(I$7:I7),2))</f>
        <v>5865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السبت</v>
      </c>
      <c r="C8" s="63" t="n">
        <v>46298</v>
      </c>
      <c r="D8" s="64" t="s">
        <v>64</v>
      </c>
      <c r="E8" s="65" t="n">
        <v>295</v>
      </c>
      <c r="F8" s="66" t="n">
        <v>20</v>
      </c>
      <c r="G8" s="62" t="n">
        <v>1.15</v>
      </c>
      <c r="H8" s="67" t="n">
        <f aca="false">ROUND(E8*F8*IF(G8&gt;1,G8,1),2)</f>
        <v>6785</v>
      </c>
      <c r="I8" s="67"/>
      <c r="J8" s="68" t="n">
        <f aca="false">IF(COUNTA(C8:D8)=0,"",ROUND(SUM(H$7:H8)-SUM(I$7:I8),2))</f>
        <v>12650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السبت</v>
      </c>
      <c r="C9" s="55" t="n">
        <v>46298</v>
      </c>
      <c r="D9" s="56" t="s">
        <v>63</v>
      </c>
      <c r="E9" s="57" t="n">
        <v>33</v>
      </c>
      <c r="F9" s="58" t="n">
        <v>80</v>
      </c>
      <c r="G9" s="54" t="n">
        <v>1.15</v>
      </c>
      <c r="H9" s="59" t="n">
        <f aca="false">ROUND(E9*F9*IF(G9&gt;1,G9,1),2)</f>
        <v>3036</v>
      </c>
      <c r="I9" s="59"/>
      <c r="J9" s="60" t="n">
        <f aca="false">IF(COUNTA(C9:D9)=0,"",ROUND(SUM(H$7:H9)-SUM(I$7:I9),2))</f>
        <v>15686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الأحد</v>
      </c>
      <c r="C10" s="63" t="n">
        <v>46299</v>
      </c>
      <c r="D10" s="64" t="s">
        <v>127</v>
      </c>
      <c r="E10" s="65"/>
      <c r="F10" s="66"/>
      <c r="G10" s="62"/>
      <c r="H10" s="67"/>
      <c r="I10" s="67" t="n">
        <v>4508</v>
      </c>
      <c r="J10" s="68" t="n">
        <f aca="false">IF(COUNTA(C10:D10)=0,"",ROUND(SUM(H$7:H10)-SUM(I$7:I10),2))</f>
        <v>11178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الأحد</v>
      </c>
      <c r="C11" s="55" t="n">
        <v>46299</v>
      </c>
      <c r="D11" s="56" t="s">
        <v>130</v>
      </c>
      <c r="E11" s="57"/>
      <c r="F11" s="58"/>
      <c r="G11" s="54"/>
      <c r="H11" s="59"/>
      <c r="I11" s="59" t="n">
        <v>362.25</v>
      </c>
      <c r="J11" s="60" t="n">
        <f aca="false">IF(COUNTA(C11:D11)=0,"",ROUND(SUM(H$7:H11)-SUM(I$7:I11),2))</f>
        <v>10815.75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الاثنين</v>
      </c>
      <c r="C12" s="63" t="n">
        <v>46300</v>
      </c>
      <c r="D12" s="64" t="s">
        <v>132</v>
      </c>
      <c r="E12" s="65"/>
      <c r="F12" s="66"/>
      <c r="G12" s="62"/>
      <c r="H12" s="67"/>
      <c r="I12" s="67" t="n">
        <v>770.5</v>
      </c>
      <c r="J12" s="68" t="n">
        <f aca="false">IF(COUNTA(C12:D12)=0,"",ROUND(SUM(H$7:H12)-SUM(I$7:I12),2))</f>
        <v>10045.25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الثلاثاء</v>
      </c>
      <c r="C13" s="55" t="n">
        <v>46301</v>
      </c>
      <c r="D13" s="56" t="s">
        <v>67</v>
      </c>
      <c r="E13" s="57" t="n">
        <v>215</v>
      </c>
      <c r="F13" s="58" t="n">
        <v>16</v>
      </c>
      <c r="G13" s="54" t="n">
        <v>1.15</v>
      </c>
      <c r="H13" s="59" t="n">
        <f aca="false">ROUND(E13*F13*IF(G13&gt;1,G13,1),2)</f>
        <v>3956</v>
      </c>
      <c r="I13" s="59"/>
      <c r="J13" s="60" t="n">
        <f aca="false">IF(COUNTA(C13:D13)=0,"",ROUND(SUM(H$7:H13)-SUM(I$7:I13),2))</f>
        <v>14001.25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الثلاثاء</v>
      </c>
      <c r="C14" s="63" t="n">
        <v>46301</v>
      </c>
      <c r="D14" s="64" t="s">
        <v>68</v>
      </c>
      <c r="E14" s="65" t="n">
        <v>9</v>
      </c>
      <c r="F14" s="66" t="n">
        <v>11</v>
      </c>
      <c r="G14" s="62" t="n">
        <v>1.15</v>
      </c>
      <c r="H14" s="67" t="n">
        <f aca="false">ROUND(E14*F14*IF(G14&gt;1,G14,1),2)</f>
        <v>113.85</v>
      </c>
      <c r="I14" s="67"/>
      <c r="J14" s="68" t="n">
        <f aca="false">IF(COUNTA(C14:D14)=0,"",ROUND(SUM(H$7:H14)-SUM(I$7:I14),2))</f>
        <v>14115.1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الثلاثاء</v>
      </c>
      <c r="C15" s="55" t="n">
        <v>46301</v>
      </c>
      <c r="D15" s="56" t="s">
        <v>134</v>
      </c>
      <c r="E15" s="57"/>
      <c r="F15" s="58"/>
      <c r="G15" s="54"/>
      <c r="H15" s="59"/>
      <c r="I15" s="59" t="n">
        <v>4048</v>
      </c>
      <c r="J15" s="60" t="n">
        <f aca="false">IF(COUNTA(C15:D15)=0,"",ROUND(SUM(H$7:H15)-SUM(I$7:I15),2))</f>
        <v>10067.1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الأربعاء</v>
      </c>
      <c r="C16" s="63" t="n">
        <v>46302</v>
      </c>
      <c r="D16" s="64" t="s">
        <v>68</v>
      </c>
      <c r="E16" s="65" t="n">
        <v>26</v>
      </c>
      <c r="F16" s="66" t="n">
        <v>11</v>
      </c>
      <c r="G16" s="62" t="n">
        <v>1.15</v>
      </c>
      <c r="H16" s="67" t="n">
        <f aca="false">ROUND(E16*F16*IF(G16&gt;1,G16,1),2)</f>
        <v>328.9</v>
      </c>
      <c r="I16" s="67"/>
      <c r="J16" s="68" t="n">
        <f aca="false">IF(COUNTA(C16:D16)=0,"",ROUND(SUM(H$7:H16)-SUM(I$7:I16),2))</f>
        <v>10396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الخميس</v>
      </c>
      <c r="C17" s="55" t="n">
        <v>46303</v>
      </c>
      <c r="D17" s="56" t="s">
        <v>63</v>
      </c>
      <c r="E17" s="57" t="n">
        <v>80</v>
      </c>
      <c r="F17" s="58" t="n">
        <v>95</v>
      </c>
      <c r="G17" s="54" t="n">
        <v>1.15</v>
      </c>
      <c r="H17" s="59" t="n">
        <f aca="false">ROUND(E17*F17*IF(G17&gt;1,G17,1),2)</f>
        <v>8740</v>
      </c>
      <c r="I17" s="59"/>
      <c r="J17" s="60" t="n">
        <f aca="false">IF(COUNTA(C17:D17)=0,"",ROUND(SUM(H$7:H17)-SUM(I$7:I17),2))</f>
        <v>19136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الجمعة</v>
      </c>
      <c r="C18" s="63" t="n">
        <v>46304</v>
      </c>
      <c r="D18" s="64" t="s">
        <v>67</v>
      </c>
      <c r="E18" s="65" t="n">
        <v>220</v>
      </c>
      <c r="F18" s="66" t="n">
        <v>15</v>
      </c>
      <c r="G18" s="62" t="n">
        <v>1.15</v>
      </c>
      <c r="H18" s="67" t="n">
        <f aca="false">ROUND(E18*F18*IF(G18&gt;1,G18,1),2)</f>
        <v>3795</v>
      </c>
      <c r="I18" s="67"/>
      <c r="J18" s="68" t="n">
        <f aca="false">IF(COUNTA(C18:D18)=0,"",ROUND(SUM(H$7:H18)-SUM(I$7:I18),2))</f>
        <v>22931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>الجمعة</v>
      </c>
      <c r="C19" s="55" t="n">
        <v>46304</v>
      </c>
      <c r="D19" s="56" t="s">
        <v>63</v>
      </c>
      <c r="E19" s="57" t="n">
        <v>74</v>
      </c>
      <c r="F19" s="58" t="n">
        <v>100</v>
      </c>
      <c r="G19" s="54" t="n">
        <v>1.15</v>
      </c>
      <c r="H19" s="59" t="n">
        <f aca="false">ROUND(E19*F19*IF(G19&gt;1,G19,1),2)</f>
        <v>8510</v>
      </c>
      <c r="I19" s="59"/>
      <c r="J19" s="60" t="n">
        <f aca="false">IF(COUNTA(C19:D19)=0,"",ROUND(SUM(H$7:H19)-SUM(I$7:I19),2))</f>
        <v>31441</v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>الجمعة</v>
      </c>
      <c r="C20" s="63" t="n">
        <v>46304</v>
      </c>
      <c r="D20" s="64" t="s">
        <v>58</v>
      </c>
      <c r="E20" s="65" t="n">
        <v>100</v>
      </c>
      <c r="F20" s="66" t="n">
        <v>30</v>
      </c>
      <c r="G20" s="62" t="n">
        <v>1.15</v>
      </c>
      <c r="H20" s="67" t="n">
        <f aca="false">ROUND(E20*F20*IF(G20&gt;1,G20,1),2)</f>
        <v>3450</v>
      </c>
      <c r="I20" s="67"/>
      <c r="J20" s="68" t="n">
        <f aca="false">IF(COUNTA(C20:D20)=0,"",ROUND(SUM(H$7:H20)-SUM(I$7:I20),2))</f>
        <v>34891</v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>الجمعة</v>
      </c>
      <c r="C21" s="55" t="n">
        <v>46304</v>
      </c>
      <c r="D21" s="56" t="s">
        <v>120</v>
      </c>
      <c r="E21" s="57"/>
      <c r="F21" s="58"/>
      <c r="G21" s="54"/>
      <c r="H21" s="59"/>
      <c r="I21" s="59" t="n">
        <v>8935.5</v>
      </c>
      <c r="J21" s="60" t="n">
        <f aca="false">IF(COUNTA(C21:D21)=0,"",ROUND(SUM(H$7:H21)-SUM(I$7:I21),2))</f>
        <v>25955.5</v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>السبت</v>
      </c>
      <c r="C22" s="63" t="n">
        <v>46305</v>
      </c>
      <c r="D22" s="64" t="s">
        <v>69</v>
      </c>
      <c r="E22" s="65" t="n">
        <v>112</v>
      </c>
      <c r="F22" s="66" t="n">
        <v>6</v>
      </c>
      <c r="G22" s="62" t="n">
        <v>1.15</v>
      </c>
      <c r="H22" s="67" t="n">
        <f aca="false">ROUND(E22*F22*IF(G22&gt;1,G22,1),2)</f>
        <v>772.8</v>
      </c>
      <c r="I22" s="67"/>
      <c r="J22" s="68" t="n">
        <f aca="false">IF(COUNTA(C22:D22)=0,"",ROUND(SUM(H$7:H22)-SUM(I$7:I22),2))</f>
        <v>26728.3</v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>السبت</v>
      </c>
      <c r="C23" s="55" t="n">
        <v>46305</v>
      </c>
      <c r="D23" s="56" t="s">
        <v>70</v>
      </c>
      <c r="E23" s="57" t="n">
        <v>24</v>
      </c>
      <c r="F23" s="58" t="n">
        <v>9</v>
      </c>
      <c r="G23" s="54" t="n">
        <v>1.15</v>
      </c>
      <c r="H23" s="59" t="n">
        <f aca="false">ROUND(E23*F23*IF(G23&gt;1,G23,1),2)</f>
        <v>248.4</v>
      </c>
      <c r="I23" s="59"/>
      <c r="J23" s="60" t="n">
        <f aca="false">IF(COUNTA(C23:D23)=0,"",ROUND(SUM(H$7:H23)-SUM(I$7:I23),2))</f>
        <v>26976.7</v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>السبت</v>
      </c>
      <c r="C24" s="63" t="n">
        <v>46305</v>
      </c>
      <c r="D24" s="64" t="s">
        <v>71</v>
      </c>
      <c r="E24" s="65" t="n">
        <v>16</v>
      </c>
      <c r="F24" s="66" t="n">
        <v>8</v>
      </c>
      <c r="G24" s="62" t="n">
        <v>1.15</v>
      </c>
      <c r="H24" s="67" t="n">
        <f aca="false">ROUND(E24*F24*IF(G24&gt;1,G24,1),2)</f>
        <v>147.2</v>
      </c>
      <c r="I24" s="67"/>
      <c r="J24" s="68" t="n">
        <f aca="false">IF(COUNTA(C24:D24)=0,"",ROUND(SUM(H$7:H24)-SUM(I$7:I24),2))</f>
        <v>27123.9</v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>الأحد</v>
      </c>
      <c r="C25" s="55" t="n">
        <v>46306</v>
      </c>
      <c r="D25" s="56" t="s">
        <v>58</v>
      </c>
      <c r="E25" s="57" t="n">
        <v>100</v>
      </c>
      <c r="F25" s="58" t="n">
        <v>25</v>
      </c>
      <c r="G25" s="54" t="n">
        <v>1.15</v>
      </c>
      <c r="H25" s="59" t="n">
        <f aca="false">ROUND(E25*F25*IF(G25&gt;1,G25,1),2)</f>
        <v>2875</v>
      </c>
      <c r="I25" s="59"/>
      <c r="J25" s="60" t="n">
        <f aca="false">IF(COUNTA(C25:D25)=0,"",ROUND(SUM(H$7:H25)-SUM(I$7:I25),2))</f>
        <v>29998.9</v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>الأحد</v>
      </c>
      <c r="C26" s="63" t="n">
        <v>46306</v>
      </c>
      <c r="D26" s="64" t="s">
        <v>72</v>
      </c>
      <c r="E26" s="65" t="n">
        <v>48</v>
      </c>
      <c r="F26" s="66" t="n">
        <v>8</v>
      </c>
      <c r="G26" s="62" t="n">
        <v>1.15</v>
      </c>
      <c r="H26" s="67" t="n">
        <f aca="false">ROUND(E26*F26*IF(G26&gt;1,G26,1),2)</f>
        <v>441.6</v>
      </c>
      <c r="I26" s="67"/>
      <c r="J26" s="68" t="n">
        <f aca="false">IF(COUNTA(C26:D26)=0,"",ROUND(SUM(H$7:H26)-SUM(I$7:I26),2))</f>
        <v>30440.5</v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>الأحد</v>
      </c>
      <c r="C27" s="55" t="n">
        <v>46306</v>
      </c>
      <c r="D27" s="56" t="s">
        <v>71</v>
      </c>
      <c r="E27" s="57" t="n">
        <v>48</v>
      </c>
      <c r="F27" s="58" t="n">
        <v>8</v>
      </c>
      <c r="G27" s="54" t="n">
        <v>1.15</v>
      </c>
      <c r="H27" s="59" t="n">
        <f aca="false">ROUND(E27*F27*IF(G27&gt;1,G27,1),2)</f>
        <v>441.6</v>
      </c>
      <c r="I27" s="59"/>
      <c r="J27" s="60" t="n">
        <f aca="false">IF(COUNTA(C27:D27)=0,"",ROUND(SUM(H$7:H27)-SUM(I$7:I27),2))</f>
        <v>30882.1</v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>الأحد</v>
      </c>
      <c r="C28" s="63" t="n">
        <v>46306</v>
      </c>
      <c r="D28" s="64" t="s">
        <v>123</v>
      </c>
      <c r="E28" s="65"/>
      <c r="F28" s="66"/>
      <c r="G28" s="62"/>
      <c r="H28" s="67"/>
      <c r="I28" s="67" t="n">
        <v>7728</v>
      </c>
      <c r="J28" s="68" t="n">
        <f aca="false">IF(COUNTA(C28:D28)=0,"",ROUND(SUM(H$7:H28)-SUM(I$7:I28),2))</f>
        <v>23154.1</v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>الاثنين</v>
      </c>
      <c r="C29" s="55" t="n">
        <v>46307</v>
      </c>
      <c r="D29" s="56" t="s">
        <v>72</v>
      </c>
      <c r="E29" s="57" t="n">
        <v>40</v>
      </c>
      <c r="F29" s="58" t="n">
        <v>8</v>
      </c>
      <c r="G29" s="54" t="n">
        <v>1.15</v>
      </c>
      <c r="H29" s="59" t="n">
        <f aca="false">ROUND(E29*F29*IF(G29&gt;1,G29,1),2)</f>
        <v>368</v>
      </c>
      <c r="I29" s="59"/>
      <c r="J29" s="60" t="n">
        <f aca="false">IF(COUNTA(C29:D29)=0,"",ROUND(SUM(H$7:H29)-SUM(I$7:I29),2))</f>
        <v>23522.1</v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>الاثنين</v>
      </c>
      <c r="C30" s="63" t="n">
        <v>46307</v>
      </c>
      <c r="D30" s="64" t="s">
        <v>70</v>
      </c>
      <c r="E30" s="65" t="n">
        <v>16</v>
      </c>
      <c r="F30" s="66" t="n">
        <v>8</v>
      </c>
      <c r="G30" s="62" t="n">
        <v>1.15</v>
      </c>
      <c r="H30" s="67" t="n">
        <f aca="false">ROUND(E30*F30*IF(G30&gt;1,G30,1),2)</f>
        <v>147.2</v>
      </c>
      <c r="I30" s="67"/>
      <c r="J30" s="68" t="n">
        <f aca="false">IF(COUNTA(C30:D30)=0,"",ROUND(SUM(H$7:H30)-SUM(I$7:I30),2))</f>
        <v>23669.3</v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>الاثنين</v>
      </c>
      <c r="C31" s="55" t="n">
        <v>46307</v>
      </c>
      <c r="D31" s="56" t="s">
        <v>69</v>
      </c>
      <c r="E31" s="57" t="n">
        <v>96</v>
      </c>
      <c r="F31" s="58" t="n">
        <v>7</v>
      </c>
      <c r="G31" s="54" t="n">
        <v>1.15</v>
      </c>
      <c r="H31" s="59" t="n">
        <f aca="false">ROUND(E31*F31*IF(G31&gt;1,G31,1),2)</f>
        <v>772.8</v>
      </c>
      <c r="I31" s="59"/>
      <c r="J31" s="60" t="n">
        <f aca="false">IF(COUNTA(C31:D31)=0,"",ROUND(SUM(H$7:H31)-SUM(I$7:I31),2))</f>
        <v>24442.1</v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>الاثنين</v>
      </c>
      <c r="C32" s="63" t="n">
        <v>46307</v>
      </c>
      <c r="D32" s="64" t="s">
        <v>69</v>
      </c>
      <c r="E32" s="65" t="n">
        <v>15</v>
      </c>
      <c r="F32" s="66" t="n">
        <v>5</v>
      </c>
      <c r="G32" s="62" t="n">
        <v>1.15</v>
      </c>
      <c r="H32" s="67" t="n">
        <f aca="false">ROUND(E32*F32*IF(G32&gt;1,G32,1),2)</f>
        <v>86.25</v>
      </c>
      <c r="I32" s="67"/>
      <c r="J32" s="68" t="n">
        <f aca="false">IF(COUNTA(C32:D32)=0,"",ROUND(SUM(H$7:H32)-SUM(I$7:I32),2))</f>
        <v>24528.35</v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>الثلاثاء</v>
      </c>
      <c r="C33" s="55" t="n">
        <v>46308</v>
      </c>
      <c r="D33" s="56" t="s">
        <v>123</v>
      </c>
      <c r="E33" s="57"/>
      <c r="F33" s="58"/>
      <c r="G33" s="54"/>
      <c r="H33" s="59"/>
      <c r="I33" s="59" t="n">
        <v>5037</v>
      </c>
      <c r="J33" s="60" t="n">
        <f aca="false">IF(COUNTA(C33:D33)=0,"",ROUND(SUM(H$7:H33)-SUM(I$7:I33),2))</f>
        <v>19491.35</v>
      </c>
      <c r="K33" s="54" t="s">
        <v>279</v>
      </c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>الأربعاء</v>
      </c>
      <c r="C34" s="63" t="n">
        <v>46309</v>
      </c>
      <c r="D34" s="64" t="s">
        <v>69</v>
      </c>
      <c r="E34" s="65" t="n">
        <v>80</v>
      </c>
      <c r="F34" s="66" t="n">
        <v>6</v>
      </c>
      <c r="G34" s="62" t="n">
        <v>1.15</v>
      </c>
      <c r="H34" s="67" t="n">
        <f aca="false">ROUND(E34*F34*IF(G34&gt;1,G34,1),2)</f>
        <v>552</v>
      </c>
      <c r="I34" s="67"/>
      <c r="J34" s="68" t="n">
        <f aca="false">IF(COUNTA(C34:D34)=0,"",ROUND(SUM(H$7:H34)-SUM(I$7:I34),2))</f>
        <v>20043.35</v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>الخميس</v>
      </c>
      <c r="C35" s="55" t="n">
        <v>46310</v>
      </c>
      <c r="D35" s="56" t="s">
        <v>63</v>
      </c>
      <c r="E35" s="57" t="n">
        <v>50</v>
      </c>
      <c r="F35" s="58" t="n">
        <v>100</v>
      </c>
      <c r="G35" s="54" t="n">
        <v>1.15</v>
      </c>
      <c r="H35" s="59" t="n">
        <f aca="false">ROUND(E35*F35*IF(G35&gt;1,G35,1),2)</f>
        <v>5750</v>
      </c>
      <c r="I35" s="59"/>
      <c r="J35" s="60" t="n">
        <f aca="false">IF(COUNTA(C35:D35)=0,"",ROUND(SUM(H$7:H35)-SUM(I$7:I35),2))</f>
        <v>25793.35</v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>الخميس</v>
      </c>
      <c r="C36" s="63" t="n">
        <v>46310</v>
      </c>
      <c r="D36" s="64" t="s">
        <v>67</v>
      </c>
      <c r="E36" s="65" t="n">
        <v>220</v>
      </c>
      <c r="F36" s="66" t="n">
        <v>15</v>
      </c>
      <c r="G36" s="62" t="n">
        <v>1.15</v>
      </c>
      <c r="H36" s="67" t="n">
        <f aca="false">ROUND(E36*F36*IF(G36&gt;1,G36,1),2)</f>
        <v>3795</v>
      </c>
      <c r="I36" s="67"/>
      <c r="J36" s="68" t="n">
        <f aca="false">IF(COUNTA(C36:D36)=0,"",ROUND(SUM(H$7:H36)-SUM(I$7:I36),2))</f>
        <v>29588.35</v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>الخميس</v>
      </c>
      <c r="C37" s="55" t="n">
        <v>46310</v>
      </c>
      <c r="D37" s="56" t="s">
        <v>73</v>
      </c>
      <c r="E37" s="57" t="n">
        <v>10</v>
      </c>
      <c r="F37" s="58" t="n">
        <v>8</v>
      </c>
      <c r="G37" s="54" t="n">
        <v>1.15</v>
      </c>
      <c r="H37" s="59" t="n">
        <f aca="false">ROUND(E37*F37*IF(G37&gt;1,G37,1),2)</f>
        <v>92</v>
      </c>
      <c r="I37" s="59"/>
      <c r="J37" s="60" t="n">
        <f aca="false">IF(COUNTA(C37:D37)=0,"",ROUND(SUM(H$7:H37)-SUM(I$7:I37),2))</f>
        <v>29680.35</v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>الجمعة</v>
      </c>
      <c r="C38" s="63" t="n">
        <v>46311</v>
      </c>
      <c r="D38" s="64" t="s">
        <v>63</v>
      </c>
      <c r="E38" s="65" t="n">
        <v>42</v>
      </c>
      <c r="F38" s="66" t="n">
        <v>100</v>
      </c>
      <c r="G38" s="62" t="n">
        <v>1.15</v>
      </c>
      <c r="H38" s="67" t="n">
        <f aca="false">ROUND(E38*F38*IF(G38&gt;1,G38,1),2)</f>
        <v>4830</v>
      </c>
      <c r="I38" s="67"/>
      <c r="J38" s="68" t="n">
        <f aca="false">IF(COUNTA(C38:D38)=0,"",ROUND(SUM(H$7:H38)-SUM(I$7:I38),2))</f>
        <v>34510.35</v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>الأحد</v>
      </c>
      <c r="C39" s="55" t="n">
        <v>46313</v>
      </c>
      <c r="D39" s="56" t="s">
        <v>73</v>
      </c>
      <c r="E39" s="57" t="n">
        <v>20</v>
      </c>
      <c r="F39" s="58" t="n">
        <v>8</v>
      </c>
      <c r="G39" s="54" t="n">
        <v>1.15</v>
      </c>
      <c r="H39" s="59" t="n">
        <f aca="false">ROUND(E39*F39*IF(G39&gt;1,G39,1),2)</f>
        <v>184</v>
      </c>
      <c r="I39" s="59"/>
      <c r="J39" s="60" t="n">
        <f aca="false">IF(COUNTA(C39:D39)=0,"",ROUND(SUM(H$7:H39)-SUM(I$7:I39),2))</f>
        <v>34694.35</v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>الأحد</v>
      </c>
      <c r="C40" s="63" t="n">
        <v>46313</v>
      </c>
      <c r="D40" s="64" t="s">
        <v>67</v>
      </c>
      <c r="E40" s="65" t="n">
        <v>210</v>
      </c>
      <c r="F40" s="66" t="n">
        <v>16</v>
      </c>
      <c r="G40" s="62" t="n">
        <v>1.15</v>
      </c>
      <c r="H40" s="67" t="n">
        <f aca="false">ROUND(E40*F40*IF(G40&gt;1,G40,1),2)</f>
        <v>3864</v>
      </c>
      <c r="I40" s="67"/>
      <c r="J40" s="68" t="n">
        <f aca="false">IF(COUNTA(C40:D40)=0,"",ROUND(SUM(H$7:H40)-SUM(I$7:I40),2))</f>
        <v>38558.35</v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>الأحد</v>
      </c>
      <c r="C41" s="55" t="n">
        <v>46313</v>
      </c>
      <c r="D41" s="56" t="s">
        <v>63</v>
      </c>
      <c r="E41" s="57" t="n">
        <v>50</v>
      </c>
      <c r="F41" s="58" t="n">
        <v>100</v>
      </c>
      <c r="G41" s="54" t="n">
        <v>1.15</v>
      </c>
      <c r="H41" s="59" t="n">
        <f aca="false">ROUND(E41*F41*IF(G41&gt;1,G41,1),2)</f>
        <v>5750</v>
      </c>
      <c r="I41" s="59"/>
      <c r="J41" s="60" t="n">
        <f aca="false">IF(COUNTA(C41:D41)=0,"",ROUND(SUM(H$7:H41)-SUM(I$7:I41),2))</f>
        <v>44308.35</v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>الأحد</v>
      </c>
      <c r="C42" s="63" t="n">
        <v>46313</v>
      </c>
      <c r="D42" s="64" t="s">
        <v>123</v>
      </c>
      <c r="E42" s="65"/>
      <c r="F42" s="66"/>
      <c r="G42" s="62"/>
      <c r="H42" s="67"/>
      <c r="I42" s="67" t="n">
        <v>2428</v>
      </c>
      <c r="J42" s="68" t="n">
        <f aca="false">IF(COUNTA(C42:D42)=0,"",ROUND(SUM(H$7:H42)-SUM(I$7:I42),2))</f>
        <v>41880.35</v>
      </c>
      <c r="K42" s="62" t="s">
        <v>280</v>
      </c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>الاثنين</v>
      </c>
      <c r="C43" s="55" t="n">
        <v>46314</v>
      </c>
      <c r="D43" s="56" t="s">
        <v>60</v>
      </c>
      <c r="E43" s="57" t="n">
        <v>90</v>
      </c>
      <c r="F43" s="58" t="n">
        <v>65</v>
      </c>
      <c r="G43" s="54" t="n">
        <v>1.15</v>
      </c>
      <c r="H43" s="59" t="n">
        <f aca="false">ROUND(E43*F43*IF(G43&gt;1,G43,1),2)</f>
        <v>6727.5</v>
      </c>
      <c r="I43" s="59"/>
      <c r="J43" s="60" t="n">
        <f aca="false">IF(COUNTA(C43:D43)=0,"",ROUND(SUM(H$7:H43)-SUM(I$7:I43),2))</f>
        <v>48607.85</v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>الاثنين</v>
      </c>
      <c r="C44" s="63" t="n">
        <v>46314</v>
      </c>
      <c r="D44" s="64" t="s">
        <v>74</v>
      </c>
      <c r="E44" s="65" t="n">
        <v>350</v>
      </c>
      <c r="F44" s="66" t="n">
        <v>16</v>
      </c>
      <c r="G44" s="62" t="n">
        <v>1.15</v>
      </c>
      <c r="H44" s="67" t="n">
        <f aca="false">ROUND(E44*F44*IF(G44&gt;1,G44,1),2)</f>
        <v>6440</v>
      </c>
      <c r="I44" s="67"/>
      <c r="J44" s="68" t="n">
        <f aca="false">IF(COUNTA(C44:D44)=0,"",ROUND(SUM(H$7:H44)-SUM(I$7:I44),2))</f>
        <v>55047.85</v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>الثلاثاء</v>
      </c>
      <c r="C45" s="55" t="n">
        <v>46315</v>
      </c>
      <c r="D45" s="56" t="s">
        <v>139</v>
      </c>
      <c r="E45" s="57"/>
      <c r="F45" s="58"/>
      <c r="G45" s="54"/>
      <c r="H45" s="59"/>
      <c r="I45" s="59" t="n">
        <v>6626.3</v>
      </c>
      <c r="J45" s="60" t="n">
        <f aca="false">IF(COUNTA(C45:D45)=0,"",ROUND(SUM(H$7:H45)-SUM(I$7:I45),2))</f>
        <v>48421.55</v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>الأربعاء</v>
      </c>
      <c r="C46" s="63" t="n">
        <v>46316</v>
      </c>
      <c r="D46" s="64" t="s">
        <v>60</v>
      </c>
      <c r="E46" s="65" t="n">
        <v>70</v>
      </c>
      <c r="F46" s="66" t="n">
        <v>64</v>
      </c>
      <c r="G46" s="62" t="n">
        <v>1.15</v>
      </c>
      <c r="H46" s="67" t="n">
        <f aca="false">ROUND(E46*F46*IF(G46&gt;1,G46,1),2)</f>
        <v>5152</v>
      </c>
      <c r="I46" s="67"/>
      <c r="J46" s="68" t="n">
        <f aca="false">IF(COUNTA(C46:D46)=0,"",ROUND(SUM(H$7:H46)-SUM(I$7:I46),2))</f>
        <v>53573.55</v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>الخميس</v>
      </c>
      <c r="C47" s="55" t="n">
        <v>46317</v>
      </c>
      <c r="D47" s="56" t="s">
        <v>74</v>
      </c>
      <c r="E47" s="57" t="n">
        <v>415</v>
      </c>
      <c r="F47" s="58" t="n">
        <v>16</v>
      </c>
      <c r="G47" s="54" t="n">
        <v>1.15</v>
      </c>
      <c r="H47" s="59" t="n">
        <f aca="false">ROUND(E47*F47*IF(G47&gt;1,G47,1),2)</f>
        <v>7636</v>
      </c>
      <c r="I47" s="59"/>
      <c r="J47" s="60" t="n">
        <f aca="false">IF(COUNTA(C47:D47)=0,"",ROUND(SUM(H$7:H47)-SUM(I$7:I47),2))</f>
        <v>61209.55</v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>الخميس</v>
      </c>
      <c r="C48" s="63" t="n">
        <v>46317</v>
      </c>
      <c r="D48" s="64" t="s">
        <v>63</v>
      </c>
      <c r="E48" s="65" t="n">
        <v>84</v>
      </c>
      <c r="F48" s="66" t="n">
        <v>105</v>
      </c>
      <c r="G48" s="62" t="n">
        <v>1.15</v>
      </c>
      <c r="H48" s="67" t="n">
        <f aca="false">ROUND(E48*F48*IF(G48&gt;1,G48,1),2)</f>
        <v>10143</v>
      </c>
      <c r="I48" s="67"/>
      <c r="J48" s="68" t="n">
        <f aca="false">IF(COUNTA(C48:D48)=0,"",ROUND(SUM(H$7:H48)-SUM(I$7:I48),2))</f>
        <v>71352.55</v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>الخميس</v>
      </c>
      <c r="C49" s="55" t="n">
        <v>46317</v>
      </c>
      <c r="D49" s="56" t="s">
        <v>281</v>
      </c>
      <c r="E49" s="57"/>
      <c r="F49" s="58"/>
      <c r="G49" s="54"/>
      <c r="H49" s="59"/>
      <c r="I49" s="59" t="n">
        <v>15000</v>
      </c>
      <c r="J49" s="60" t="n">
        <f aca="false">IF(COUNTA(C49:D49)=0,"",ROUND(SUM(H$7:H49)-SUM(I$7:I49),2))</f>
        <v>56352.55</v>
      </c>
      <c r="K49" s="54" t="s">
        <v>282</v>
      </c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>الخميس</v>
      </c>
      <c r="C50" s="63" t="n">
        <v>46317</v>
      </c>
      <c r="D50" s="64" t="s">
        <v>141</v>
      </c>
      <c r="E50" s="65"/>
      <c r="F50" s="66"/>
      <c r="G50" s="62"/>
      <c r="H50" s="67"/>
      <c r="I50" s="67" t="n">
        <v>3000</v>
      </c>
      <c r="J50" s="68" t="n">
        <f aca="false">IF(COUNTA(C50:D50)=0,"",ROUND(SUM(H$7:H50)-SUM(I$7:I50),2))</f>
        <v>53352.55</v>
      </c>
      <c r="K50" s="62" t="s">
        <v>283</v>
      </c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>الجمعة</v>
      </c>
      <c r="C51" s="55" t="n">
        <v>46318</v>
      </c>
      <c r="D51" s="56" t="s">
        <v>60</v>
      </c>
      <c r="E51" s="57" t="n">
        <v>10</v>
      </c>
      <c r="F51" s="58" t="n">
        <v>63</v>
      </c>
      <c r="G51" s="54" t="n">
        <v>1.15</v>
      </c>
      <c r="H51" s="59" t="n">
        <f aca="false">ROUND(E51*F51*IF(G51&gt;1,G51,1),2)</f>
        <v>724.5</v>
      </c>
      <c r="I51" s="59"/>
      <c r="J51" s="60" t="n">
        <f aca="false">IF(COUNTA(C51:D51)=0,"",ROUND(SUM(H$7:H51)-SUM(I$7:I51),2))</f>
        <v>54077.05</v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>السبت</v>
      </c>
      <c r="C52" s="63" t="n">
        <v>46319</v>
      </c>
      <c r="D52" s="64" t="s">
        <v>60</v>
      </c>
      <c r="E52" s="65" t="n">
        <v>74</v>
      </c>
      <c r="F52" s="66" t="n">
        <v>59</v>
      </c>
      <c r="G52" s="62" t="n">
        <v>1.15</v>
      </c>
      <c r="H52" s="67" t="n">
        <f aca="false">ROUND(E52*F52*IF(G52&gt;1,G52,1),2)</f>
        <v>5020.9</v>
      </c>
      <c r="I52" s="67"/>
      <c r="J52" s="68" t="n">
        <f aca="false">IF(COUNTA(C52:D52)=0,"",ROUND(SUM(H$7:H52)-SUM(I$7:I52),2))</f>
        <v>59097.95</v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>السبت</v>
      </c>
      <c r="C53" s="55" t="n">
        <v>46319</v>
      </c>
      <c r="D53" s="56" t="s">
        <v>63</v>
      </c>
      <c r="E53" s="57" t="n">
        <v>100</v>
      </c>
      <c r="F53" s="58" t="n">
        <v>100</v>
      </c>
      <c r="G53" s="54" t="n">
        <v>1.15</v>
      </c>
      <c r="H53" s="59" t="n">
        <f aca="false">ROUND(E53*F53*IF(G53&gt;1,G53,1),2)</f>
        <v>11500</v>
      </c>
      <c r="I53" s="59"/>
      <c r="J53" s="60" t="n">
        <f aca="false">IF(COUNTA(C53:D53)=0,"",ROUND(SUM(H$7:H53)-SUM(I$7:I53),2))</f>
        <v>70597.95</v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>السبت</v>
      </c>
      <c r="C54" s="63" t="n">
        <v>46319</v>
      </c>
      <c r="D54" s="64" t="s">
        <v>284</v>
      </c>
      <c r="E54" s="65"/>
      <c r="F54" s="66"/>
      <c r="G54" s="62"/>
      <c r="H54" s="67"/>
      <c r="I54" s="67" t="n">
        <v>22</v>
      </c>
      <c r="J54" s="68" t="n">
        <f aca="false">IF(COUNTA(C54:D54)=0,"",ROUND(SUM(H$7:H54)-SUM(I$7:I54),2))</f>
        <v>70575.95</v>
      </c>
      <c r="K54" s="62" t="s">
        <v>285</v>
      </c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>الأحد</v>
      </c>
      <c r="C55" s="55" t="n">
        <v>46320</v>
      </c>
      <c r="D55" s="56" t="s">
        <v>286</v>
      </c>
      <c r="E55" s="57"/>
      <c r="F55" s="58"/>
      <c r="G55" s="54"/>
      <c r="H55" s="59"/>
      <c r="I55" s="59" t="n">
        <v>10000</v>
      </c>
      <c r="J55" s="60" t="n">
        <f aca="false">IF(COUNTA(C55:D55)=0,"",ROUND(SUM(H$7:H55)-SUM(I$7:I55),2))</f>
        <v>60575.95</v>
      </c>
      <c r="K55" s="54" t="s">
        <v>287</v>
      </c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>الأحد</v>
      </c>
      <c r="C56" s="63" t="n">
        <v>46320</v>
      </c>
      <c r="D56" s="64" t="s">
        <v>75</v>
      </c>
      <c r="E56" s="65" t="n">
        <v>130</v>
      </c>
      <c r="F56" s="66" t="n">
        <v>12</v>
      </c>
      <c r="G56" s="62" t="n">
        <v>1.15</v>
      </c>
      <c r="H56" s="67" t="n">
        <f aca="false">ROUND(E56*F56*IF(G56&gt;1,G56,1),2)</f>
        <v>1794</v>
      </c>
      <c r="I56" s="67"/>
      <c r="J56" s="68" t="n">
        <f aca="false">IF(COUNTA(C56:D56)=0,"",ROUND(SUM(H$7:H56)-SUM(I$7:I56),2))</f>
        <v>62369.95</v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>الأحد</v>
      </c>
      <c r="C57" s="55" t="n">
        <v>46320</v>
      </c>
      <c r="D57" s="56" t="s">
        <v>143</v>
      </c>
      <c r="E57" s="57"/>
      <c r="F57" s="58"/>
      <c r="G57" s="54"/>
      <c r="H57" s="59"/>
      <c r="I57" s="59" t="n">
        <v>7000</v>
      </c>
      <c r="J57" s="60" t="n">
        <f aca="false">IF(COUNTA(C57:D57)=0,"",ROUND(SUM(H$7:H57)-SUM(I$7:I57),2))</f>
        <v>55369.95</v>
      </c>
      <c r="K57" s="54" t="s">
        <v>288</v>
      </c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>الاثنين</v>
      </c>
      <c r="C58" s="63" t="n">
        <v>46321</v>
      </c>
      <c r="D58" s="64" t="s">
        <v>60</v>
      </c>
      <c r="E58" s="65" t="n">
        <v>48</v>
      </c>
      <c r="F58" s="66" t="n">
        <v>58</v>
      </c>
      <c r="G58" s="62" t="n">
        <v>1.15</v>
      </c>
      <c r="H58" s="67" t="n">
        <f aca="false">ROUND(E58*F58*IF(G58&gt;1,G58,1),2)</f>
        <v>3201.6</v>
      </c>
      <c r="I58" s="67"/>
      <c r="J58" s="68" t="n">
        <f aca="false">IF(COUNTA(C58:D58)=0,"",ROUND(SUM(H$7:H58)-SUM(I$7:I58),2))</f>
        <v>58571.55</v>
      </c>
      <c r="K58" s="62"/>
      <c r="L58" s="64"/>
    </row>
    <row r="59" customFormat="false" ht="23.85" hidden="false" customHeight="false" outlineLevel="0" collapsed="false">
      <c r="B59" s="54" t="str">
        <f aca="false">IF(C59="","",CHOOSE(WEEKDAY(C59),"الأحد","الاثنين","الثلاثاء","الأربعاء","الخميس","الجمعة","السبت"))</f>
        <v>الاثنين</v>
      </c>
      <c r="C59" s="55" t="n">
        <v>46321</v>
      </c>
      <c r="D59" s="56" t="s">
        <v>141</v>
      </c>
      <c r="E59" s="57"/>
      <c r="F59" s="58"/>
      <c r="G59" s="54"/>
      <c r="H59" s="59"/>
      <c r="I59" s="59" t="n">
        <v>7800</v>
      </c>
      <c r="J59" s="60" t="n">
        <f aca="false">IF(COUNTA(C59:D59)=0,"",ROUND(SUM(H$7:H59)-SUM(I$7:I59),2))</f>
        <v>50771.55</v>
      </c>
      <c r="K59" s="54" t="s">
        <v>289</v>
      </c>
      <c r="L59" s="56"/>
    </row>
    <row r="60" customFormat="false" ht="15" hidden="false" customHeight="false" outlineLevel="0" collapsed="false">
      <c r="B60" s="62" t="str">
        <f aca="false">IF(C60="","",CHOOSE(WEEKDAY(C60),"الأحد","الاثنين","الثلاثاء","الأربعاء","الخميس","الجمعة","السبت"))</f>
        <v>الاثنين</v>
      </c>
      <c r="C60" s="63" t="n">
        <v>46321</v>
      </c>
      <c r="D60" s="64" t="s">
        <v>143</v>
      </c>
      <c r="E60" s="65"/>
      <c r="F60" s="66"/>
      <c r="G60" s="62"/>
      <c r="H60" s="67"/>
      <c r="I60" s="67" t="n">
        <v>5110</v>
      </c>
      <c r="J60" s="68" t="n">
        <f aca="false">IF(COUNTA(C60:D60)=0,"",ROUND(SUM(H$7:H60)-SUM(I$7:I60),2))</f>
        <v>45661.55</v>
      </c>
      <c r="K60" s="62" t="s">
        <v>288</v>
      </c>
      <c r="L60" s="64"/>
    </row>
    <row r="61" customFormat="false" ht="15" hidden="false" customHeight="false" outlineLevel="0" collapsed="false">
      <c r="B61" s="54" t="str">
        <f aca="false">IF(C61="","",CHOOSE(WEEKDAY(C61),"الأحد","الاثنين","الثلاثاء","الأربعاء","الخميس","الجمعة","السبت"))</f>
        <v>الثلاثاء</v>
      </c>
      <c r="C61" s="55" t="n">
        <v>46322</v>
      </c>
      <c r="D61" s="56" t="s">
        <v>290</v>
      </c>
      <c r="E61" s="57"/>
      <c r="F61" s="58"/>
      <c r="G61" s="54"/>
      <c r="H61" s="59"/>
      <c r="I61" s="59" t="n">
        <v>15000</v>
      </c>
      <c r="J61" s="60" t="n">
        <f aca="false">IF(COUNTA(C61:D61)=0,"",ROUND(SUM(H$7:H61)-SUM(I$7:I61),2))</f>
        <v>30661.55</v>
      </c>
      <c r="K61" s="54" t="s">
        <v>291</v>
      </c>
      <c r="L61" s="56"/>
    </row>
    <row r="62" customFormat="false" ht="15" hidden="false" customHeight="false" outlineLevel="0" collapsed="false">
      <c r="B62" s="62" t="str">
        <f aca="false">IF(C62="","",CHOOSE(WEEKDAY(C62),"الأحد","الاثنين","الثلاثاء","الأربعاء","الخميس","الجمعة","السبت"))</f>
        <v>الأربعاء</v>
      </c>
      <c r="C62" s="63" t="n">
        <v>46323</v>
      </c>
      <c r="D62" s="64" t="s">
        <v>292</v>
      </c>
      <c r="E62" s="65"/>
      <c r="F62" s="66"/>
      <c r="G62" s="62"/>
      <c r="H62" s="67"/>
      <c r="I62" s="67" t="n">
        <v>45</v>
      </c>
      <c r="J62" s="68" t="n">
        <f aca="false">IF(COUNTA(C62:D62)=0,"",ROUND(SUM(H$7:H62)-SUM(I$7:I62),2))</f>
        <v>30616.55</v>
      </c>
      <c r="K62" s="62" t="s">
        <v>293</v>
      </c>
      <c r="L62" s="64"/>
    </row>
    <row r="63" customFormat="false" ht="15" hidden="false" customHeight="false" outlineLevel="0" collapsed="false">
      <c r="B63" s="54" t="str">
        <f aca="false">IF(C63="","",CHOOSE(WEEKDAY(C63),"الأحد","الاثنين","الثلاثاء","الأربعاء","الخميس","الجمعة","السبت"))</f>
        <v>الأربعاء</v>
      </c>
      <c r="C63" s="55" t="n">
        <v>46323</v>
      </c>
      <c r="D63" s="56" t="s">
        <v>143</v>
      </c>
      <c r="E63" s="57"/>
      <c r="F63" s="58"/>
      <c r="G63" s="54"/>
      <c r="H63" s="59"/>
      <c r="I63" s="59" t="n">
        <v>5000</v>
      </c>
      <c r="J63" s="60" t="n">
        <f aca="false">IF(COUNTA(C63:D63)=0,"",ROUND(SUM(H$7:H63)-SUM(I$7:I63),2))</f>
        <v>25616.55</v>
      </c>
      <c r="K63" s="54"/>
      <c r="L63" s="56"/>
    </row>
    <row r="64" customFormat="false" ht="15" hidden="false" customHeight="false" outlineLevel="0" collapsed="false">
      <c r="B64" s="62" t="str">
        <f aca="false">IF(C64="","",CHOOSE(WEEKDAY(C64),"الأحد","الاثنين","الثلاثاء","الأربعاء","الخميس","الجمعة","السبت"))</f>
        <v>الأربعاء</v>
      </c>
      <c r="C64" s="63" t="n">
        <v>46323</v>
      </c>
      <c r="D64" s="64" t="s">
        <v>144</v>
      </c>
      <c r="E64" s="65"/>
      <c r="F64" s="66"/>
      <c r="G64" s="62"/>
      <c r="H64" s="67"/>
      <c r="I64" s="67" t="n">
        <v>4275</v>
      </c>
      <c r="J64" s="68" t="n">
        <f aca="false">IF(COUNTA(C64:D64)=0,"",ROUND(SUM(H$7:H64)-SUM(I$7:I64),2))</f>
        <v>21341.55</v>
      </c>
      <c r="K64" s="62"/>
      <c r="L64" s="64"/>
    </row>
    <row r="65" customFormat="false" ht="15" hidden="false" customHeight="false" outlineLevel="0" collapsed="false">
      <c r="B65" s="54" t="str">
        <f aca="false">IF(C65="","",CHOOSE(WEEKDAY(C65),"الأحد","الاثنين","الثلاثاء","الأربعاء","الخميس","الجمعة","السبت"))</f>
        <v>الأربعاء</v>
      </c>
      <c r="C65" s="55" t="n">
        <v>46323</v>
      </c>
      <c r="D65" s="56" t="s">
        <v>143</v>
      </c>
      <c r="E65" s="57"/>
      <c r="F65" s="58"/>
      <c r="G65" s="54"/>
      <c r="H65" s="59"/>
      <c r="I65" s="59" t="n">
        <v>4326</v>
      </c>
      <c r="J65" s="60" t="n">
        <f aca="false">IF(COUNTA(C65:D65)=0,"",ROUND(SUM(H$7:H65)-SUM(I$7:I65),2))</f>
        <v>17015.55</v>
      </c>
      <c r="K65" s="54"/>
      <c r="L65" s="56"/>
    </row>
    <row r="66" customFormat="false" ht="15" hidden="false" customHeight="false" outlineLevel="0" collapsed="false">
      <c r="B66" s="62" t="str">
        <f aca="false">IF(C66="","",CHOOSE(WEEKDAY(C66),"الأحد","الاثنين","الثلاثاء","الأربعاء","الخميس","الجمعة","السبت"))</f>
        <v>الخميس</v>
      </c>
      <c r="C66" s="63" t="n">
        <v>46324</v>
      </c>
      <c r="D66" s="64" t="s">
        <v>294</v>
      </c>
      <c r="E66" s="65"/>
      <c r="F66" s="66"/>
      <c r="G66" s="62"/>
      <c r="H66" s="67"/>
      <c r="I66" s="67" t="n">
        <v>155</v>
      </c>
      <c r="J66" s="68" t="n">
        <f aca="false">IF(COUNTA(C66:D66)=0,"",ROUND(SUM(H$7:H66)-SUM(I$7:I66),2))</f>
        <v>16860.55</v>
      </c>
      <c r="K66" s="62" t="s">
        <v>295</v>
      </c>
      <c r="L66" s="64"/>
    </row>
    <row r="67" customFormat="false" ht="15" hidden="false" customHeight="false" outlineLevel="0" collapsed="false">
      <c r="B67" s="54" t="str">
        <f aca="false">IF(C67="","",CHOOSE(WEEKDAY(C67),"الأحد","الاثنين","الثلاثاء","الأربعاء","الخميس","الجمعة","السبت"))</f>
        <v>الخميس</v>
      </c>
      <c r="C67" s="55" t="n">
        <v>46324</v>
      </c>
      <c r="D67" s="56" t="s">
        <v>63</v>
      </c>
      <c r="E67" s="57" t="n">
        <v>99</v>
      </c>
      <c r="F67" s="58" t="n">
        <v>100</v>
      </c>
      <c r="G67" s="54" t="n">
        <v>1.15</v>
      </c>
      <c r="H67" s="59" t="n">
        <f aca="false">ROUND(E67*F67*IF(G67&gt;1,G67,1),2)</f>
        <v>11385</v>
      </c>
      <c r="I67" s="59"/>
      <c r="J67" s="60" t="n">
        <f aca="false">IF(COUNTA(C67:D67)=0,"",ROUND(SUM(H$7:H67)-SUM(I$7:I67),2))</f>
        <v>28245.55</v>
      </c>
      <c r="K67" s="54"/>
      <c r="L67" s="56"/>
    </row>
    <row r="68" customFormat="false" ht="15" hidden="false" customHeight="false" outlineLevel="0" collapsed="false">
      <c r="B68" s="62" t="str">
        <f aca="false">IF(C68="","",CHOOSE(WEEKDAY(C68),"الأحد","الاثنين","الثلاثاء","الأربعاء","الخميس","الجمعة","السبت"))</f>
        <v>الخميس</v>
      </c>
      <c r="C68" s="63" t="n">
        <v>46324</v>
      </c>
      <c r="D68" s="64" t="s">
        <v>63</v>
      </c>
      <c r="E68" s="65" t="n">
        <v>1</v>
      </c>
      <c r="F68" s="66" t="n">
        <v>90</v>
      </c>
      <c r="G68" s="62" t="n">
        <v>1.15</v>
      </c>
      <c r="H68" s="67" t="n">
        <f aca="false">ROUND(E68*F68*IF(G68&gt;1,G68,1),2)</f>
        <v>103.5</v>
      </c>
      <c r="I68" s="67"/>
      <c r="J68" s="68" t="n">
        <f aca="false">IF(COUNTA(C68:D68)=0,"",ROUND(SUM(H$7:H68)-SUM(I$7:I68),2))</f>
        <v>28349.05</v>
      </c>
      <c r="K68" s="62"/>
      <c r="L68" s="64"/>
    </row>
    <row r="69" customFormat="false" ht="15" hidden="false" customHeight="false" outlineLevel="0" collapsed="false">
      <c r="B69" s="54" t="str">
        <f aca="false">IF(C69="","",CHOOSE(WEEKDAY(C69),"الأحد","الاثنين","الثلاثاء","الأربعاء","الخميس","الجمعة","السبت"))</f>
        <v>الجمعة</v>
      </c>
      <c r="C69" s="55" t="n">
        <v>46325</v>
      </c>
      <c r="D69" s="56" t="s">
        <v>76</v>
      </c>
      <c r="E69" s="57" t="n">
        <v>9</v>
      </c>
      <c r="F69" s="58" t="n">
        <v>60</v>
      </c>
      <c r="G69" s="54" t="n">
        <v>1.15</v>
      </c>
      <c r="H69" s="59" t="n">
        <f aca="false">ROUND(E69*F69*IF(G69&gt;1,G69,1),2)</f>
        <v>621</v>
      </c>
      <c r="I69" s="59"/>
      <c r="J69" s="60" t="n">
        <f aca="false">IF(COUNTA(C69:D69)=0,"",ROUND(SUM(H$7:H69)-SUM(I$7:I69),2))</f>
        <v>28970.05</v>
      </c>
      <c r="K69" s="54"/>
      <c r="L69" s="56"/>
    </row>
    <row r="70" customFormat="false" ht="15" hidden="false" customHeight="false" outlineLevel="0" collapsed="false">
      <c r="B70" s="62" t="str">
        <f aca="false">IF(C70="","",CHOOSE(WEEKDAY(C70),"الأحد","الاثنين","الثلاثاء","الأربعاء","الخميس","الجمعة","السبت"))</f>
        <v/>
      </c>
      <c r="C70" s="70"/>
      <c r="D70" s="64"/>
      <c r="E70" s="71"/>
      <c r="F70" s="72"/>
      <c r="G70" s="73"/>
      <c r="H70" s="74"/>
      <c r="I70" s="74"/>
      <c r="J70" s="68" t="str">
        <f aca="false">IF(COUNTA(C70:D70)=0,"",ROUND(SUM(H$7:H70)-SUM(I$7:I70),2))</f>
        <v/>
      </c>
      <c r="K70" s="62"/>
      <c r="L70" s="64"/>
    </row>
    <row r="71" customFormat="false" ht="15" hidden="false" customHeight="false" outlineLevel="0" collapsed="false">
      <c r="B71" s="54" t="str">
        <f aca="false">IF(C71="","",CHOOSE(WEEKDAY(C71),"الأحد","الاثنين","الثلاثاء","الأربعاء","الخميس","الجمعة","السبت"))</f>
        <v/>
      </c>
      <c r="C71" s="70"/>
      <c r="D71" s="56"/>
      <c r="E71" s="71"/>
      <c r="F71" s="72"/>
      <c r="G71" s="73"/>
      <c r="H71" s="74"/>
      <c r="I71" s="74"/>
      <c r="J71" s="60" t="str">
        <f aca="false">IF(COUNTA(C71:D71)=0,"",ROUND(SUM(H$7:H71)-SUM(I$7:I71),2))</f>
        <v/>
      </c>
      <c r="K71" s="54"/>
      <c r="L71" s="56"/>
    </row>
    <row r="72" customFormat="false" ht="15" hidden="false" customHeight="false" outlineLevel="0" collapsed="false">
      <c r="B72" s="62" t="str">
        <f aca="false">IF(C72="","",CHOOSE(WEEKDAY(C72),"الأحد","الاثنين","الثلاثاء","الأربعاء","الخميس","الجمعة","السبت"))</f>
        <v/>
      </c>
      <c r="C72" s="70"/>
      <c r="D72" s="64"/>
      <c r="E72" s="71"/>
      <c r="F72" s="72"/>
      <c r="G72" s="73"/>
      <c r="H72" s="74"/>
      <c r="I72" s="74"/>
      <c r="J72" s="68" t="str">
        <f aca="false">IF(COUNTA(C72:D72)=0,"",ROUND(SUM(H$7:H72)-SUM(I$7:I72),2))</f>
        <v/>
      </c>
      <c r="K72" s="62"/>
      <c r="L72" s="64"/>
    </row>
    <row r="73" customFormat="false" ht="15" hidden="false" customHeight="false" outlineLevel="0" collapsed="false">
      <c r="B73" s="54" t="str">
        <f aca="false">IF(C73="","",CHOOSE(WEEKDAY(C73),"الأحد","الاثنين","الثلاثاء","الأربعاء","الخميس","الجمعة","السبت"))</f>
        <v/>
      </c>
      <c r="C73" s="70"/>
      <c r="D73" s="56"/>
      <c r="E73" s="71"/>
      <c r="F73" s="72"/>
      <c r="G73" s="73"/>
      <c r="H73" s="74"/>
      <c r="I73" s="74"/>
      <c r="J73" s="60" t="str">
        <f aca="false">IF(COUNTA(C73:D73)=0,"",ROUND(SUM(H$7:H73)-SUM(I$7:I73),2))</f>
        <v/>
      </c>
      <c r="K73" s="54"/>
      <c r="L73" s="56"/>
    </row>
    <row r="74" customFormat="false" ht="15" hidden="false" customHeight="false" outlineLevel="0" collapsed="false">
      <c r="B74" s="62" t="str">
        <f aca="false">IF(C74="","",CHOOSE(WEEKDAY(C74),"الأحد","الاثنين","الثلاثاء","الأربعاء","الخميس","الجمعة","السبت"))</f>
        <v/>
      </c>
      <c r="C74" s="70"/>
      <c r="D74" s="64"/>
      <c r="E74" s="71"/>
      <c r="F74" s="72"/>
      <c r="G74" s="73"/>
      <c r="H74" s="74"/>
      <c r="I74" s="74"/>
      <c r="J74" s="68" t="str">
        <f aca="false">IF(COUNTA(C74:D74)=0,"",ROUND(SUM(H$7:H74)-SUM(I$7:I74),2))</f>
        <v/>
      </c>
      <c r="K74" s="62"/>
      <c r="L74" s="64"/>
    </row>
    <row r="75" customFormat="false" ht="15" hidden="false" customHeight="false" outlineLevel="0" collapsed="false">
      <c r="B75" s="54" t="str">
        <f aca="false">IF(C75="","",CHOOSE(WEEKDAY(C75),"الأحد","الاثنين","الثلاثاء","الأربعاء","الخميس","الجمعة","السبت"))</f>
        <v/>
      </c>
      <c r="C75" s="70"/>
      <c r="D75" s="56"/>
      <c r="E75" s="71"/>
      <c r="F75" s="72"/>
      <c r="G75" s="73"/>
      <c r="H75" s="74"/>
      <c r="I75" s="74"/>
      <c r="J75" s="60" t="str">
        <f aca="false">IF(COUNTA(C75:D75)=0,"",ROUND(SUM(H$7:H75)-SUM(I$7:I75),2))</f>
        <v/>
      </c>
      <c r="K75" s="54"/>
      <c r="L75" s="56"/>
    </row>
    <row r="76" customFormat="false" ht="15" hidden="false" customHeight="false" outlineLevel="0" collapsed="false">
      <c r="B76" s="62" t="str">
        <f aca="false">IF(C76="","",CHOOSE(WEEKDAY(C76),"الأحد","الاثنين","الثلاثاء","الأربعاء","الخميس","الجمعة","السبت"))</f>
        <v/>
      </c>
      <c r="C76" s="70"/>
      <c r="D76" s="64"/>
      <c r="E76" s="71"/>
      <c r="F76" s="72"/>
      <c r="G76" s="73"/>
      <c r="H76" s="74"/>
      <c r="I76" s="74"/>
      <c r="J76" s="68" t="str">
        <f aca="false">IF(COUNTA(C76:D76)=0,"",ROUND(SUM(H$7:H76)-SUM(I$7:I76),2))</f>
        <v/>
      </c>
      <c r="K76" s="62"/>
      <c r="L76" s="64"/>
    </row>
    <row r="77" customFormat="false" ht="15" hidden="false" customHeight="false" outlineLevel="0" collapsed="false">
      <c r="B77" s="54" t="str">
        <f aca="false">IF(C77="","",CHOOSE(WEEKDAY(C77),"الأحد","الاثنين","الثلاثاء","الأربعاء","الخميس","الجمعة","السبت"))</f>
        <v/>
      </c>
      <c r="C77" s="70"/>
      <c r="D77" s="56"/>
      <c r="E77" s="71"/>
      <c r="F77" s="72"/>
      <c r="G77" s="73"/>
      <c r="H77" s="74"/>
      <c r="I77" s="74"/>
      <c r="J77" s="60" t="str">
        <f aca="false">IF(COUNTA(C77:D77)=0,"",ROUND(SUM(H$7:H77)-SUM(I$7:I77),2))</f>
        <v/>
      </c>
      <c r="K77" s="54"/>
      <c r="L77" s="56"/>
    </row>
    <row r="78" customFormat="false" ht="15" hidden="false" customHeight="false" outlineLevel="0" collapsed="false">
      <c r="B78" s="62" t="str">
        <f aca="false">IF(C78="","",CHOOSE(WEEKDAY(C78),"الأحد","الاثنين","الثلاثاء","الأربعاء","الخميس","الجمعة","السبت"))</f>
        <v/>
      </c>
      <c r="C78" s="70"/>
      <c r="D78" s="64"/>
      <c r="E78" s="71"/>
      <c r="F78" s="72"/>
      <c r="G78" s="73"/>
      <c r="H78" s="74"/>
      <c r="I78" s="74"/>
      <c r="J78" s="68" t="str">
        <f aca="false">IF(COUNTA(C78:D78)=0,"",ROUND(SUM(H$7:H78)-SUM(I$7:I78),2))</f>
        <v/>
      </c>
      <c r="K78" s="62"/>
      <c r="L78" s="64"/>
    </row>
    <row r="79" customFormat="false" ht="15" hidden="false" customHeight="false" outlineLevel="0" collapsed="false">
      <c r="B79" s="54" t="str">
        <f aca="false">IF(C79="","",CHOOSE(WEEKDAY(C79),"الأحد","الاثنين","الثلاثاء","الأربعاء","الخميس","الجمعة","السبت"))</f>
        <v/>
      </c>
      <c r="C79" s="70"/>
      <c r="D79" s="56"/>
      <c r="E79" s="71"/>
      <c r="F79" s="72"/>
      <c r="G79" s="73"/>
      <c r="H79" s="74"/>
      <c r="I79" s="74"/>
      <c r="J79" s="60" t="str">
        <f aca="false">IF(COUNTA(C79:D79)=0,"",ROUND(SUM(H$7:H79)-SUM(I$7:I79),2))</f>
        <v/>
      </c>
      <c r="K79" s="54"/>
      <c r="L79" s="56"/>
    </row>
    <row r="80" customFormat="false" ht="15" hidden="false" customHeight="false" outlineLevel="0" collapsed="false">
      <c r="B80" s="62" t="str">
        <f aca="false">IF(C80="","",CHOOSE(WEEKDAY(C80),"الأحد","الاثنين","الثلاثاء","الأربعاء","الخميس","الجمعة","السبت"))</f>
        <v/>
      </c>
      <c r="C80" s="70"/>
      <c r="D80" s="64"/>
      <c r="E80" s="71"/>
      <c r="F80" s="72"/>
      <c r="G80" s="73"/>
      <c r="H80" s="74"/>
      <c r="I80" s="74"/>
      <c r="J80" s="68" t="str">
        <f aca="false">IF(COUNTA(C80:D80)=0,"",ROUND(SUM(H$7:H80)-SUM(I$7:I80),2))</f>
        <v/>
      </c>
      <c r="K80" s="62"/>
      <c r="L80" s="64"/>
    </row>
    <row r="81" customFormat="false" ht="15" hidden="false" customHeight="false" outlineLevel="0" collapsed="false">
      <c r="B81" s="54" t="str">
        <f aca="false">IF(C81="","",CHOOSE(WEEKDAY(C81),"الأحد","الاثنين","الثلاثاء","الأربعاء","الخميس","الجمعة","السبت"))</f>
        <v/>
      </c>
      <c r="C81" s="70"/>
      <c r="D81" s="56"/>
      <c r="E81" s="71"/>
      <c r="F81" s="72"/>
      <c r="G81" s="73"/>
      <c r="H81" s="74"/>
      <c r="I81" s="74"/>
      <c r="J81" s="60" t="str">
        <f aca="false">IF(COUNTA(C81:D81)=0,"",ROUND(SUM(H$7:H81)-SUM(I$7:I81),2))</f>
        <v/>
      </c>
      <c r="K81" s="54"/>
      <c r="L81" s="56"/>
    </row>
    <row r="82" customFormat="false" ht="15" hidden="false" customHeight="false" outlineLevel="0" collapsed="false">
      <c r="B82" s="62" t="str">
        <f aca="false">IF(C82="","",CHOOSE(WEEKDAY(C82),"الأحد","الاثنين","الثلاثاء","الأربعاء","الخميس","الجمعة","السبت"))</f>
        <v/>
      </c>
      <c r="C82" s="70"/>
      <c r="D82" s="64"/>
      <c r="E82" s="71"/>
      <c r="F82" s="72"/>
      <c r="G82" s="73"/>
      <c r="H82" s="74"/>
      <c r="I82" s="74"/>
      <c r="J82" s="68" t="str">
        <f aca="false">IF(COUNTA(C82:D82)=0,"",ROUND(SUM(H$7:H82)-SUM(I$7:I82),2))</f>
        <v/>
      </c>
      <c r="K82" s="62"/>
      <c r="L82" s="64"/>
    </row>
    <row r="83" customFormat="false" ht="15" hidden="false" customHeight="false" outlineLevel="0" collapsed="false">
      <c r="B83" s="54" t="str">
        <f aca="false">IF(C83="","",CHOOSE(WEEKDAY(C83),"الأحد","الاثنين","الثلاثاء","الأربعاء","الخميس","الجمعة","السبت"))</f>
        <v/>
      </c>
      <c r="C83" s="70"/>
      <c r="D83" s="56"/>
      <c r="E83" s="71"/>
      <c r="F83" s="72"/>
      <c r="G83" s="73"/>
      <c r="H83" s="74"/>
      <c r="I83" s="74"/>
      <c r="J83" s="60" t="str">
        <f aca="false">IF(COUNTA(C83:D83)=0,"",ROUND(SUM(H$7:H83)-SUM(I$7:I83),2))</f>
        <v/>
      </c>
      <c r="K83" s="54"/>
      <c r="L83" s="56"/>
    </row>
    <row r="84" customFormat="false" ht="15" hidden="false" customHeight="false" outlineLevel="0" collapsed="false">
      <c r="B84" s="62" t="str">
        <f aca="false">IF(C84="","",CHOOSE(WEEKDAY(C84),"الأحد","الاثنين","الثلاثاء","الأربعاء","الخميس","الجمعة","السبت"))</f>
        <v/>
      </c>
      <c r="C84" s="70"/>
      <c r="D84" s="64"/>
      <c r="E84" s="71"/>
      <c r="F84" s="72"/>
      <c r="G84" s="73"/>
      <c r="H84" s="74"/>
      <c r="I84" s="74"/>
      <c r="J84" s="68" t="str">
        <f aca="false">IF(COUNTA(C84:D84)=0,"",ROUND(SUM(H$7:H84)-SUM(I$7:I84),2))</f>
        <v/>
      </c>
      <c r="K84" s="62"/>
      <c r="L84" s="64"/>
    </row>
    <row r="85" customFormat="false" ht="15" hidden="false" customHeight="false" outlineLevel="0" collapsed="false">
      <c r="B85" s="54" t="str">
        <f aca="false">IF(C85="","",CHOOSE(WEEKDAY(C85),"الأحد","الاثنين","الثلاثاء","الأربعاء","الخميس","الجمعة","السبت"))</f>
        <v/>
      </c>
      <c r="C85" s="70"/>
      <c r="D85" s="56"/>
      <c r="E85" s="71"/>
      <c r="F85" s="72"/>
      <c r="G85" s="73"/>
      <c r="H85" s="74"/>
      <c r="I85" s="74"/>
      <c r="J85" s="60" t="str">
        <f aca="false">IF(COUNTA(C85:D85)=0,"",ROUND(SUM(H$7:H85)-SUM(I$7:I85),2))</f>
        <v/>
      </c>
      <c r="K85" s="54"/>
      <c r="L85" s="56"/>
    </row>
    <row r="86" customFormat="false" ht="15" hidden="false" customHeight="false" outlineLevel="0" collapsed="false">
      <c r="B86" s="62" t="str">
        <f aca="false">IF(C86="","",CHOOSE(WEEKDAY(C86),"الأحد","الاثنين","الثلاثاء","الأربعاء","الخميس","الجمعة","السبت"))</f>
        <v/>
      </c>
      <c r="C86" s="70"/>
      <c r="D86" s="64"/>
      <c r="E86" s="71"/>
      <c r="F86" s="72"/>
      <c r="G86" s="73"/>
      <c r="H86" s="74"/>
      <c r="I86" s="74"/>
      <c r="J86" s="68" t="str">
        <f aca="false">IF(COUNTA(C86:D86)=0,"",ROUND(SUM(H$7:H86)-SUM(I$7:I86),2))</f>
        <v/>
      </c>
      <c r="K86" s="62"/>
      <c r="L86" s="64"/>
    </row>
    <row r="87" customFormat="false" ht="15" hidden="false" customHeight="false" outlineLevel="0" collapsed="false">
      <c r="B87" s="54" t="str">
        <f aca="false">IF(C87="","",CHOOSE(WEEKDAY(C87),"الأحد","الاثنين","الثلاثاء","الأربعاء","الخميس","الجمعة","السبت"))</f>
        <v/>
      </c>
      <c r="C87" s="70"/>
      <c r="D87" s="56"/>
      <c r="E87" s="71"/>
      <c r="F87" s="72"/>
      <c r="G87" s="73"/>
      <c r="H87" s="74"/>
      <c r="I87" s="74"/>
      <c r="J87" s="60" t="str">
        <f aca="false">IF(COUNTA(C87:D87)=0,"",ROUND(SUM(H$7:H87)-SUM(I$7:I87),2))</f>
        <v/>
      </c>
      <c r="K87" s="54"/>
      <c r="L87" s="56"/>
    </row>
    <row r="88" customFormat="false" ht="15" hidden="false" customHeight="false" outlineLevel="0" collapsed="false">
      <c r="B88" s="62" t="str">
        <f aca="false">IF(C88="","",CHOOSE(WEEKDAY(C88),"الأحد","الاثنين","الثلاثاء","الأربعاء","الخميس","الجمعة","السبت"))</f>
        <v/>
      </c>
      <c r="C88" s="70"/>
      <c r="D88" s="64"/>
      <c r="E88" s="71"/>
      <c r="F88" s="72"/>
      <c r="G88" s="73"/>
      <c r="H88" s="74"/>
      <c r="I88" s="74"/>
      <c r="J88" s="68" t="str">
        <f aca="false">IF(COUNTA(C88:D88)=0,"",ROUND(SUM(H$7:H88)-SUM(I$7:I88),2))</f>
        <v/>
      </c>
      <c r="K88" s="62"/>
      <c r="L88" s="64"/>
    </row>
    <row r="89" customFormat="false" ht="15" hidden="false" customHeight="false" outlineLevel="0" collapsed="false">
      <c r="B89" s="54" t="str">
        <f aca="false">IF(C89="","",CHOOSE(WEEKDAY(C89),"الأحد","الاثنين","الثلاثاء","الأربعاء","الخميس","الجمعة","السبت"))</f>
        <v/>
      </c>
      <c r="C89" s="70"/>
      <c r="D89" s="56"/>
      <c r="E89" s="71"/>
      <c r="F89" s="72"/>
      <c r="G89" s="73"/>
      <c r="H89" s="74"/>
      <c r="I89" s="74"/>
      <c r="J89" s="60" t="str">
        <f aca="false">IF(COUNTA(C89:D89)=0,"",ROUND(SUM(H$7:H89)-SUM(I$7:I89),2))</f>
        <v/>
      </c>
      <c r="K89" s="54"/>
      <c r="L89" s="56"/>
    </row>
    <row r="90" customFormat="false" ht="15" hidden="false" customHeight="false" outlineLevel="0" collapsed="false">
      <c r="B90" s="62" t="str">
        <f aca="false">IF(C90="","",CHOOSE(WEEKDAY(C90),"الأحد","الاثنين","الثلاثاء","الأربعاء","الخميس","الجمعة","السبت"))</f>
        <v/>
      </c>
      <c r="C90" s="70"/>
      <c r="D90" s="64"/>
      <c r="E90" s="71"/>
      <c r="F90" s="72"/>
      <c r="G90" s="73"/>
      <c r="H90" s="74"/>
      <c r="I90" s="74"/>
      <c r="J90" s="68" t="str">
        <f aca="false">IF(COUNTA(C90:D90)=0,"",ROUND(SUM(H$7:H90)-SUM(I$7:I90),2))</f>
        <v/>
      </c>
      <c r="K90" s="62"/>
      <c r="L90" s="64"/>
    </row>
    <row r="91" customFormat="false" ht="15" hidden="false" customHeight="false" outlineLevel="0" collapsed="false">
      <c r="B91" s="54" t="str">
        <f aca="false">IF(C91="","",CHOOSE(WEEKDAY(C91),"الأحد","الاثنين","الثلاثاء","الأربعاء","الخميس","الجمعة","السبت"))</f>
        <v/>
      </c>
      <c r="C91" s="70"/>
      <c r="D91" s="56"/>
      <c r="E91" s="71"/>
      <c r="F91" s="72"/>
      <c r="G91" s="73"/>
      <c r="H91" s="74"/>
      <c r="I91" s="74"/>
      <c r="J91" s="60" t="str">
        <f aca="false">IF(COUNTA(C91:D91)=0,"",ROUND(SUM(H$7:H91)-SUM(I$7:I91),2))</f>
        <v/>
      </c>
      <c r="K91" s="54"/>
      <c r="L91" s="56"/>
    </row>
    <row r="92" customFormat="false" ht="15" hidden="false" customHeight="false" outlineLevel="0" collapsed="false">
      <c r="B92" s="62" t="str">
        <f aca="false">IF(C92="","",CHOOSE(WEEKDAY(C92),"الأحد","الاثنين","الثلاثاء","الأربعاء","الخميس","الجمعة","السبت"))</f>
        <v/>
      </c>
      <c r="C92" s="70"/>
      <c r="D92" s="64"/>
      <c r="E92" s="71"/>
      <c r="F92" s="72"/>
      <c r="G92" s="73"/>
      <c r="H92" s="74"/>
      <c r="I92" s="74"/>
      <c r="J92" s="68" t="str">
        <f aca="false">IF(COUNTA(C92:D92)=0,"",ROUND(SUM(H$7:H92)-SUM(I$7:I92),2))</f>
        <v/>
      </c>
      <c r="K92" s="62"/>
      <c r="L92" s="64"/>
    </row>
    <row r="93" customFormat="false" ht="15" hidden="false" customHeight="false" outlineLevel="0" collapsed="false">
      <c r="B93" s="54" t="str">
        <f aca="false">IF(C93="","",CHOOSE(WEEKDAY(C93),"الأحد","الاثنين","الثلاثاء","الأربعاء","الخميس","الجمعة","السبت"))</f>
        <v/>
      </c>
      <c r="C93" s="70"/>
      <c r="D93" s="56"/>
      <c r="E93" s="71"/>
      <c r="F93" s="72"/>
      <c r="G93" s="73"/>
      <c r="H93" s="74"/>
      <c r="I93" s="74"/>
      <c r="J93" s="60" t="str">
        <f aca="false">IF(COUNTA(C93:D93)=0,"",ROUND(SUM(H$7:H93)-SUM(I$7:I93),2))</f>
        <v/>
      </c>
      <c r="K93" s="54"/>
      <c r="L93" s="56"/>
    </row>
    <row r="94" customFormat="false" ht="15" hidden="false" customHeight="false" outlineLevel="0" collapsed="false">
      <c r="B94" s="62" t="str">
        <f aca="false">IF(C94="","",CHOOSE(WEEKDAY(C94),"الأحد","الاثنين","الثلاثاء","الأربعاء","الخميس","الجمعة","السبت"))</f>
        <v/>
      </c>
      <c r="C94" s="70"/>
      <c r="D94" s="64"/>
      <c r="E94" s="71"/>
      <c r="F94" s="72"/>
      <c r="G94" s="73"/>
      <c r="H94" s="74"/>
      <c r="I94" s="74"/>
      <c r="J94" s="68" t="str">
        <f aca="false">IF(COUNTA(C94:D94)=0,"",ROUND(SUM(H$7:H94)-SUM(I$7:I94),2))</f>
        <v/>
      </c>
      <c r="K94" s="62"/>
      <c r="L94" s="64"/>
    </row>
    <row r="95" customFormat="false" ht="15" hidden="false" customHeight="false" outlineLevel="0" collapsed="false">
      <c r="B95" s="54" t="str">
        <f aca="false">IF(C95="","",CHOOSE(WEEKDAY(C95),"الأحد","الاثنين","الثلاثاء","الأربعاء","الخميس","الجمعة","السبت"))</f>
        <v/>
      </c>
      <c r="C95" s="70"/>
      <c r="D95" s="56"/>
      <c r="E95" s="71"/>
      <c r="F95" s="72"/>
      <c r="G95" s="73"/>
      <c r="H95" s="74"/>
      <c r="I95" s="74"/>
      <c r="J95" s="60" t="str">
        <f aca="false">IF(COUNTA(C95:D95)=0,"",ROUND(SUM(H$7:H95)-SUM(I$7:I95),2))</f>
        <v/>
      </c>
      <c r="K95" s="54"/>
      <c r="L95" s="56"/>
    </row>
    <row r="96" customFormat="false" ht="15" hidden="false" customHeight="false" outlineLevel="0" collapsed="false">
      <c r="B96" s="62" t="str">
        <f aca="false">IF(C96="","",CHOOSE(WEEKDAY(C96),"الأحد","الاثنين","الثلاثاء","الأربعاء","الخميس","الجمعة","السبت"))</f>
        <v/>
      </c>
      <c r="C96" s="70"/>
      <c r="D96" s="64"/>
      <c r="E96" s="71"/>
      <c r="F96" s="72"/>
      <c r="G96" s="73"/>
      <c r="H96" s="74"/>
      <c r="I96" s="74"/>
      <c r="J96" s="68" t="str">
        <f aca="false">IF(COUNTA(C96:D96)=0,"",ROUND(SUM(H$7:H96)-SUM(I$7:I96),2))</f>
        <v/>
      </c>
      <c r="K96" s="62"/>
      <c r="L96" s="64"/>
    </row>
    <row r="97" customFormat="false" ht="15" hidden="false" customHeight="false" outlineLevel="0" collapsed="false">
      <c r="B97" s="54" t="str">
        <f aca="false">IF(C97="","",CHOOSE(WEEKDAY(C97),"الأحد","الاثنين","الثلاثاء","الأربعاء","الخميس","الجمعة","السبت"))</f>
        <v/>
      </c>
      <c r="C97" s="70"/>
      <c r="D97" s="56"/>
      <c r="E97" s="71"/>
      <c r="F97" s="72"/>
      <c r="G97" s="73"/>
      <c r="H97" s="74"/>
      <c r="I97" s="74"/>
      <c r="J97" s="60" t="str">
        <f aca="false">IF(COUNTA(C97:D97)=0,"",ROUND(SUM(H$7:H97)-SUM(I$7:I97),2))</f>
        <v/>
      </c>
      <c r="K97" s="54"/>
      <c r="L97" s="56"/>
    </row>
    <row r="98" customFormat="false" ht="15" hidden="false" customHeight="false" outlineLevel="0" collapsed="false">
      <c r="B98" s="62" t="str">
        <f aca="false">IF(C98="","",CHOOSE(WEEKDAY(C98),"الأحد","الاثنين","الثلاثاء","الأربعاء","الخميس","الجمعة","السبت"))</f>
        <v/>
      </c>
      <c r="C98" s="70"/>
      <c r="D98" s="64"/>
      <c r="E98" s="71"/>
      <c r="F98" s="72"/>
      <c r="G98" s="73"/>
      <c r="H98" s="74"/>
      <c r="I98" s="74"/>
      <c r="J98" s="68" t="str">
        <f aca="false">IF(COUNTA(C98:D98)=0,"",ROUND(SUM(H$7:H98)-SUM(I$7:I98),2))</f>
        <v/>
      </c>
      <c r="K98" s="62"/>
      <c r="L98" s="64"/>
    </row>
    <row r="99" customFormat="false" ht="15" hidden="false" customHeight="false" outlineLevel="0" collapsed="false">
      <c r="B99" s="54" t="str">
        <f aca="false">IF(C99="","",CHOOSE(WEEKDAY(C99),"الأحد","الاثنين","الثلاثاء","الأربعاء","الخميس","الجمعة","السبت"))</f>
        <v/>
      </c>
      <c r="C99" s="70"/>
      <c r="D99" s="56"/>
      <c r="E99" s="71"/>
      <c r="F99" s="72"/>
      <c r="G99" s="73"/>
      <c r="H99" s="74"/>
      <c r="I99" s="74"/>
      <c r="J99" s="60" t="str">
        <f aca="false">IF(COUNTA(C99:D99)=0,"",ROUND(SUM(H$7:H99)-SUM(I$7:I99),2))</f>
        <v/>
      </c>
      <c r="K99" s="54"/>
      <c r="L99" s="56"/>
    </row>
    <row r="100" customFormat="false" ht="15" hidden="false" customHeight="false" outlineLevel="0" collapsed="false">
      <c r="B100" s="62" t="str">
        <f aca="false">IF(C100="","",CHOOSE(WEEKDAY(C100),"الأحد","الاثنين","الثلاثاء","الأربعاء","الخميس","الجمعة","السبت"))</f>
        <v/>
      </c>
      <c r="C100" s="70"/>
      <c r="D100" s="64"/>
      <c r="E100" s="71"/>
      <c r="F100" s="72"/>
      <c r="G100" s="73"/>
      <c r="H100" s="74"/>
      <c r="I100" s="74"/>
      <c r="J100" s="68" t="str">
        <f aca="false">IF(COUNTA(C100:D100)=0,"",ROUND(SUM(H$7:H100)-SUM(I$7:I100),2))</f>
        <v/>
      </c>
      <c r="K100" s="62"/>
      <c r="L100" s="64"/>
    </row>
    <row r="101" customFormat="false" ht="15" hidden="false" customHeight="false" outlineLevel="0" collapsed="false">
      <c r="B101" s="54" t="str">
        <f aca="false">IF(C101="","",CHOOSE(WEEKDAY(C101),"الأحد","الاثنين","الثلاثاء","الأربعاء","الخميس","الجمعة","السبت"))</f>
        <v/>
      </c>
      <c r="C101" s="70"/>
      <c r="D101" s="56"/>
      <c r="E101" s="71"/>
      <c r="F101" s="72"/>
      <c r="G101" s="73"/>
      <c r="H101" s="74"/>
      <c r="I101" s="74"/>
      <c r="J101" s="60" t="str">
        <f aca="false">IF(COUNTA(C101:D101)=0,"",ROUND(SUM(H$7:H101)-SUM(I$7:I101),2))</f>
        <v/>
      </c>
      <c r="K101" s="54"/>
      <c r="L101" s="56"/>
    </row>
    <row r="102" customFormat="false" ht="15" hidden="false" customHeight="false" outlineLevel="0" collapsed="false">
      <c r="B102" s="62" t="str">
        <f aca="false">IF(C102="","",CHOOSE(WEEKDAY(C102),"الأحد","الاثنين","الثلاثاء","الأربعاء","الخميس","الجمعة","السبت"))</f>
        <v/>
      </c>
      <c r="C102" s="70"/>
      <c r="D102" s="64"/>
      <c r="E102" s="71"/>
      <c r="F102" s="72"/>
      <c r="G102" s="73"/>
      <c r="H102" s="74"/>
      <c r="I102" s="74"/>
      <c r="J102" s="68" t="str">
        <f aca="false">IF(COUNTA(C102:D102)=0,"",ROUND(SUM(H$7:H102)-SUM(I$7:I102),2))</f>
        <v/>
      </c>
      <c r="K102" s="62"/>
      <c r="L102" s="64"/>
    </row>
    <row r="103" customFormat="false" ht="15" hidden="false" customHeight="false" outlineLevel="0" collapsed="false">
      <c r="B103" s="54" t="str">
        <f aca="false">IF(C103="","",CHOOSE(WEEKDAY(C103),"الأحد","الاثنين","الثلاثاء","الأربعاء","الخميس","الجمعة","السبت"))</f>
        <v/>
      </c>
      <c r="C103" s="70"/>
      <c r="D103" s="56"/>
      <c r="E103" s="71"/>
      <c r="F103" s="72"/>
      <c r="G103" s="73"/>
      <c r="H103" s="74"/>
      <c r="I103" s="74"/>
      <c r="J103" s="60" t="str">
        <f aca="false">IF(COUNTA(C103:D103)=0,"",ROUND(SUM(H$7:H103)-SUM(I$7:I103),2))</f>
        <v/>
      </c>
      <c r="K103" s="54"/>
      <c r="L103" s="56"/>
    </row>
    <row r="104" customFormat="false" ht="15" hidden="false" customHeight="false" outlineLevel="0" collapsed="false">
      <c r="B104" s="62" t="str">
        <f aca="false">IF(C104="","",CHOOSE(WEEKDAY(C104),"الأحد","الاثنين","الثلاثاء","الأربعاء","الخميس","الجمعة","السبت"))</f>
        <v/>
      </c>
      <c r="C104" s="70"/>
      <c r="D104" s="64"/>
      <c r="E104" s="71"/>
      <c r="F104" s="72"/>
      <c r="G104" s="73"/>
      <c r="H104" s="74"/>
      <c r="I104" s="74"/>
      <c r="J104" s="68" t="str">
        <f aca="false">IF(COUNTA(C104:D104)=0,"",ROUND(SUM(H$7:H104)-SUM(I$7:I104),2))</f>
        <v/>
      </c>
      <c r="K104" s="62"/>
      <c r="L104" s="64"/>
    </row>
    <row r="105" customFormat="false" ht="15" hidden="false" customHeight="false" outlineLevel="0" collapsed="false">
      <c r="B105" s="54" t="str">
        <f aca="false">IF(C105="","",CHOOSE(WEEKDAY(C105),"الأحد","الاثنين","الثلاثاء","الأربعاء","الخميس","الجمعة","السبت"))</f>
        <v/>
      </c>
      <c r="C105" s="70"/>
      <c r="D105" s="56"/>
      <c r="E105" s="71"/>
      <c r="F105" s="72"/>
      <c r="G105" s="73"/>
      <c r="H105" s="74"/>
      <c r="I105" s="74"/>
      <c r="J105" s="60" t="str">
        <f aca="false">IF(COUNTA(C105:D105)=0,"",ROUND(SUM(H$7:H105)-SUM(I$7:I105),2))</f>
        <v/>
      </c>
      <c r="K105" s="54"/>
      <c r="L105" s="56"/>
    </row>
    <row r="106" customFormat="false" ht="15" hidden="false" customHeight="false" outlineLevel="0" collapsed="false">
      <c r="B106" s="62" t="str">
        <f aca="false">IF(C106="","",CHOOSE(WEEKDAY(C106),"الأحد","الاثنين","الثلاثاء","الأربعاء","الخميس","الجمعة","السبت"))</f>
        <v/>
      </c>
      <c r="C106" s="70"/>
      <c r="D106" s="64"/>
      <c r="E106" s="71"/>
      <c r="F106" s="72"/>
      <c r="G106" s="73"/>
      <c r="H106" s="74"/>
      <c r="I106" s="74"/>
      <c r="J106" s="68" t="str">
        <f aca="false">IF(COUNTA(C106:D106)=0,"",ROUND(SUM(H$7:H106)-SUM(I$7:I106),2))</f>
        <v/>
      </c>
      <c r="K106" s="62"/>
      <c r="L106" s="64"/>
    </row>
    <row r="107" customFormat="false" ht="15" hidden="false" customHeight="false" outlineLevel="0" collapsed="false">
      <c r="B107" s="54" t="str">
        <f aca="false">IF(C107="","",CHOOSE(WEEKDAY(C107),"الأحد","الاثنين","الثلاثاء","الأربعاء","الخميس","الجمعة","السبت"))</f>
        <v/>
      </c>
      <c r="C107" s="70"/>
      <c r="D107" s="56"/>
      <c r="E107" s="71"/>
      <c r="F107" s="72"/>
      <c r="G107" s="73"/>
      <c r="H107" s="74"/>
      <c r="I107" s="74"/>
      <c r="J107" s="60" t="str">
        <f aca="false">IF(COUNTA(C107:D107)=0,"",ROUND(SUM(H$7:H107)-SUM(I$7:I107),2))</f>
        <v/>
      </c>
      <c r="K107" s="54"/>
      <c r="L107" s="56"/>
    </row>
    <row r="108" customFormat="false" ht="15" hidden="false" customHeight="false" outlineLevel="0" collapsed="false">
      <c r="B108" s="62" t="str">
        <f aca="false">IF(C108="","",CHOOSE(WEEKDAY(C108),"الأحد","الاثنين","الثلاثاء","الأربعاء","الخميس","الجمعة","السبت"))</f>
        <v/>
      </c>
      <c r="C108" s="70"/>
      <c r="D108" s="64"/>
      <c r="E108" s="71"/>
      <c r="F108" s="72"/>
      <c r="G108" s="73"/>
      <c r="H108" s="74"/>
      <c r="I108" s="74"/>
      <c r="J108" s="68" t="str">
        <f aca="false">IF(COUNTA(C108:D108)=0,"",ROUND(SUM(H$7:H108)-SUM(I$7:I108),2))</f>
        <v/>
      </c>
      <c r="K108" s="62"/>
      <c r="L108" s="64"/>
    </row>
    <row r="109" customFormat="false" ht="15" hidden="false" customHeight="false" outlineLevel="0" collapsed="false">
      <c r="B109" s="54" t="str">
        <f aca="false">IF(C109="","",CHOOSE(WEEKDAY(C109),"الأحد","الاثنين","الثلاثاء","الأربعاء","الخميس","الجمعة","السبت"))</f>
        <v/>
      </c>
      <c r="C109" s="70"/>
      <c r="D109" s="56"/>
      <c r="E109" s="71"/>
      <c r="F109" s="72"/>
      <c r="G109" s="73"/>
      <c r="H109" s="74"/>
      <c r="I109" s="74"/>
      <c r="J109" s="60" t="str">
        <f aca="false">IF(COUNTA(C109:D109)=0,"",ROUND(SUM(H$7:H109)-SUM(I$7:I109),2))</f>
        <v/>
      </c>
      <c r="K109" s="54"/>
      <c r="L109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296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46317</v>
      </c>
      <c r="E4" s="48" t="n">
        <f aca="false">IF(COUNT(C7:C1000)=0,"",MAX(C7:C1000))</f>
        <v>46324</v>
      </c>
      <c r="F4" s="49" t="n">
        <f aca="false">SUM(H7:H1000)</f>
        <v>3312</v>
      </c>
      <c r="G4" s="49" t="n">
        <f aca="false">SUM(I7:I1000)</f>
        <v>3310</v>
      </c>
      <c r="H4" s="50" t="n">
        <f aca="false">ROUND(F4-G4,2)</f>
        <v>2</v>
      </c>
      <c r="I4" s="49" t="n">
        <f aca="false">ROUND(SUMPRODUCT((G7:G1000&gt;1)*E7:E1000*F7:F1000*(G7:G1000-1)),2)</f>
        <v>432</v>
      </c>
      <c r="J4" s="48" t="n">
        <f aca="false">IF(COUNTIFS(I7:I1000,"&gt;0",E7:E1000,"")=0,"",_xlfn.MAXIFS(C7:C1000,I7:I1000,"&gt;0",E7:E1000,""))</f>
        <v>46324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46317</v>
      </c>
      <c r="D7" s="56" t="s">
        <v>297</v>
      </c>
      <c r="E7" s="57" t="n">
        <v>40</v>
      </c>
      <c r="F7" s="58" t="n">
        <v>30</v>
      </c>
      <c r="G7" s="54" t="n">
        <v>1.15</v>
      </c>
      <c r="H7" s="59" t="n">
        <f aca="false">ROUND(E7*F7*IF(G7&gt;1,G7,1),2)</f>
        <v>1380</v>
      </c>
      <c r="I7" s="59"/>
      <c r="J7" s="60" t="n">
        <f aca="false">IF(COUNTA(C7:D7)=0,"",ROUND(SUM(H$7:H7)-SUM(I$7:I7),2))</f>
        <v>1380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الخميس</v>
      </c>
      <c r="C8" s="63" t="n">
        <v>46317</v>
      </c>
      <c r="D8" s="64" t="s">
        <v>298</v>
      </c>
      <c r="E8" s="65" t="n">
        <v>30</v>
      </c>
      <c r="F8" s="66" t="n">
        <v>32</v>
      </c>
      <c r="G8" s="62" t="n">
        <v>1.15</v>
      </c>
      <c r="H8" s="67" t="n">
        <f aca="false">ROUND(E8*F8*IF(G8&gt;1,G8,1),2)</f>
        <v>1104</v>
      </c>
      <c r="I8" s="67"/>
      <c r="J8" s="68" t="n">
        <f aca="false">IF(COUNTA(C8:D8)=0,"",ROUND(SUM(H$7:H8)-SUM(I$7:I8),2))</f>
        <v>2484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الخميس</v>
      </c>
      <c r="C9" s="55" t="n">
        <v>46317</v>
      </c>
      <c r="D9" s="56" t="s">
        <v>299</v>
      </c>
      <c r="E9" s="57" t="n">
        <v>30</v>
      </c>
      <c r="F9" s="58" t="n">
        <v>24</v>
      </c>
      <c r="G9" s="54" t="n">
        <v>1.15</v>
      </c>
      <c r="H9" s="59" t="n">
        <f aca="false">ROUND(E9*F9*IF(G9&gt;1,G9,1),2)</f>
        <v>828</v>
      </c>
      <c r="I9" s="59"/>
      <c r="J9" s="60" t="n">
        <f aca="false">IF(COUNTA(C9:D9)=0,"",ROUND(SUM(H$7:H9)-SUM(I$7:I9),2))</f>
        <v>3312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الأحد</v>
      </c>
      <c r="C10" s="63" t="n">
        <v>46320</v>
      </c>
      <c r="D10" s="64" t="s">
        <v>300</v>
      </c>
      <c r="E10" s="65"/>
      <c r="F10" s="66"/>
      <c r="G10" s="62"/>
      <c r="H10" s="67"/>
      <c r="I10" s="67" t="n">
        <v>1000</v>
      </c>
      <c r="J10" s="68" t="n">
        <f aca="false">IF(COUNTA(C10:D10)=0,"",ROUND(SUM(H$7:H10)-SUM(I$7:I10),2))</f>
        <v>2312</v>
      </c>
      <c r="K10" s="62" t="s">
        <v>301</v>
      </c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الثلاثاء</v>
      </c>
      <c r="C11" s="55" t="n">
        <v>46322</v>
      </c>
      <c r="D11" s="56" t="s">
        <v>302</v>
      </c>
      <c r="E11" s="57"/>
      <c r="F11" s="58"/>
      <c r="G11" s="54"/>
      <c r="H11" s="59"/>
      <c r="I11" s="59" t="n">
        <v>1000</v>
      </c>
      <c r="J11" s="60" t="n">
        <f aca="false">IF(COUNTA(C11:D11)=0,"",ROUND(SUM(H$7:H11)-SUM(I$7:I11),2))</f>
        <v>1312</v>
      </c>
      <c r="K11" s="54" t="s">
        <v>303</v>
      </c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الخميس</v>
      </c>
      <c r="C12" s="63" t="n">
        <v>46324</v>
      </c>
      <c r="D12" s="64" t="s">
        <v>304</v>
      </c>
      <c r="E12" s="65"/>
      <c r="F12" s="66"/>
      <c r="G12" s="62"/>
      <c r="H12" s="67"/>
      <c r="I12" s="67" t="n">
        <v>1310</v>
      </c>
      <c r="J12" s="68" t="n">
        <f aca="false">IF(COUNTA(C12:D12)=0,"",ROUND(SUM(H$7:H12)-SUM(I$7:I12),2))</f>
        <v>2</v>
      </c>
      <c r="K12" s="62" t="s">
        <v>305</v>
      </c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306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46305</v>
      </c>
      <c r="E4" s="48" t="n">
        <f aca="false">IF(COUNT(C7:C1000)=0,"",MAX(C7:C1000))</f>
        <v>46306</v>
      </c>
      <c r="F4" s="49" t="n">
        <f aca="false">SUM(H7:H1000)</f>
        <v>349.6</v>
      </c>
      <c r="G4" s="49" t="n">
        <f aca="false">SUM(I7:I1000)</f>
        <v>350</v>
      </c>
      <c r="H4" s="50" t="n">
        <f aca="false">ROUND(F4-G4,2)</f>
        <v>-0.4</v>
      </c>
      <c r="I4" s="49" t="n">
        <f aca="false">ROUND(SUMPRODUCT((G7:G1000&gt;1)*E7:E1000*F7:F1000*(G7:G1000-1)),2)</f>
        <v>45.6</v>
      </c>
      <c r="J4" s="48" t="n">
        <f aca="false">IF(COUNTIFS(I7:I1000,"&gt;0",E7:E1000,"")=0,"",_xlfn.MAXIFS(C7:C1000,I7:I1000,"&gt;0",E7:E1000,""))</f>
        <v>46306</v>
      </c>
      <c r="K4" s="51" t="str">
        <f aca="false">IF(ABS(H4)&lt;0.01,"مسدد",IF(H4&gt;0,"مستحق علينا","رصيد لنا"))</f>
        <v>رصيد لنا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السبت</v>
      </c>
      <c r="C7" s="55" t="n">
        <v>46305</v>
      </c>
      <c r="D7" s="56" t="s">
        <v>80</v>
      </c>
      <c r="E7" s="57" t="n">
        <v>19</v>
      </c>
      <c r="F7" s="58" t="n">
        <v>16</v>
      </c>
      <c r="G7" s="54" t="n">
        <v>1.15</v>
      </c>
      <c r="H7" s="59" t="n">
        <f aca="false">ROUND(E7*F7*IF(G7&gt;1,G7,1),2)</f>
        <v>349.6</v>
      </c>
      <c r="I7" s="59"/>
      <c r="J7" s="60" t="n">
        <f aca="false">IF(COUNTA(C7:D7)=0,"",ROUND(SUM(H$7:H7)-SUM(I$7:I7),2))</f>
        <v>349.6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الأحد</v>
      </c>
      <c r="C8" s="63" t="n">
        <v>46306</v>
      </c>
      <c r="D8" s="64" t="s">
        <v>57</v>
      </c>
      <c r="E8" s="65"/>
      <c r="F8" s="66"/>
      <c r="G8" s="62"/>
      <c r="H8" s="67"/>
      <c r="I8" s="67" t="n">
        <v>350</v>
      </c>
      <c r="J8" s="68" t="n">
        <f aca="false">IF(COUNTA(C8:D8)=0,"",ROUND(SUM(H$7:H8)-SUM(I$7:I8),2))</f>
        <v>-0.4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307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46313</v>
      </c>
      <c r="E4" s="48" t="n">
        <f aca="false">IF(COUNT(C7:C1000)=0,"",MAX(C7:C1000))</f>
        <v>46321</v>
      </c>
      <c r="F4" s="49" t="n">
        <f aca="false">SUM(H7:H1000)</f>
        <v>460</v>
      </c>
      <c r="G4" s="49" t="n">
        <f aca="false">SUM(I7:I1000)</f>
        <v>460</v>
      </c>
      <c r="H4" s="50" t="n">
        <f aca="false">ROUND(F4-G4,2)</f>
        <v>0</v>
      </c>
      <c r="I4" s="49" t="n">
        <f aca="false">ROUND(SUMPRODUCT((G7:G1000&gt;1)*E7:E1000*F7:F1000*(G7:G1000-1)),2)</f>
        <v>60</v>
      </c>
      <c r="J4" s="48" t="n">
        <f aca="false">IF(COUNTIFS(I7:I1000,"&gt;0",E7:E1000,"")=0,"",_xlfn.MAXIFS(C7:C1000,I7:I1000,"&gt;0",E7:E1000,""))</f>
        <v>46321</v>
      </c>
      <c r="K4" s="51" t="str">
        <f aca="false">IF(ABS(H4)&lt;0.01,"مسدد",IF(H4&gt;0,"مستحق علينا","رصيد لنا"))</f>
        <v>مسدد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الأحد</v>
      </c>
      <c r="C7" s="55" t="n">
        <v>46313</v>
      </c>
      <c r="D7" s="56" t="s">
        <v>308</v>
      </c>
      <c r="E7" s="57" t="n">
        <v>20</v>
      </c>
      <c r="F7" s="58" t="n">
        <v>20</v>
      </c>
      <c r="G7" s="54" t="n">
        <v>1.15</v>
      </c>
      <c r="H7" s="59" t="n">
        <f aca="false">ROUND(E7*F7*IF(G7&gt;1,G7,1),2)</f>
        <v>460</v>
      </c>
      <c r="I7" s="59"/>
      <c r="J7" s="60" t="n">
        <f aca="false">IF(COUNTA(C7:D7)=0,"",ROUND(SUM(H$7:H7)-SUM(I$7:I7),2))</f>
        <v>460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الاثنين</v>
      </c>
      <c r="C8" s="63" t="n">
        <v>46321</v>
      </c>
      <c r="D8" s="64" t="s">
        <v>57</v>
      </c>
      <c r="E8" s="65"/>
      <c r="F8" s="66"/>
      <c r="G8" s="62"/>
      <c r="H8" s="67"/>
      <c r="I8" s="67" t="n">
        <v>460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309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46324</v>
      </c>
      <c r="E4" s="48" t="n">
        <f aca="false">IF(COUNT(C7:C1000)=0,"",MAX(C7:C1000))</f>
        <v>46324</v>
      </c>
      <c r="F4" s="49" t="n">
        <f aca="false">SUM(H7:H1000)</f>
        <v>2850.85</v>
      </c>
      <c r="G4" s="49" t="n">
        <f aca="false">SUM(I7:I1000)</f>
        <v>0</v>
      </c>
      <c r="H4" s="50" t="n">
        <f aca="false">ROUND(F4-G4,2)</f>
        <v>2850.85</v>
      </c>
      <c r="I4" s="49" t="n">
        <f aca="false">ROUND(SUMPRODUCT((G7:G1000&gt;1)*E7:E1000*F7:F1000*(G7:G1000-1)),2)</f>
        <v>371.85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46324</v>
      </c>
      <c r="D7" s="56" t="s">
        <v>73</v>
      </c>
      <c r="E7" s="57" t="n">
        <v>42</v>
      </c>
      <c r="F7" s="58" t="n">
        <v>45</v>
      </c>
      <c r="G7" s="54" t="n">
        <v>1.15</v>
      </c>
      <c r="H7" s="59" t="n">
        <f aca="false">ROUND(E7*F7*IF(G7&gt;1,G7,1),2)</f>
        <v>2173.5</v>
      </c>
      <c r="I7" s="59"/>
      <c r="J7" s="60" t="n">
        <f aca="false">IF(COUNTA(C7:D7)=0,"",ROUND(SUM(H$7:H7)-SUM(I$7:I7),2))</f>
        <v>2173.5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الخميس</v>
      </c>
      <c r="C8" s="63" t="n">
        <v>46324</v>
      </c>
      <c r="D8" s="64" t="s">
        <v>82</v>
      </c>
      <c r="E8" s="65" t="n">
        <v>19</v>
      </c>
      <c r="F8" s="66" t="n">
        <v>31</v>
      </c>
      <c r="G8" s="62" t="n">
        <v>1.15</v>
      </c>
      <c r="H8" s="67" t="n">
        <f aca="false">ROUND(E8*F8*IF(G8&gt;1,G8,1),2)</f>
        <v>677.35</v>
      </c>
      <c r="I8" s="67"/>
      <c r="J8" s="68" t="n">
        <f aca="false">IF(COUNTA(C8:D8)=0,"",ROUND(SUM(H$7:H8)-SUM(I$7:I8),2))</f>
        <v>2850.85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7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310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46297</v>
      </c>
      <c r="E4" s="48" t="n">
        <f aca="false">IF(COUNT(C7:C1000)=0,"",MAX(C7:C1000))</f>
        <v>46324</v>
      </c>
      <c r="F4" s="49" t="n">
        <f aca="false">SUM(H7:H1000)</f>
        <v>34935.65</v>
      </c>
      <c r="G4" s="49" t="n">
        <f aca="false">SUM(I7:I1000)</f>
        <v>20673</v>
      </c>
      <c r="H4" s="50" t="n">
        <f aca="false">ROUND(F4-G4,2)</f>
        <v>14262.65</v>
      </c>
      <c r="I4" s="49" t="n">
        <f aca="false">ROUND(SUMPRODUCT((G7:G1000&gt;1)*E7:E1000*F7:F1000*(G7:G1000-1)),2)</f>
        <v>3394.65</v>
      </c>
      <c r="J4" s="48" t="n">
        <f aca="false">IF(COUNTIFS(I7:I1000,"&gt;0",E7:E1000,"")=0,"",_xlfn.MAXIFS(C7:C1000,I7:I1000,"&gt;0",E7:E1000,""))</f>
        <v>46322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46297</v>
      </c>
      <c r="D7" s="56" t="s">
        <v>83</v>
      </c>
      <c r="E7" s="57" t="n">
        <v>86</v>
      </c>
      <c r="F7" s="58" t="n">
        <v>18</v>
      </c>
      <c r="G7" s="54" t="n">
        <v>1.15</v>
      </c>
      <c r="H7" s="59" t="n">
        <f aca="false">ROUND(E7*F7*IF(G7&gt;1,G7,1),2)</f>
        <v>1780.2</v>
      </c>
      <c r="I7" s="59"/>
      <c r="J7" s="60" t="n">
        <f aca="false">IF(COUNTA(C7:D7)=0,"",ROUND(SUM(H$7:H7)-SUM(I$7:I7),2))</f>
        <v>1780.2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السبت</v>
      </c>
      <c r="C8" s="63" t="n">
        <v>46298</v>
      </c>
      <c r="D8" s="64" t="s">
        <v>311</v>
      </c>
      <c r="E8" s="65" t="n">
        <v>40</v>
      </c>
      <c r="F8" s="66" t="n">
        <v>24</v>
      </c>
      <c r="G8" s="62" t="n">
        <v>1.15</v>
      </c>
      <c r="H8" s="67" t="n">
        <f aca="false">ROUND(E8*F8*IF(G8&gt;1,G8,1),2)</f>
        <v>1104</v>
      </c>
      <c r="I8" s="67"/>
      <c r="J8" s="68" t="n">
        <f aca="false">IF(COUNTA(C8:D8)=0,"",ROUND(SUM(H$7:H8)-SUM(I$7:I8),2))</f>
        <v>2884.2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الأحد</v>
      </c>
      <c r="C9" s="55" t="n">
        <v>46299</v>
      </c>
      <c r="D9" s="56" t="s">
        <v>77</v>
      </c>
      <c r="E9" s="57" t="n">
        <v>40</v>
      </c>
      <c r="F9" s="58" t="n">
        <v>31.45</v>
      </c>
      <c r="G9" s="54" t="n">
        <v>1.15</v>
      </c>
      <c r="H9" s="59" t="n">
        <f aca="false">ROUND(E9*F9*IF(G9&gt;1,G9,1),2)</f>
        <v>1446.7</v>
      </c>
      <c r="I9" s="59"/>
      <c r="J9" s="60" t="n">
        <f aca="false">IF(COUNTA(C9:D9)=0,"",ROUND(SUM(H$7:H9)-SUM(I$7:I9),2))</f>
        <v>4330.9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الثلاثاء</v>
      </c>
      <c r="C10" s="63" t="n">
        <v>46301</v>
      </c>
      <c r="D10" s="64" t="s">
        <v>136</v>
      </c>
      <c r="E10" s="65"/>
      <c r="F10" s="66"/>
      <c r="G10" s="62"/>
      <c r="H10" s="67"/>
      <c r="I10" s="67" t="n">
        <v>2769</v>
      </c>
      <c r="J10" s="68" t="n">
        <f aca="false">IF(COUNTA(C10:D10)=0,"",ROUND(SUM(H$7:H10)-SUM(I$7:I10),2))</f>
        <v>1561.9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الأربعاء</v>
      </c>
      <c r="C11" s="55" t="n">
        <v>46302</v>
      </c>
      <c r="D11" s="56" t="s">
        <v>84</v>
      </c>
      <c r="E11" s="57" t="n">
        <v>4</v>
      </c>
      <c r="F11" s="58" t="n">
        <v>48</v>
      </c>
      <c r="G11" s="54" t="n">
        <v>1.15</v>
      </c>
      <c r="H11" s="59" t="n">
        <f aca="false">ROUND(E11*F11*IF(G11&gt;1,G11,1),2)</f>
        <v>220.8</v>
      </c>
      <c r="I11" s="59"/>
      <c r="J11" s="60" t="n">
        <f aca="false">IF(COUNTA(C11:D11)=0,"",ROUND(SUM(H$7:H11)-SUM(I$7:I11),2))</f>
        <v>1782.7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الخميس</v>
      </c>
      <c r="C12" s="63" t="n">
        <v>46303</v>
      </c>
      <c r="D12" s="64" t="s">
        <v>77</v>
      </c>
      <c r="E12" s="65" t="n">
        <v>40</v>
      </c>
      <c r="F12" s="66" t="n">
        <v>36</v>
      </c>
      <c r="G12" s="62" t="n">
        <v>0</v>
      </c>
      <c r="H12" s="67" t="n">
        <f aca="false">ROUND(E12*F12*IF(G12&gt;1,G12,1),2)</f>
        <v>1440</v>
      </c>
      <c r="I12" s="67"/>
      <c r="J12" s="68" t="n">
        <f aca="false">IF(COUNTA(C12:D12)=0,"",ROUND(SUM(H$7:H12)-SUM(I$7:I12),2))</f>
        <v>3222.7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الخميس</v>
      </c>
      <c r="C13" s="55" t="n">
        <v>46303</v>
      </c>
      <c r="D13" s="56" t="s">
        <v>311</v>
      </c>
      <c r="E13" s="57" t="n">
        <v>20</v>
      </c>
      <c r="F13" s="58" t="n">
        <v>25</v>
      </c>
      <c r="G13" s="54" t="n">
        <v>0</v>
      </c>
      <c r="H13" s="59" t="n">
        <f aca="false">ROUND(E13*F13*IF(G13&gt;1,G13,1),2)</f>
        <v>500</v>
      </c>
      <c r="I13" s="59"/>
      <c r="J13" s="60" t="n">
        <f aca="false">IF(COUNTA(C13:D13)=0,"",ROUND(SUM(H$7:H13)-SUM(I$7:I13),2))</f>
        <v>3722.7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الخميس</v>
      </c>
      <c r="C14" s="63" t="n">
        <v>46303</v>
      </c>
      <c r="D14" s="64" t="s">
        <v>85</v>
      </c>
      <c r="E14" s="65" t="n">
        <v>30</v>
      </c>
      <c r="F14" s="66" t="n">
        <v>36</v>
      </c>
      <c r="G14" s="62" t="n">
        <v>0</v>
      </c>
      <c r="H14" s="67" t="n">
        <f aca="false">ROUND(E14*F14*IF(G14&gt;1,G14,1),2)</f>
        <v>1080</v>
      </c>
      <c r="I14" s="67"/>
      <c r="J14" s="68" t="n">
        <f aca="false">IF(COUNTA(C14:D14)=0,"",ROUND(SUM(H$7:H14)-SUM(I$7:I14),2))</f>
        <v>4802.7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السبت</v>
      </c>
      <c r="C15" s="55" t="n">
        <v>46305</v>
      </c>
      <c r="D15" s="56" t="s">
        <v>312</v>
      </c>
      <c r="E15" s="57"/>
      <c r="F15" s="58"/>
      <c r="G15" s="54"/>
      <c r="H15" s="59"/>
      <c r="I15" s="59" t="n">
        <v>104</v>
      </c>
      <c r="J15" s="60" t="n">
        <f aca="false">IF(COUNTA(C15:D15)=0,"",ROUND(SUM(H$7:H15)-SUM(I$7:I15),2))</f>
        <v>4698.7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السبت</v>
      </c>
      <c r="C16" s="63" t="n">
        <v>46305</v>
      </c>
      <c r="D16" s="64" t="s">
        <v>67</v>
      </c>
      <c r="E16" s="65" t="n">
        <v>198</v>
      </c>
      <c r="F16" s="66" t="n">
        <v>15</v>
      </c>
      <c r="G16" s="62" t="n">
        <v>1.15</v>
      </c>
      <c r="H16" s="67" t="n">
        <f aca="false">ROUND(E16*F16*IF(G16&gt;1,G16,1),2)</f>
        <v>3415.5</v>
      </c>
      <c r="I16" s="67"/>
      <c r="J16" s="68" t="n">
        <f aca="false">IF(COUNTA(C16:D16)=0,"",ROUND(SUM(H$7:H16)-SUM(I$7:I16),2))</f>
        <v>8114.2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الأحد</v>
      </c>
      <c r="C17" s="55" t="n">
        <v>46306</v>
      </c>
      <c r="D17" s="56" t="s">
        <v>67</v>
      </c>
      <c r="E17" s="57" t="n">
        <v>200</v>
      </c>
      <c r="F17" s="58" t="n">
        <v>15</v>
      </c>
      <c r="G17" s="54" t="n">
        <v>1.15</v>
      </c>
      <c r="H17" s="59" t="n">
        <f aca="false">ROUND(E17*F17*IF(G17&gt;1,G17,1),2)</f>
        <v>3450</v>
      </c>
      <c r="I17" s="59"/>
      <c r="J17" s="60" t="n">
        <f aca="false">IF(COUNTA(C17:D17)=0,"",ROUND(SUM(H$7:H17)-SUM(I$7:I17),2))</f>
        <v>11564.2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الاثنين</v>
      </c>
      <c r="C18" s="63" t="n">
        <v>46307</v>
      </c>
      <c r="D18" s="64" t="s">
        <v>311</v>
      </c>
      <c r="E18" s="65" t="n">
        <v>20</v>
      </c>
      <c r="F18" s="66" t="n">
        <v>28</v>
      </c>
      <c r="G18" s="62" t="n">
        <v>0</v>
      </c>
      <c r="H18" s="67" t="n">
        <f aca="false">ROUND(E18*F18*IF(G18&gt;1,G18,1),2)</f>
        <v>560</v>
      </c>
      <c r="I18" s="67"/>
      <c r="J18" s="68" t="n">
        <f aca="false">IF(COUNTA(C18:D18)=0,"",ROUND(SUM(H$7:H18)-SUM(I$7:I18),2))</f>
        <v>12124.2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>الاثنين</v>
      </c>
      <c r="C19" s="55" t="n">
        <v>46307</v>
      </c>
      <c r="D19" s="56" t="s">
        <v>298</v>
      </c>
      <c r="E19" s="57" t="n">
        <v>20</v>
      </c>
      <c r="F19" s="58" t="n">
        <v>38</v>
      </c>
      <c r="G19" s="54" t="n">
        <v>0</v>
      </c>
      <c r="H19" s="59" t="n">
        <f aca="false">ROUND(E19*F19*IF(G19&gt;1,G19,1),2)</f>
        <v>760</v>
      </c>
      <c r="I19" s="59"/>
      <c r="J19" s="60" t="n">
        <f aca="false">IF(COUNTA(C19:D19)=0,"",ROUND(SUM(H$7:H19)-SUM(I$7:I19),2))</f>
        <v>12884.2</v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>الاثنين</v>
      </c>
      <c r="C20" s="63" t="n">
        <v>46307</v>
      </c>
      <c r="D20" s="64" t="s">
        <v>77</v>
      </c>
      <c r="E20" s="65" t="n">
        <v>30</v>
      </c>
      <c r="F20" s="66" t="n">
        <v>38</v>
      </c>
      <c r="G20" s="62" t="n">
        <v>0</v>
      </c>
      <c r="H20" s="67" t="n">
        <f aca="false">ROUND(E20*F20*IF(G20&gt;1,G20,1),2)</f>
        <v>1140</v>
      </c>
      <c r="I20" s="67"/>
      <c r="J20" s="68" t="n">
        <f aca="false">IF(COUNTA(C20:D20)=0,"",ROUND(SUM(H$7:H20)-SUM(I$7:I20),2))</f>
        <v>14024.2</v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>الأربعاء</v>
      </c>
      <c r="C21" s="55" t="n">
        <v>46309</v>
      </c>
      <c r="D21" s="56" t="s">
        <v>77</v>
      </c>
      <c r="E21" s="57" t="n">
        <v>40</v>
      </c>
      <c r="F21" s="58" t="n">
        <v>37</v>
      </c>
      <c r="G21" s="54" t="n">
        <v>0</v>
      </c>
      <c r="H21" s="59" t="n">
        <f aca="false">ROUND(E21*F21*IF(G21&gt;1,G21,1),2)</f>
        <v>1480</v>
      </c>
      <c r="I21" s="59"/>
      <c r="J21" s="60" t="n">
        <f aca="false">IF(COUNTA(C21:D21)=0,"",ROUND(SUM(H$7:H21)-SUM(I$7:I21),2))</f>
        <v>15504.2</v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>الأربعاء</v>
      </c>
      <c r="C22" s="63" t="n">
        <v>46309</v>
      </c>
      <c r="D22" s="64" t="s">
        <v>298</v>
      </c>
      <c r="E22" s="65" t="n">
        <v>30</v>
      </c>
      <c r="F22" s="66" t="n">
        <v>37</v>
      </c>
      <c r="G22" s="62" t="n">
        <v>0</v>
      </c>
      <c r="H22" s="67" t="n">
        <f aca="false">ROUND(E22*F22*IF(G22&gt;1,G22,1),2)</f>
        <v>1110</v>
      </c>
      <c r="I22" s="67"/>
      <c r="J22" s="68" t="n">
        <f aca="false">IF(COUNTA(C22:D22)=0,"",ROUND(SUM(H$7:H22)-SUM(I$7:I22),2))</f>
        <v>16614.2</v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>الأربعاء</v>
      </c>
      <c r="C23" s="55" t="n">
        <v>46309</v>
      </c>
      <c r="D23" s="56" t="s">
        <v>311</v>
      </c>
      <c r="E23" s="57" t="n">
        <v>30</v>
      </c>
      <c r="F23" s="58" t="n">
        <v>28</v>
      </c>
      <c r="G23" s="54" t="n">
        <v>0</v>
      </c>
      <c r="H23" s="59" t="n">
        <f aca="false">ROUND(E23*F23*IF(G23&gt;1,G23,1),2)</f>
        <v>840</v>
      </c>
      <c r="I23" s="59"/>
      <c r="J23" s="60" t="n">
        <f aca="false">IF(COUNTA(C23:D23)=0,"",ROUND(SUM(H$7:H23)-SUM(I$7:I23),2))</f>
        <v>17454.2</v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>الأربعاء</v>
      </c>
      <c r="C24" s="63" t="n">
        <v>46309</v>
      </c>
      <c r="D24" s="64" t="s">
        <v>313</v>
      </c>
      <c r="E24" s="65"/>
      <c r="F24" s="66"/>
      <c r="G24" s="62"/>
      <c r="H24" s="67"/>
      <c r="I24" s="67" t="n">
        <v>1000</v>
      </c>
      <c r="J24" s="68" t="n">
        <f aca="false">IF(COUNTA(C24:D24)=0,"",ROUND(SUM(H$7:H24)-SUM(I$7:I24),2))</f>
        <v>16454.2</v>
      </c>
      <c r="K24" s="62" t="s">
        <v>314</v>
      </c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>الأربعاء</v>
      </c>
      <c r="C25" s="55" t="n">
        <v>46309</v>
      </c>
      <c r="D25" s="56" t="s">
        <v>138</v>
      </c>
      <c r="E25" s="57"/>
      <c r="F25" s="58"/>
      <c r="G25" s="54"/>
      <c r="H25" s="59"/>
      <c r="I25" s="59" t="n">
        <v>1400</v>
      </c>
      <c r="J25" s="60" t="n">
        <f aca="false">IF(COUNTA(C25:D25)=0,"",ROUND(SUM(H$7:H25)-SUM(I$7:I25),2))</f>
        <v>15054.2</v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>الخميس</v>
      </c>
      <c r="C26" s="63" t="n">
        <v>46310</v>
      </c>
      <c r="D26" s="64" t="s">
        <v>84</v>
      </c>
      <c r="E26" s="65" t="n">
        <v>69</v>
      </c>
      <c r="F26" s="66" t="n">
        <v>48</v>
      </c>
      <c r="G26" s="62" t="n">
        <v>1.15</v>
      </c>
      <c r="H26" s="67" t="n">
        <f aca="false">ROUND(E26*F26*IF(G26&gt;1,G26,1),2)</f>
        <v>3808.8</v>
      </c>
      <c r="I26" s="67"/>
      <c r="J26" s="68" t="n">
        <f aca="false">IF(COUNTA(C26:D26)=0,"",ROUND(SUM(H$7:H26)-SUM(I$7:I26),2))</f>
        <v>18863</v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>الأحد</v>
      </c>
      <c r="C27" s="55" t="n">
        <v>46313</v>
      </c>
      <c r="D27" s="56" t="s">
        <v>315</v>
      </c>
      <c r="E27" s="57"/>
      <c r="F27" s="58"/>
      <c r="G27" s="54"/>
      <c r="H27" s="59"/>
      <c r="I27" s="59" t="n">
        <v>3500</v>
      </c>
      <c r="J27" s="60" t="n">
        <f aca="false">IF(COUNTA(C27:D27)=0,"",ROUND(SUM(H$7:H27)-SUM(I$7:I27),2))</f>
        <v>15363</v>
      </c>
      <c r="K27" s="54" t="s">
        <v>316</v>
      </c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>الخميس</v>
      </c>
      <c r="C28" s="63" t="n">
        <v>46317</v>
      </c>
      <c r="D28" s="64" t="s">
        <v>317</v>
      </c>
      <c r="E28" s="65"/>
      <c r="F28" s="66"/>
      <c r="G28" s="62"/>
      <c r="H28" s="67"/>
      <c r="I28" s="67" t="n">
        <v>5900</v>
      </c>
      <c r="J28" s="68" t="n">
        <f aca="false">IF(COUNTA(C28:D28)=0,"",ROUND(SUM(H$7:H28)-SUM(I$7:I28),2))</f>
        <v>9463</v>
      </c>
      <c r="K28" s="62" t="s">
        <v>318</v>
      </c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>السبت</v>
      </c>
      <c r="C29" s="55" t="n">
        <v>46319</v>
      </c>
      <c r="D29" s="56" t="s">
        <v>319</v>
      </c>
      <c r="E29" s="57"/>
      <c r="F29" s="58"/>
      <c r="G29" s="54"/>
      <c r="H29" s="59"/>
      <c r="I29" s="59" t="n">
        <v>1000</v>
      </c>
      <c r="J29" s="60" t="n">
        <f aca="false">IF(COUNTA(C29:D29)=0,"",ROUND(SUM(H$7:H29)-SUM(I$7:I29),2))</f>
        <v>8463</v>
      </c>
      <c r="K29" s="54" t="s">
        <v>320</v>
      </c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>السبت</v>
      </c>
      <c r="C30" s="63" t="n">
        <v>46319</v>
      </c>
      <c r="D30" s="64" t="s">
        <v>67</v>
      </c>
      <c r="E30" s="65" t="n">
        <v>215</v>
      </c>
      <c r="F30" s="66" t="n">
        <v>17</v>
      </c>
      <c r="G30" s="62" t="n">
        <v>1.15</v>
      </c>
      <c r="H30" s="67" t="n">
        <f aca="false">ROUND(E30*F30*IF(G30&gt;1,G30,1),2)</f>
        <v>4203.25</v>
      </c>
      <c r="I30" s="67"/>
      <c r="J30" s="68" t="n">
        <f aca="false">IF(COUNTA(C30:D30)=0,"",ROUND(SUM(H$7:H30)-SUM(I$7:I30),2))</f>
        <v>12666.25</v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>الاثنين</v>
      </c>
      <c r="C31" s="55" t="n">
        <v>46321</v>
      </c>
      <c r="D31" s="56" t="s">
        <v>67</v>
      </c>
      <c r="E31" s="57" t="n">
        <v>73</v>
      </c>
      <c r="F31" s="58" t="n">
        <v>17</v>
      </c>
      <c r="G31" s="54" t="n">
        <v>1.15</v>
      </c>
      <c r="H31" s="59" t="n">
        <f aca="false">ROUND(E31*F31*IF(G31&gt;1,G31,1),2)</f>
        <v>1427.15</v>
      </c>
      <c r="I31" s="59"/>
      <c r="J31" s="60" t="n">
        <f aca="false">IF(COUNTA(C31:D31)=0,"",ROUND(SUM(H$7:H31)-SUM(I$7:I31),2))</f>
        <v>14093.4</v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>الثلاثاء</v>
      </c>
      <c r="C32" s="63" t="n">
        <v>46322</v>
      </c>
      <c r="D32" s="64" t="s">
        <v>321</v>
      </c>
      <c r="E32" s="65"/>
      <c r="F32" s="66"/>
      <c r="G32" s="62"/>
      <c r="H32" s="67"/>
      <c r="I32" s="67" t="n">
        <v>5000</v>
      </c>
      <c r="J32" s="68" t="n">
        <f aca="false">IF(COUNTA(C32:D32)=0,"",ROUND(SUM(H$7:H32)-SUM(I$7:I32),2))</f>
        <v>9093.4</v>
      </c>
      <c r="K32" s="62" t="s">
        <v>322</v>
      </c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>الثلاثاء</v>
      </c>
      <c r="C33" s="55" t="n">
        <v>46322</v>
      </c>
      <c r="D33" s="56" t="s">
        <v>62</v>
      </c>
      <c r="E33" s="57" t="n">
        <v>21</v>
      </c>
      <c r="F33" s="58" t="n">
        <v>40</v>
      </c>
      <c r="G33" s="54" t="n">
        <v>1.15</v>
      </c>
      <c r="H33" s="59" t="n">
        <f aca="false">ROUND(E33*F33*IF(G33&gt;1,G33,1),2)</f>
        <v>966</v>
      </c>
      <c r="I33" s="59"/>
      <c r="J33" s="60" t="n">
        <f aca="false">IF(COUNTA(C33:D33)=0,"",ROUND(SUM(H$7:H33)-SUM(I$7:I33),2))</f>
        <v>10059.4</v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>الخميس</v>
      </c>
      <c r="C34" s="63" t="n">
        <v>46324</v>
      </c>
      <c r="D34" s="64" t="s">
        <v>67</v>
      </c>
      <c r="E34" s="65" t="n">
        <v>215</v>
      </c>
      <c r="F34" s="66" t="n">
        <v>17</v>
      </c>
      <c r="G34" s="62" t="n">
        <v>1.15</v>
      </c>
      <c r="H34" s="67" t="n">
        <f aca="false">ROUND(E34*F34*IF(G34&gt;1,G34,1),2)</f>
        <v>4203.25</v>
      </c>
      <c r="I34" s="67"/>
      <c r="J34" s="68" t="n">
        <f aca="false">IF(COUNTA(C34:D34)=0,"",ROUND(SUM(H$7:H34)-SUM(I$7:I34),2))</f>
        <v>14262.65</v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  <row r="59" customFormat="false" ht="15" hidden="false" customHeight="false" outlineLevel="0" collapsed="false">
      <c r="B59" s="54" t="str">
        <f aca="false">IF(C59="","",CHOOSE(WEEKDAY(C59),"الأحد","الاثنين","الثلاثاء","الأربعاء","الخميس","الجمعة","السبت"))</f>
        <v/>
      </c>
      <c r="C59" s="70"/>
      <c r="D59" s="56"/>
      <c r="E59" s="71"/>
      <c r="F59" s="72"/>
      <c r="G59" s="73"/>
      <c r="H59" s="74"/>
      <c r="I59" s="74"/>
      <c r="J59" s="60" t="str">
        <f aca="false">IF(COUNTA(C59:D59)=0,"",ROUND(SUM(H$7:H59)-SUM(I$7:I59),2))</f>
        <v/>
      </c>
      <c r="K59" s="54"/>
      <c r="L59" s="56"/>
    </row>
    <row r="60" customFormat="false" ht="15" hidden="false" customHeight="false" outlineLevel="0" collapsed="false">
      <c r="B60" s="62" t="str">
        <f aca="false">IF(C60="","",CHOOSE(WEEKDAY(C60),"الأحد","الاثنين","الثلاثاء","الأربعاء","الخميس","الجمعة","السبت"))</f>
        <v/>
      </c>
      <c r="C60" s="70"/>
      <c r="D60" s="64"/>
      <c r="E60" s="71"/>
      <c r="F60" s="72"/>
      <c r="G60" s="73"/>
      <c r="H60" s="74"/>
      <c r="I60" s="74"/>
      <c r="J60" s="68" t="str">
        <f aca="false">IF(COUNTA(C60:D60)=0,"",ROUND(SUM(H$7:H60)-SUM(I$7:I60),2))</f>
        <v/>
      </c>
      <c r="K60" s="62"/>
      <c r="L60" s="64"/>
    </row>
    <row r="61" customFormat="false" ht="15" hidden="false" customHeight="false" outlineLevel="0" collapsed="false">
      <c r="B61" s="54" t="str">
        <f aca="false">IF(C61="","",CHOOSE(WEEKDAY(C61),"الأحد","الاثنين","الثلاثاء","الأربعاء","الخميس","الجمعة","السبت"))</f>
        <v/>
      </c>
      <c r="C61" s="70"/>
      <c r="D61" s="56"/>
      <c r="E61" s="71"/>
      <c r="F61" s="72"/>
      <c r="G61" s="73"/>
      <c r="H61" s="74"/>
      <c r="I61" s="74"/>
      <c r="J61" s="60" t="str">
        <f aca="false">IF(COUNTA(C61:D61)=0,"",ROUND(SUM(H$7:H61)-SUM(I$7:I61),2))</f>
        <v/>
      </c>
      <c r="K61" s="54"/>
      <c r="L61" s="56"/>
    </row>
    <row r="62" customFormat="false" ht="15" hidden="false" customHeight="false" outlineLevel="0" collapsed="false">
      <c r="B62" s="62" t="str">
        <f aca="false">IF(C62="","",CHOOSE(WEEKDAY(C62),"الأحد","الاثنين","الثلاثاء","الأربعاء","الخميس","الجمعة","السبت"))</f>
        <v/>
      </c>
      <c r="C62" s="70"/>
      <c r="D62" s="64"/>
      <c r="E62" s="71"/>
      <c r="F62" s="72"/>
      <c r="G62" s="73"/>
      <c r="H62" s="74"/>
      <c r="I62" s="74"/>
      <c r="J62" s="68" t="str">
        <f aca="false">IF(COUNTA(C62:D62)=0,"",ROUND(SUM(H$7:H62)-SUM(I$7:I62),2))</f>
        <v/>
      </c>
      <c r="K62" s="62"/>
      <c r="L62" s="64"/>
    </row>
    <row r="63" customFormat="false" ht="15" hidden="false" customHeight="false" outlineLevel="0" collapsed="false">
      <c r="B63" s="54" t="str">
        <f aca="false">IF(C63="","",CHOOSE(WEEKDAY(C63),"الأحد","الاثنين","الثلاثاء","الأربعاء","الخميس","الجمعة","السبت"))</f>
        <v/>
      </c>
      <c r="C63" s="70"/>
      <c r="D63" s="56"/>
      <c r="E63" s="71"/>
      <c r="F63" s="72"/>
      <c r="G63" s="73"/>
      <c r="H63" s="74"/>
      <c r="I63" s="74"/>
      <c r="J63" s="60" t="str">
        <f aca="false">IF(COUNTA(C63:D63)=0,"",ROUND(SUM(H$7:H63)-SUM(I$7:I63),2))</f>
        <v/>
      </c>
      <c r="K63" s="54"/>
      <c r="L63" s="56"/>
    </row>
    <row r="64" customFormat="false" ht="15" hidden="false" customHeight="false" outlineLevel="0" collapsed="false">
      <c r="B64" s="62" t="str">
        <f aca="false">IF(C64="","",CHOOSE(WEEKDAY(C64),"الأحد","الاثنين","الثلاثاء","الأربعاء","الخميس","الجمعة","السبت"))</f>
        <v/>
      </c>
      <c r="C64" s="70"/>
      <c r="D64" s="64"/>
      <c r="E64" s="71"/>
      <c r="F64" s="72"/>
      <c r="G64" s="73"/>
      <c r="H64" s="74"/>
      <c r="I64" s="74"/>
      <c r="J64" s="68" t="str">
        <f aca="false">IF(COUNTA(C64:D64)=0,"",ROUND(SUM(H$7:H64)-SUM(I$7:I64),2))</f>
        <v/>
      </c>
      <c r="K64" s="62"/>
      <c r="L64" s="64"/>
    </row>
    <row r="65" customFormat="false" ht="15" hidden="false" customHeight="false" outlineLevel="0" collapsed="false">
      <c r="B65" s="54" t="str">
        <f aca="false">IF(C65="","",CHOOSE(WEEKDAY(C65),"الأحد","الاثنين","الثلاثاء","الأربعاء","الخميس","الجمعة","السبت"))</f>
        <v/>
      </c>
      <c r="C65" s="70"/>
      <c r="D65" s="56"/>
      <c r="E65" s="71"/>
      <c r="F65" s="72"/>
      <c r="G65" s="73"/>
      <c r="H65" s="74"/>
      <c r="I65" s="74"/>
      <c r="J65" s="60" t="str">
        <f aca="false">IF(COUNTA(C65:D65)=0,"",ROUND(SUM(H$7:H65)-SUM(I$7:I65),2))</f>
        <v/>
      </c>
      <c r="K65" s="54"/>
      <c r="L65" s="56"/>
    </row>
    <row r="66" customFormat="false" ht="15" hidden="false" customHeight="false" outlineLevel="0" collapsed="false">
      <c r="B66" s="62" t="str">
        <f aca="false">IF(C66="","",CHOOSE(WEEKDAY(C66),"الأحد","الاثنين","الثلاثاء","الأربعاء","الخميس","الجمعة","السبت"))</f>
        <v/>
      </c>
      <c r="C66" s="70"/>
      <c r="D66" s="64"/>
      <c r="E66" s="71"/>
      <c r="F66" s="72"/>
      <c r="G66" s="73"/>
      <c r="H66" s="74"/>
      <c r="I66" s="74"/>
      <c r="J66" s="68" t="str">
        <f aca="false">IF(COUNTA(C66:D66)=0,"",ROUND(SUM(H$7:H66)-SUM(I$7:I66),2))</f>
        <v/>
      </c>
      <c r="K66" s="62"/>
      <c r="L66" s="64"/>
    </row>
    <row r="67" customFormat="false" ht="15" hidden="false" customHeight="false" outlineLevel="0" collapsed="false">
      <c r="B67" s="54" t="str">
        <f aca="false">IF(C67="","",CHOOSE(WEEKDAY(C67),"الأحد","الاثنين","الثلاثاء","الأربعاء","الخميس","الجمعة","السبت"))</f>
        <v/>
      </c>
      <c r="C67" s="70"/>
      <c r="D67" s="56"/>
      <c r="E67" s="71"/>
      <c r="F67" s="72"/>
      <c r="G67" s="73"/>
      <c r="H67" s="74"/>
      <c r="I67" s="74"/>
      <c r="J67" s="60" t="str">
        <f aca="false">IF(COUNTA(C67:D67)=0,"",ROUND(SUM(H$7:H67)-SUM(I$7:I67),2))</f>
        <v/>
      </c>
      <c r="K67" s="54"/>
      <c r="L67" s="56"/>
    </row>
    <row r="68" customFormat="false" ht="15" hidden="false" customHeight="false" outlineLevel="0" collapsed="false">
      <c r="B68" s="62" t="str">
        <f aca="false">IF(C68="","",CHOOSE(WEEKDAY(C68),"الأحد","الاثنين","الثلاثاء","الأربعاء","الخميس","الجمعة","السبت"))</f>
        <v/>
      </c>
      <c r="C68" s="70"/>
      <c r="D68" s="64"/>
      <c r="E68" s="71"/>
      <c r="F68" s="72"/>
      <c r="G68" s="73"/>
      <c r="H68" s="74"/>
      <c r="I68" s="74"/>
      <c r="J68" s="68" t="str">
        <f aca="false">IF(COUNTA(C68:D68)=0,"",ROUND(SUM(H$7:H68)-SUM(I$7:I68),2))</f>
        <v/>
      </c>
      <c r="K68" s="62"/>
      <c r="L68" s="64"/>
    </row>
    <row r="69" customFormat="false" ht="15" hidden="false" customHeight="false" outlineLevel="0" collapsed="false">
      <c r="B69" s="54" t="str">
        <f aca="false">IF(C69="","",CHOOSE(WEEKDAY(C69),"الأحد","الاثنين","الثلاثاء","الأربعاء","الخميس","الجمعة","السبت"))</f>
        <v/>
      </c>
      <c r="C69" s="70"/>
      <c r="D69" s="56"/>
      <c r="E69" s="71"/>
      <c r="F69" s="72"/>
      <c r="G69" s="73"/>
      <c r="H69" s="74"/>
      <c r="I69" s="74"/>
      <c r="J69" s="60" t="str">
        <f aca="false">IF(COUNTA(C69:D69)=0,"",ROUND(SUM(H$7:H69)-SUM(I$7:I69),2))</f>
        <v/>
      </c>
      <c r="K69" s="54"/>
      <c r="L69" s="56"/>
    </row>
    <row r="70" customFormat="false" ht="15" hidden="false" customHeight="false" outlineLevel="0" collapsed="false">
      <c r="B70" s="62" t="str">
        <f aca="false">IF(C70="","",CHOOSE(WEEKDAY(C70),"الأحد","الاثنين","الثلاثاء","الأربعاء","الخميس","الجمعة","السبت"))</f>
        <v/>
      </c>
      <c r="C70" s="70"/>
      <c r="D70" s="64"/>
      <c r="E70" s="71"/>
      <c r="F70" s="72"/>
      <c r="G70" s="73"/>
      <c r="H70" s="74"/>
      <c r="I70" s="74"/>
      <c r="J70" s="68" t="str">
        <f aca="false">IF(COUNTA(C70:D70)=0,"",ROUND(SUM(H$7:H70)-SUM(I$7:I70),2))</f>
        <v/>
      </c>
      <c r="K70" s="62"/>
      <c r="L70" s="64"/>
    </row>
    <row r="71" customFormat="false" ht="15" hidden="false" customHeight="false" outlineLevel="0" collapsed="false">
      <c r="B71" s="54" t="str">
        <f aca="false">IF(C71="","",CHOOSE(WEEKDAY(C71),"الأحد","الاثنين","الثلاثاء","الأربعاء","الخميس","الجمعة","السبت"))</f>
        <v/>
      </c>
      <c r="C71" s="70"/>
      <c r="D71" s="56"/>
      <c r="E71" s="71"/>
      <c r="F71" s="72"/>
      <c r="G71" s="73"/>
      <c r="H71" s="74"/>
      <c r="I71" s="74"/>
      <c r="J71" s="60" t="str">
        <f aca="false">IF(COUNTA(C71:D71)=0,"",ROUND(SUM(H$7:H71)-SUM(I$7:I71),2))</f>
        <v/>
      </c>
      <c r="K71" s="54"/>
      <c r="L71" s="56"/>
    </row>
    <row r="72" customFormat="false" ht="15" hidden="false" customHeight="false" outlineLevel="0" collapsed="false">
      <c r="B72" s="62" t="str">
        <f aca="false">IF(C72="","",CHOOSE(WEEKDAY(C72),"الأحد","الاثنين","الثلاثاء","الأربعاء","الخميس","الجمعة","السبت"))</f>
        <v/>
      </c>
      <c r="C72" s="70"/>
      <c r="D72" s="64"/>
      <c r="E72" s="71"/>
      <c r="F72" s="72"/>
      <c r="G72" s="73"/>
      <c r="H72" s="74"/>
      <c r="I72" s="74"/>
      <c r="J72" s="68" t="str">
        <f aca="false">IF(COUNTA(C72:D72)=0,"",ROUND(SUM(H$7:H72)-SUM(I$7:I72),2))</f>
        <v/>
      </c>
      <c r="K72" s="62"/>
      <c r="L72" s="64"/>
    </row>
    <row r="73" customFormat="false" ht="15" hidden="false" customHeight="false" outlineLevel="0" collapsed="false">
      <c r="B73" s="54" t="str">
        <f aca="false">IF(C73="","",CHOOSE(WEEKDAY(C73),"الأحد","الاثنين","الثلاثاء","الأربعاء","الخميس","الجمعة","السبت"))</f>
        <v/>
      </c>
      <c r="C73" s="70"/>
      <c r="D73" s="56"/>
      <c r="E73" s="71"/>
      <c r="F73" s="72"/>
      <c r="G73" s="73"/>
      <c r="H73" s="74"/>
      <c r="I73" s="74"/>
      <c r="J73" s="60" t="str">
        <f aca="false">IF(COUNTA(C73:D73)=0,"",ROUND(SUM(H$7:H73)-SUM(I$7:I73),2))</f>
        <v/>
      </c>
      <c r="K73" s="54"/>
      <c r="L73" s="56"/>
    </row>
    <row r="74" customFormat="false" ht="15" hidden="false" customHeight="false" outlineLevel="0" collapsed="false">
      <c r="B74" s="62" t="str">
        <f aca="false">IF(C74="","",CHOOSE(WEEKDAY(C74),"الأحد","الاثنين","الثلاثاء","الأربعاء","الخميس","الجمعة","السبت"))</f>
        <v/>
      </c>
      <c r="C74" s="70"/>
      <c r="D74" s="64"/>
      <c r="E74" s="71"/>
      <c r="F74" s="72"/>
      <c r="G74" s="73"/>
      <c r="H74" s="74"/>
      <c r="I74" s="74"/>
      <c r="J74" s="68" t="str">
        <f aca="false">IF(COUNTA(C74:D74)=0,"",ROUND(SUM(H$7:H74)-SUM(I$7:I74),2))</f>
        <v/>
      </c>
      <c r="K74" s="62"/>
      <c r="L74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323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46308</v>
      </c>
      <c r="E4" s="48" t="n">
        <f aca="false">IF(COUNT(C7:C1000)=0,"",MAX(C7:C1000))</f>
        <v>46321</v>
      </c>
      <c r="F4" s="49" t="n">
        <f aca="false">SUM(H7:H1000)</f>
        <v>15680.25</v>
      </c>
      <c r="G4" s="49" t="n">
        <f aca="false">SUM(I7:I1000)</f>
        <v>13900</v>
      </c>
      <c r="H4" s="50" t="n">
        <f aca="false">ROUND(F4-G4,2)</f>
        <v>1780.25</v>
      </c>
      <c r="I4" s="49" t="n">
        <f aca="false">ROUND(SUMPRODUCT((G7:G1000&gt;1)*E7:E1000*F7:F1000*(G7:G1000-1)),2)</f>
        <v>2045.25</v>
      </c>
      <c r="J4" s="48" t="n">
        <f aca="false">IF(COUNTIFS(I7:I1000,"&gt;0",E7:E1000,"")=0,"",_xlfn.MAXIFS(C7:C1000,I7:I1000,"&gt;0",E7:E1000,""))</f>
        <v>46321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الثلاثاء</v>
      </c>
      <c r="C7" s="55" t="n">
        <v>46308</v>
      </c>
      <c r="D7" s="56" t="s">
        <v>86</v>
      </c>
      <c r="E7" s="57" t="n">
        <v>104</v>
      </c>
      <c r="F7" s="58" t="n">
        <v>35</v>
      </c>
      <c r="G7" s="54" t="n">
        <v>1.15</v>
      </c>
      <c r="H7" s="59" t="n">
        <f aca="false">ROUND(E7*F7*IF(G7&gt;1,G7,1),2)</f>
        <v>4186</v>
      </c>
      <c r="I7" s="59"/>
      <c r="J7" s="60" t="n">
        <f aca="false">IF(COUNTA(C7:D7)=0,"",ROUND(SUM(H$7:H7)-SUM(I$7:I7),2))</f>
        <v>4186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الثلاثاء</v>
      </c>
      <c r="C8" s="63" t="n">
        <v>46308</v>
      </c>
      <c r="D8" s="64" t="s">
        <v>86</v>
      </c>
      <c r="E8" s="65" t="n">
        <v>75</v>
      </c>
      <c r="F8" s="66" t="n">
        <v>35</v>
      </c>
      <c r="G8" s="62" t="n">
        <v>1.15</v>
      </c>
      <c r="H8" s="67" t="n">
        <f aca="false">ROUND(E8*F8*IF(G8&gt;1,G8,1),2)</f>
        <v>3018.75</v>
      </c>
      <c r="I8" s="67"/>
      <c r="J8" s="68" t="n">
        <f aca="false">IF(COUNTA(C8:D8)=0,"",ROUND(SUM(H$7:H8)-SUM(I$7:I8),2))</f>
        <v>7204.75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الأربعاء</v>
      </c>
      <c r="C9" s="55" t="n">
        <v>46309</v>
      </c>
      <c r="D9" s="56" t="s">
        <v>324</v>
      </c>
      <c r="E9" s="57"/>
      <c r="F9" s="58"/>
      <c r="G9" s="54"/>
      <c r="H9" s="59"/>
      <c r="I9" s="59" t="n">
        <v>1000</v>
      </c>
      <c r="J9" s="60" t="n">
        <f aca="false">IF(COUNTA(C9:D9)=0,"",ROUND(SUM(H$7:H9)-SUM(I$7:I9),2))</f>
        <v>6204.75</v>
      </c>
      <c r="K9" s="54" t="s">
        <v>325</v>
      </c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الجمعة</v>
      </c>
      <c r="C10" s="63" t="n">
        <v>46311</v>
      </c>
      <c r="D10" s="64" t="s">
        <v>326</v>
      </c>
      <c r="E10" s="65"/>
      <c r="F10" s="66"/>
      <c r="G10" s="62"/>
      <c r="H10" s="67"/>
      <c r="I10" s="67" t="n">
        <v>2500</v>
      </c>
      <c r="J10" s="68" t="n">
        <f aca="false">IF(COUNTA(C10:D10)=0,"",ROUND(SUM(H$7:H10)-SUM(I$7:I10),2))</f>
        <v>3704.75</v>
      </c>
      <c r="K10" s="62" t="s">
        <v>327</v>
      </c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الأحد</v>
      </c>
      <c r="C11" s="55" t="n">
        <v>46313</v>
      </c>
      <c r="D11" s="56" t="s">
        <v>328</v>
      </c>
      <c r="E11" s="57"/>
      <c r="F11" s="58"/>
      <c r="G11" s="54"/>
      <c r="H11" s="59"/>
      <c r="I11" s="59" t="n">
        <v>2000</v>
      </c>
      <c r="J11" s="60" t="n">
        <f aca="false">IF(COUNTA(C11:D11)=0,"",ROUND(SUM(H$7:H11)-SUM(I$7:I11),2))</f>
        <v>1704.75</v>
      </c>
      <c r="K11" s="54" t="s">
        <v>329</v>
      </c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الثلاثاء</v>
      </c>
      <c r="C12" s="63" t="n">
        <v>46315</v>
      </c>
      <c r="D12" s="64" t="s">
        <v>330</v>
      </c>
      <c r="E12" s="65"/>
      <c r="F12" s="66"/>
      <c r="G12" s="62"/>
      <c r="H12" s="67"/>
      <c r="I12" s="67" t="n">
        <v>1400</v>
      </c>
      <c r="J12" s="68" t="n">
        <f aca="false">IF(COUNTA(C12:D12)=0,"",ROUND(SUM(H$7:H12)-SUM(I$7:I12),2))</f>
        <v>304.75</v>
      </c>
      <c r="K12" s="62" t="s">
        <v>331</v>
      </c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الثلاثاء</v>
      </c>
      <c r="C13" s="55" t="n">
        <v>46315</v>
      </c>
      <c r="D13" s="56" t="s">
        <v>62</v>
      </c>
      <c r="E13" s="57" t="n">
        <v>110</v>
      </c>
      <c r="F13" s="58" t="n">
        <v>24</v>
      </c>
      <c r="G13" s="54" t="n">
        <v>1.15</v>
      </c>
      <c r="H13" s="59" t="n">
        <f aca="false">ROUND(E13*F13*IF(G13&gt;1,G13,1),2)</f>
        <v>3036</v>
      </c>
      <c r="I13" s="59"/>
      <c r="J13" s="60" t="n">
        <f aca="false">IF(COUNTA(C13:D13)=0,"",ROUND(SUM(H$7:H13)-SUM(I$7:I13),2))</f>
        <v>3340.75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الأربعاء</v>
      </c>
      <c r="C14" s="63" t="n">
        <v>46316</v>
      </c>
      <c r="D14" s="64" t="s">
        <v>62</v>
      </c>
      <c r="E14" s="65" t="n">
        <v>110</v>
      </c>
      <c r="F14" s="66" t="n">
        <v>23</v>
      </c>
      <c r="G14" s="62" t="n">
        <v>1.15</v>
      </c>
      <c r="H14" s="67" t="n">
        <f aca="false">ROUND(E14*F14*IF(G14&gt;1,G14,1),2)</f>
        <v>2909.5</v>
      </c>
      <c r="I14" s="67"/>
      <c r="J14" s="68" t="n">
        <f aca="false">IF(COUNTA(C14:D14)=0,"",ROUND(SUM(H$7:H14)-SUM(I$7:I14),2))</f>
        <v>6250.25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الخميس</v>
      </c>
      <c r="C15" s="55" t="n">
        <v>46317</v>
      </c>
      <c r="D15" s="56" t="s">
        <v>332</v>
      </c>
      <c r="E15" s="57"/>
      <c r="F15" s="58"/>
      <c r="G15" s="54"/>
      <c r="H15" s="59"/>
      <c r="I15" s="59" t="n">
        <v>2000</v>
      </c>
      <c r="J15" s="60" t="n">
        <f aca="false">IF(COUNTA(C15:D15)=0,"",ROUND(SUM(H$7:H15)-SUM(I$7:I15),2))</f>
        <v>4250.25</v>
      </c>
      <c r="K15" s="54" t="s">
        <v>333</v>
      </c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السبت</v>
      </c>
      <c r="C16" s="63" t="n">
        <v>46319</v>
      </c>
      <c r="D16" s="64" t="s">
        <v>334</v>
      </c>
      <c r="E16" s="65"/>
      <c r="F16" s="66"/>
      <c r="G16" s="62"/>
      <c r="H16" s="67"/>
      <c r="I16" s="67" t="n">
        <v>2000</v>
      </c>
      <c r="J16" s="68" t="n">
        <f aca="false">IF(COUNTA(C16:D16)=0,"",ROUND(SUM(H$7:H16)-SUM(I$7:I16),2))</f>
        <v>2250.25</v>
      </c>
      <c r="K16" s="62" t="s">
        <v>335</v>
      </c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الأحد</v>
      </c>
      <c r="C17" s="55" t="n">
        <v>46320</v>
      </c>
      <c r="D17" s="56" t="s">
        <v>62</v>
      </c>
      <c r="E17" s="57" t="n">
        <v>110</v>
      </c>
      <c r="F17" s="58" t="n">
        <v>20</v>
      </c>
      <c r="G17" s="54" t="n">
        <v>1.15</v>
      </c>
      <c r="H17" s="59" t="n">
        <f aca="false">ROUND(E17*F17*IF(G17&gt;1,G17,1),2)</f>
        <v>2530</v>
      </c>
      <c r="I17" s="59"/>
      <c r="J17" s="60" t="n">
        <f aca="false">IF(COUNTA(C17:D17)=0,"",ROUND(SUM(H$7:H17)-SUM(I$7:I17),2))</f>
        <v>4780.25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الاثنين</v>
      </c>
      <c r="C18" s="63" t="n">
        <v>46321</v>
      </c>
      <c r="D18" s="64" t="s">
        <v>336</v>
      </c>
      <c r="E18" s="65"/>
      <c r="F18" s="66"/>
      <c r="G18" s="62"/>
      <c r="H18" s="67"/>
      <c r="I18" s="67" t="n">
        <v>3000</v>
      </c>
      <c r="J18" s="68" t="n">
        <f aca="false">IF(COUNTA(C18:D18)=0,"",ROUND(SUM(H$7:H18)-SUM(I$7:I18),2))</f>
        <v>1780.25</v>
      </c>
      <c r="K18" s="62" t="s">
        <v>337</v>
      </c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7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338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46303</v>
      </c>
      <c r="E4" s="48" t="n">
        <f aca="false">IF(COUNT(C7:C1000)=0,"",MAX(C7:C1000))</f>
        <v>46324</v>
      </c>
      <c r="F4" s="49" t="n">
        <f aca="false">SUM(H7:H1000)</f>
        <v>37806.25</v>
      </c>
      <c r="G4" s="49" t="n">
        <f aca="false">SUM(I7:I1000)</f>
        <v>24500</v>
      </c>
      <c r="H4" s="50" t="n">
        <f aca="false">ROUND(F4-G4,2)</f>
        <v>13306.25</v>
      </c>
      <c r="I4" s="49" t="n">
        <f aca="false">ROUND(SUMPRODUCT((G7:G1000&gt;1)*E7:E1000*F7:F1000*(G7:G1000-1)),2)</f>
        <v>4931.25</v>
      </c>
      <c r="J4" s="48" t="n">
        <f aca="false">IF(COUNTIFS(I7:I1000,"&gt;0",E7:E1000,"")=0,"",_xlfn.MAXIFS(C7:C1000,I7:I1000,"&gt;0",E7:E1000,""))</f>
        <v>46324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46303</v>
      </c>
      <c r="D7" s="56" t="s">
        <v>87</v>
      </c>
      <c r="E7" s="57" t="n">
        <v>190</v>
      </c>
      <c r="F7" s="58" t="n">
        <v>10</v>
      </c>
      <c r="G7" s="54" t="n">
        <v>1.15</v>
      </c>
      <c r="H7" s="59" t="n">
        <f aca="false">ROUND(E7*F7*IF(G7&gt;1,G7,1),2)</f>
        <v>2185</v>
      </c>
      <c r="I7" s="59"/>
      <c r="J7" s="60" t="n">
        <f aca="false">IF(COUNTA(C7:D7)=0,"",ROUND(SUM(H$7:H7)-SUM(I$7:I7),2))</f>
        <v>2185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الخميس</v>
      </c>
      <c r="C8" s="63" t="n">
        <v>46303</v>
      </c>
      <c r="D8" s="64" t="s">
        <v>87</v>
      </c>
      <c r="E8" s="65" t="n">
        <v>200</v>
      </c>
      <c r="F8" s="66" t="n">
        <v>10</v>
      </c>
      <c r="G8" s="62" t="n">
        <v>1.15</v>
      </c>
      <c r="H8" s="67" t="n">
        <f aca="false">ROUND(E8*F8*IF(G8&gt;1,G8,1),2)</f>
        <v>2300</v>
      </c>
      <c r="I8" s="67"/>
      <c r="J8" s="68" t="n">
        <f aca="false">IF(COUNTA(C8:D8)=0,"",ROUND(SUM(H$7:H8)-SUM(I$7:I8),2))</f>
        <v>4485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الخميس</v>
      </c>
      <c r="C9" s="55" t="n">
        <v>46303</v>
      </c>
      <c r="D9" s="56" t="s">
        <v>116</v>
      </c>
      <c r="E9" s="57"/>
      <c r="F9" s="58"/>
      <c r="G9" s="54"/>
      <c r="H9" s="59"/>
      <c r="I9" s="59" t="n">
        <v>2300</v>
      </c>
      <c r="J9" s="60" t="n">
        <f aca="false">IF(COUNTA(C9:D9)=0,"",ROUND(SUM(H$7:H9)-SUM(I$7:I9),2))</f>
        <v>2185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الجمعة</v>
      </c>
      <c r="C10" s="63" t="n">
        <v>46304</v>
      </c>
      <c r="D10" s="64" t="s">
        <v>339</v>
      </c>
      <c r="E10" s="65"/>
      <c r="F10" s="66"/>
      <c r="G10" s="62"/>
      <c r="H10" s="67"/>
      <c r="I10" s="67" t="n">
        <v>500</v>
      </c>
      <c r="J10" s="68" t="n">
        <f aca="false">IF(COUNTA(C10:D10)=0,"",ROUND(SUM(H$7:H10)-SUM(I$7:I10),2))</f>
        <v>1685</v>
      </c>
      <c r="K10" s="62" t="s">
        <v>340</v>
      </c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الاثنين</v>
      </c>
      <c r="C11" s="55" t="n">
        <v>46307</v>
      </c>
      <c r="D11" s="56" t="s">
        <v>87</v>
      </c>
      <c r="E11" s="57" t="n">
        <v>200</v>
      </c>
      <c r="F11" s="58" t="n">
        <v>11</v>
      </c>
      <c r="G11" s="54" t="n">
        <v>1.15</v>
      </c>
      <c r="H11" s="59" t="n">
        <f aca="false">ROUND(E11*F11*IF(G11&gt;1,G11,1),2)</f>
        <v>2530</v>
      </c>
      <c r="I11" s="59"/>
      <c r="J11" s="60" t="n">
        <f aca="false">IF(COUNTA(C11:D11)=0,"",ROUND(SUM(H$7:H11)-SUM(I$7:I11),2))</f>
        <v>4215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الاثنين</v>
      </c>
      <c r="C12" s="63" t="n">
        <v>46307</v>
      </c>
      <c r="D12" s="64" t="s">
        <v>341</v>
      </c>
      <c r="E12" s="65"/>
      <c r="F12" s="66"/>
      <c r="G12" s="62"/>
      <c r="H12" s="67"/>
      <c r="I12" s="67" t="n">
        <v>500</v>
      </c>
      <c r="J12" s="68" t="n">
        <f aca="false">IF(COUNTA(C12:D12)=0,"",ROUND(SUM(H$7:H12)-SUM(I$7:I12),2))</f>
        <v>3715</v>
      </c>
      <c r="K12" s="62" t="s">
        <v>342</v>
      </c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الثلاثاء</v>
      </c>
      <c r="C13" s="55" t="n">
        <v>46308</v>
      </c>
      <c r="D13" s="56" t="s">
        <v>87</v>
      </c>
      <c r="E13" s="57" t="n">
        <v>200</v>
      </c>
      <c r="F13" s="58" t="n">
        <v>11.5</v>
      </c>
      <c r="G13" s="54" t="n">
        <v>1.15</v>
      </c>
      <c r="H13" s="59" t="n">
        <f aca="false">ROUND(E13*F13*IF(G13&gt;1,G13,1),2)</f>
        <v>2645</v>
      </c>
      <c r="I13" s="59"/>
      <c r="J13" s="60" t="n">
        <f aca="false">IF(COUNTA(C13:D13)=0,"",ROUND(SUM(H$7:H13)-SUM(I$7:I13),2))</f>
        <v>6360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الأربعاء</v>
      </c>
      <c r="C14" s="63" t="n">
        <v>46309</v>
      </c>
      <c r="D14" s="64" t="s">
        <v>343</v>
      </c>
      <c r="E14" s="65"/>
      <c r="F14" s="66"/>
      <c r="G14" s="62"/>
      <c r="H14" s="67"/>
      <c r="I14" s="67" t="n">
        <v>1000</v>
      </c>
      <c r="J14" s="68" t="n">
        <f aca="false">IF(COUNTA(C14:D14)=0,"",ROUND(SUM(H$7:H14)-SUM(I$7:I14),2))</f>
        <v>5360</v>
      </c>
      <c r="K14" s="62" t="s">
        <v>344</v>
      </c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الجمعة</v>
      </c>
      <c r="C15" s="55" t="n">
        <v>46311</v>
      </c>
      <c r="D15" s="56" t="s">
        <v>345</v>
      </c>
      <c r="E15" s="57"/>
      <c r="F15" s="58"/>
      <c r="G15" s="54"/>
      <c r="H15" s="59"/>
      <c r="I15" s="59" t="n">
        <v>1000</v>
      </c>
      <c r="J15" s="60" t="n">
        <f aca="false">IF(COUNTA(C15:D15)=0,"",ROUND(SUM(H$7:H15)-SUM(I$7:I15),2))</f>
        <v>4360</v>
      </c>
      <c r="K15" s="54" t="s">
        <v>346</v>
      </c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الاثنين</v>
      </c>
      <c r="C16" s="63" t="n">
        <v>46314</v>
      </c>
      <c r="D16" s="64" t="s">
        <v>347</v>
      </c>
      <c r="E16" s="65"/>
      <c r="F16" s="66"/>
      <c r="G16" s="62"/>
      <c r="H16" s="67"/>
      <c r="I16" s="67" t="n">
        <v>1000</v>
      </c>
      <c r="J16" s="68" t="n">
        <f aca="false">IF(COUNTA(C16:D16)=0,"",ROUND(SUM(H$7:H16)-SUM(I$7:I16),2))</f>
        <v>3360</v>
      </c>
      <c r="K16" s="62" t="s">
        <v>348</v>
      </c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الأربعاء</v>
      </c>
      <c r="C17" s="55" t="n">
        <v>46316</v>
      </c>
      <c r="D17" s="56" t="s">
        <v>87</v>
      </c>
      <c r="E17" s="57" t="n">
        <v>30</v>
      </c>
      <c r="F17" s="58" t="n">
        <v>11</v>
      </c>
      <c r="G17" s="54" t="n">
        <v>1.15</v>
      </c>
      <c r="H17" s="59" t="n">
        <f aca="false">ROUND(E17*F17*IF(G17&gt;1,G17,1),2)</f>
        <v>379.5</v>
      </c>
      <c r="I17" s="59"/>
      <c r="J17" s="60" t="n">
        <f aca="false">IF(COUNTA(C17:D17)=0,"",ROUND(SUM(H$7:H17)-SUM(I$7:I17),2))</f>
        <v>3739.5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الأربعاء</v>
      </c>
      <c r="C18" s="63" t="n">
        <v>46316</v>
      </c>
      <c r="D18" s="64" t="s">
        <v>63</v>
      </c>
      <c r="E18" s="65" t="n">
        <v>20</v>
      </c>
      <c r="F18" s="66" t="n">
        <v>105</v>
      </c>
      <c r="G18" s="62" t="n">
        <v>1.15</v>
      </c>
      <c r="H18" s="67" t="n">
        <f aca="false">ROUND(E18*F18*IF(G18&gt;1,G18,1),2)</f>
        <v>2415</v>
      </c>
      <c r="I18" s="67"/>
      <c r="J18" s="68" t="n">
        <f aca="false">IF(COUNTA(C18:D18)=0,"",ROUND(SUM(H$7:H18)-SUM(I$7:I18),2))</f>
        <v>6154.5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>الأربعاء</v>
      </c>
      <c r="C19" s="55" t="n">
        <v>46316</v>
      </c>
      <c r="D19" s="56" t="s">
        <v>349</v>
      </c>
      <c r="E19" s="57"/>
      <c r="F19" s="58"/>
      <c r="G19" s="54"/>
      <c r="H19" s="59"/>
      <c r="I19" s="59" t="n">
        <v>1200</v>
      </c>
      <c r="J19" s="60" t="n">
        <f aca="false">IF(COUNTA(C19:D19)=0,"",ROUND(SUM(H$7:H19)-SUM(I$7:I19),2))</f>
        <v>4954.5</v>
      </c>
      <c r="K19" s="54" t="s">
        <v>350</v>
      </c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>الخميس</v>
      </c>
      <c r="C20" s="63" t="n">
        <v>46317</v>
      </c>
      <c r="D20" s="64" t="s">
        <v>351</v>
      </c>
      <c r="E20" s="65"/>
      <c r="F20" s="66"/>
      <c r="G20" s="62"/>
      <c r="H20" s="67"/>
      <c r="I20" s="67" t="n">
        <v>1000</v>
      </c>
      <c r="J20" s="68" t="n">
        <f aca="false">IF(COUNTA(C20:D20)=0,"",ROUND(SUM(H$7:H20)-SUM(I$7:I20),2))</f>
        <v>3954.5</v>
      </c>
      <c r="K20" s="62" t="s">
        <v>352</v>
      </c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>الجمعة</v>
      </c>
      <c r="C21" s="55" t="n">
        <v>46318</v>
      </c>
      <c r="D21" s="56" t="s">
        <v>88</v>
      </c>
      <c r="E21" s="57" t="n">
        <v>71</v>
      </c>
      <c r="F21" s="58" t="n">
        <v>42</v>
      </c>
      <c r="G21" s="54" t="n">
        <v>1.15</v>
      </c>
      <c r="H21" s="59" t="n">
        <f aca="false">ROUND(E21*F21*IF(G21&gt;1,G21,1),2)</f>
        <v>3429.3</v>
      </c>
      <c r="I21" s="59"/>
      <c r="J21" s="60" t="n">
        <f aca="false">IF(COUNTA(C21:D21)=0,"",ROUND(SUM(H$7:H21)-SUM(I$7:I21),2))</f>
        <v>7383.8</v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>السبت</v>
      </c>
      <c r="C22" s="63" t="n">
        <v>46319</v>
      </c>
      <c r="D22" s="64" t="s">
        <v>353</v>
      </c>
      <c r="E22" s="65"/>
      <c r="F22" s="66"/>
      <c r="G22" s="62"/>
      <c r="H22" s="67"/>
      <c r="I22" s="67" t="n">
        <v>2000</v>
      </c>
      <c r="J22" s="68" t="n">
        <f aca="false">IF(COUNTA(C22:D22)=0,"",ROUND(SUM(H$7:H22)-SUM(I$7:I22),2))</f>
        <v>5383.8</v>
      </c>
      <c r="K22" s="62" t="s">
        <v>354</v>
      </c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>الأحد</v>
      </c>
      <c r="C23" s="55" t="n">
        <v>46320</v>
      </c>
      <c r="D23" s="56" t="s">
        <v>88</v>
      </c>
      <c r="E23" s="57" t="n">
        <v>67</v>
      </c>
      <c r="F23" s="58" t="n">
        <v>42</v>
      </c>
      <c r="G23" s="54" t="n">
        <v>1.15</v>
      </c>
      <c r="H23" s="59" t="n">
        <f aca="false">ROUND(E23*F23*IF(G23&gt;1,G23,1),2)</f>
        <v>3236.1</v>
      </c>
      <c r="I23" s="59"/>
      <c r="J23" s="60" t="n">
        <f aca="false">IF(COUNTA(C23:D23)=0,"",ROUND(SUM(H$7:H23)-SUM(I$7:I23),2))</f>
        <v>8619.9</v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>الأحد</v>
      </c>
      <c r="C24" s="63" t="n">
        <v>46320</v>
      </c>
      <c r="D24" s="64" t="s">
        <v>63</v>
      </c>
      <c r="E24" s="65" t="n">
        <v>59</v>
      </c>
      <c r="F24" s="66" t="n">
        <v>105</v>
      </c>
      <c r="G24" s="62" t="n">
        <v>1.15</v>
      </c>
      <c r="H24" s="67" t="n">
        <f aca="false">ROUND(E24*F24*IF(G24&gt;1,G24,1),2)</f>
        <v>7124.25</v>
      </c>
      <c r="I24" s="67"/>
      <c r="J24" s="68" t="n">
        <f aca="false">IF(COUNTA(C24:D24)=0,"",ROUND(SUM(H$7:H24)-SUM(I$7:I24),2))</f>
        <v>15744.15</v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>الأحد</v>
      </c>
      <c r="C25" s="55" t="n">
        <v>46320</v>
      </c>
      <c r="D25" s="56" t="s">
        <v>63</v>
      </c>
      <c r="E25" s="57" t="n">
        <v>1</v>
      </c>
      <c r="F25" s="58" t="n">
        <v>61</v>
      </c>
      <c r="G25" s="54" t="n">
        <v>1.15</v>
      </c>
      <c r="H25" s="59" t="n">
        <f aca="false">ROUND(E25*F25*IF(G25&gt;1,G25,1),2)</f>
        <v>70.15</v>
      </c>
      <c r="I25" s="59"/>
      <c r="J25" s="60" t="n">
        <f aca="false">IF(COUNTA(C25:D25)=0,"",ROUND(SUM(H$7:H25)-SUM(I$7:I25),2))</f>
        <v>15814.3</v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>الاثنين</v>
      </c>
      <c r="C26" s="63" t="n">
        <v>46321</v>
      </c>
      <c r="D26" s="64" t="s">
        <v>355</v>
      </c>
      <c r="E26" s="65"/>
      <c r="F26" s="66"/>
      <c r="G26" s="62"/>
      <c r="H26" s="67"/>
      <c r="I26" s="67" t="n">
        <v>10000</v>
      </c>
      <c r="J26" s="68" t="n">
        <f aca="false">IF(COUNTA(C26:D26)=0,"",ROUND(SUM(H$7:H26)-SUM(I$7:I26),2))</f>
        <v>5814.3</v>
      </c>
      <c r="K26" s="62" t="s">
        <v>356</v>
      </c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>الثلاثاء</v>
      </c>
      <c r="C27" s="55" t="n">
        <v>46322</v>
      </c>
      <c r="D27" s="56" t="s">
        <v>62</v>
      </c>
      <c r="E27" s="57" t="n">
        <v>103</v>
      </c>
      <c r="F27" s="58" t="n">
        <v>33</v>
      </c>
      <c r="G27" s="54" t="n">
        <v>1.15</v>
      </c>
      <c r="H27" s="59" t="n">
        <f aca="false">ROUND(E27*F27*IF(G27&gt;1,G27,1),2)</f>
        <v>3908.85</v>
      </c>
      <c r="I27" s="59"/>
      <c r="J27" s="60" t="n">
        <f aca="false">IF(COUNTA(C27:D27)=0,"",ROUND(SUM(H$7:H27)-SUM(I$7:I27),2))</f>
        <v>9723.15</v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>الأربعاء</v>
      </c>
      <c r="C28" s="63" t="n">
        <v>46323</v>
      </c>
      <c r="D28" s="64" t="s">
        <v>357</v>
      </c>
      <c r="E28" s="65"/>
      <c r="F28" s="66"/>
      <c r="G28" s="62"/>
      <c r="H28" s="67"/>
      <c r="I28" s="67" t="n">
        <v>2000</v>
      </c>
      <c r="J28" s="68" t="n">
        <f aca="false">IF(COUNTA(C28:D28)=0,"",ROUND(SUM(H$7:H28)-SUM(I$7:I28),2))</f>
        <v>7723.15</v>
      </c>
      <c r="K28" s="62" t="s">
        <v>358</v>
      </c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>الأربعاء</v>
      </c>
      <c r="C29" s="55" t="n">
        <v>46323</v>
      </c>
      <c r="D29" s="56" t="s">
        <v>62</v>
      </c>
      <c r="E29" s="57" t="n">
        <v>112</v>
      </c>
      <c r="F29" s="58" t="n">
        <v>32</v>
      </c>
      <c r="G29" s="54" t="n">
        <v>1.15</v>
      </c>
      <c r="H29" s="59" t="n">
        <f aca="false">ROUND(E29*F29*IF(G29&gt;1,G29,1),2)</f>
        <v>4121.6</v>
      </c>
      <c r="I29" s="59"/>
      <c r="J29" s="60" t="n">
        <f aca="false">IF(COUNTA(C29:D29)=0,"",ROUND(SUM(H$7:H29)-SUM(I$7:I29),2))</f>
        <v>11844.75</v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>الخميس</v>
      </c>
      <c r="C30" s="63" t="n">
        <v>46324</v>
      </c>
      <c r="D30" s="64" t="s">
        <v>359</v>
      </c>
      <c r="E30" s="65"/>
      <c r="F30" s="66"/>
      <c r="G30" s="62"/>
      <c r="H30" s="67"/>
      <c r="I30" s="67" t="n">
        <v>2000</v>
      </c>
      <c r="J30" s="68" t="n">
        <f aca="false">IF(COUNTA(C30:D30)=0,"",ROUND(SUM(H$7:H30)-SUM(I$7:I30),2))</f>
        <v>9844.75</v>
      </c>
      <c r="K30" s="62" t="s">
        <v>360</v>
      </c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>الخميس</v>
      </c>
      <c r="C31" s="55" t="n">
        <v>46324</v>
      </c>
      <c r="D31" s="56" t="s">
        <v>88</v>
      </c>
      <c r="E31" s="57" t="n">
        <v>70</v>
      </c>
      <c r="F31" s="58" t="n">
        <v>43</v>
      </c>
      <c r="G31" s="54" t="n">
        <v>1.15</v>
      </c>
      <c r="H31" s="59" t="n">
        <f aca="false">ROUND(E31*F31*IF(G31&gt;1,G31,1),2)</f>
        <v>3461.5</v>
      </c>
      <c r="I31" s="59"/>
      <c r="J31" s="60" t="n">
        <f aca="false">IF(COUNTA(C31:D31)=0,"",ROUND(SUM(H$7:H31)-SUM(I$7:I31),2))</f>
        <v>13306.25</v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  <row r="59" customFormat="false" ht="15" hidden="false" customHeight="false" outlineLevel="0" collapsed="false">
      <c r="B59" s="54" t="str">
        <f aca="false">IF(C59="","",CHOOSE(WEEKDAY(C59),"الأحد","الاثنين","الثلاثاء","الأربعاء","الخميس","الجمعة","السبت"))</f>
        <v/>
      </c>
      <c r="C59" s="70"/>
      <c r="D59" s="56"/>
      <c r="E59" s="71"/>
      <c r="F59" s="72"/>
      <c r="G59" s="73"/>
      <c r="H59" s="74"/>
      <c r="I59" s="74"/>
      <c r="J59" s="60" t="str">
        <f aca="false">IF(COUNTA(C59:D59)=0,"",ROUND(SUM(H$7:H59)-SUM(I$7:I59),2))</f>
        <v/>
      </c>
      <c r="K59" s="54"/>
      <c r="L59" s="56"/>
    </row>
    <row r="60" customFormat="false" ht="15" hidden="false" customHeight="false" outlineLevel="0" collapsed="false">
      <c r="B60" s="62" t="str">
        <f aca="false">IF(C60="","",CHOOSE(WEEKDAY(C60),"الأحد","الاثنين","الثلاثاء","الأربعاء","الخميس","الجمعة","السبت"))</f>
        <v/>
      </c>
      <c r="C60" s="70"/>
      <c r="D60" s="64"/>
      <c r="E60" s="71"/>
      <c r="F60" s="72"/>
      <c r="G60" s="73"/>
      <c r="H60" s="74"/>
      <c r="I60" s="74"/>
      <c r="J60" s="68" t="str">
        <f aca="false">IF(COUNTA(C60:D60)=0,"",ROUND(SUM(H$7:H60)-SUM(I$7:I60),2))</f>
        <v/>
      </c>
      <c r="K60" s="62"/>
      <c r="L60" s="64"/>
    </row>
    <row r="61" customFormat="false" ht="15" hidden="false" customHeight="false" outlineLevel="0" collapsed="false">
      <c r="B61" s="54" t="str">
        <f aca="false">IF(C61="","",CHOOSE(WEEKDAY(C61),"الأحد","الاثنين","الثلاثاء","الأربعاء","الخميس","الجمعة","السبت"))</f>
        <v/>
      </c>
      <c r="C61" s="70"/>
      <c r="D61" s="56"/>
      <c r="E61" s="71"/>
      <c r="F61" s="72"/>
      <c r="G61" s="73"/>
      <c r="H61" s="74"/>
      <c r="I61" s="74"/>
      <c r="J61" s="60" t="str">
        <f aca="false">IF(COUNTA(C61:D61)=0,"",ROUND(SUM(H$7:H61)-SUM(I$7:I61),2))</f>
        <v/>
      </c>
      <c r="K61" s="54"/>
      <c r="L61" s="56"/>
    </row>
    <row r="62" customFormat="false" ht="15" hidden="false" customHeight="false" outlineLevel="0" collapsed="false">
      <c r="B62" s="62" t="str">
        <f aca="false">IF(C62="","",CHOOSE(WEEKDAY(C62),"الأحد","الاثنين","الثلاثاء","الأربعاء","الخميس","الجمعة","السبت"))</f>
        <v/>
      </c>
      <c r="C62" s="70"/>
      <c r="D62" s="64"/>
      <c r="E62" s="71"/>
      <c r="F62" s="72"/>
      <c r="G62" s="73"/>
      <c r="H62" s="74"/>
      <c r="I62" s="74"/>
      <c r="J62" s="68" t="str">
        <f aca="false">IF(COUNTA(C62:D62)=0,"",ROUND(SUM(H$7:H62)-SUM(I$7:I62),2))</f>
        <v/>
      </c>
      <c r="K62" s="62"/>
      <c r="L62" s="64"/>
    </row>
    <row r="63" customFormat="false" ht="15" hidden="false" customHeight="false" outlineLevel="0" collapsed="false">
      <c r="B63" s="54" t="str">
        <f aca="false">IF(C63="","",CHOOSE(WEEKDAY(C63),"الأحد","الاثنين","الثلاثاء","الأربعاء","الخميس","الجمعة","السبت"))</f>
        <v/>
      </c>
      <c r="C63" s="70"/>
      <c r="D63" s="56"/>
      <c r="E63" s="71"/>
      <c r="F63" s="72"/>
      <c r="G63" s="73"/>
      <c r="H63" s="74"/>
      <c r="I63" s="74"/>
      <c r="J63" s="60" t="str">
        <f aca="false">IF(COUNTA(C63:D63)=0,"",ROUND(SUM(H$7:H63)-SUM(I$7:I63),2))</f>
        <v/>
      </c>
      <c r="K63" s="54"/>
      <c r="L63" s="56"/>
    </row>
    <row r="64" customFormat="false" ht="15" hidden="false" customHeight="false" outlineLevel="0" collapsed="false">
      <c r="B64" s="62" t="str">
        <f aca="false">IF(C64="","",CHOOSE(WEEKDAY(C64),"الأحد","الاثنين","الثلاثاء","الأربعاء","الخميس","الجمعة","السبت"))</f>
        <v/>
      </c>
      <c r="C64" s="70"/>
      <c r="D64" s="64"/>
      <c r="E64" s="71"/>
      <c r="F64" s="72"/>
      <c r="G64" s="73"/>
      <c r="H64" s="74"/>
      <c r="I64" s="74"/>
      <c r="J64" s="68" t="str">
        <f aca="false">IF(COUNTA(C64:D64)=0,"",ROUND(SUM(H$7:H64)-SUM(I$7:I64),2))</f>
        <v/>
      </c>
      <c r="K64" s="62"/>
      <c r="L64" s="64"/>
    </row>
    <row r="65" customFormat="false" ht="15" hidden="false" customHeight="false" outlineLevel="0" collapsed="false">
      <c r="B65" s="54" t="str">
        <f aca="false">IF(C65="","",CHOOSE(WEEKDAY(C65),"الأحد","الاثنين","الثلاثاء","الأربعاء","الخميس","الجمعة","السبت"))</f>
        <v/>
      </c>
      <c r="C65" s="70"/>
      <c r="D65" s="56"/>
      <c r="E65" s="71"/>
      <c r="F65" s="72"/>
      <c r="G65" s="73"/>
      <c r="H65" s="74"/>
      <c r="I65" s="74"/>
      <c r="J65" s="60" t="str">
        <f aca="false">IF(COUNTA(C65:D65)=0,"",ROUND(SUM(H$7:H65)-SUM(I$7:I65),2))</f>
        <v/>
      </c>
      <c r="K65" s="54"/>
      <c r="L65" s="56"/>
    </row>
    <row r="66" customFormat="false" ht="15" hidden="false" customHeight="false" outlineLevel="0" collapsed="false">
      <c r="B66" s="62" t="str">
        <f aca="false">IF(C66="","",CHOOSE(WEEKDAY(C66),"الأحد","الاثنين","الثلاثاء","الأربعاء","الخميس","الجمعة","السبت"))</f>
        <v/>
      </c>
      <c r="C66" s="70"/>
      <c r="D66" s="64"/>
      <c r="E66" s="71"/>
      <c r="F66" s="72"/>
      <c r="G66" s="73"/>
      <c r="H66" s="74"/>
      <c r="I66" s="74"/>
      <c r="J66" s="68" t="str">
        <f aca="false">IF(COUNTA(C66:D66)=0,"",ROUND(SUM(H$7:H66)-SUM(I$7:I66),2))</f>
        <v/>
      </c>
      <c r="K66" s="62"/>
      <c r="L66" s="64"/>
    </row>
    <row r="67" customFormat="false" ht="15" hidden="false" customHeight="false" outlineLevel="0" collapsed="false">
      <c r="B67" s="54" t="str">
        <f aca="false">IF(C67="","",CHOOSE(WEEKDAY(C67),"الأحد","الاثنين","الثلاثاء","الأربعاء","الخميس","الجمعة","السبت"))</f>
        <v/>
      </c>
      <c r="C67" s="70"/>
      <c r="D67" s="56"/>
      <c r="E67" s="71"/>
      <c r="F67" s="72"/>
      <c r="G67" s="73"/>
      <c r="H67" s="74"/>
      <c r="I67" s="74"/>
      <c r="J67" s="60" t="str">
        <f aca="false">IF(COUNTA(C67:D67)=0,"",ROUND(SUM(H$7:H67)-SUM(I$7:I67),2))</f>
        <v/>
      </c>
      <c r="K67" s="54"/>
      <c r="L67" s="56"/>
    </row>
    <row r="68" customFormat="false" ht="15" hidden="false" customHeight="false" outlineLevel="0" collapsed="false">
      <c r="B68" s="62" t="str">
        <f aca="false">IF(C68="","",CHOOSE(WEEKDAY(C68),"الأحد","الاثنين","الثلاثاء","الأربعاء","الخميس","الجمعة","السبت"))</f>
        <v/>
      </c>
      <c r="C68" s="70"/>
      <c r="D68" s="64"/>
      <c r="E68" s="71"/>
      <c r="F68" s="72"/>
      <c r="G68" s="73"/>
      <c r="H68" s="74"/>
      <c r="I68" s="74"/>
      <c r="J68" s="68" t="str">
        <f aca="false">IF(COUNTA(C68:D68)=0,"",ROUND(SUM(H$7:H68)-SUM(I$7:I68),2))</f>
        <v/>
      </c>
      <c r="K68" s="62"/>
      <c r="L68" s="64"/>
    </row>
    <row r="69" customFormat="false" ht="15" hidden="false" customHeight="false" outlineLevel="0" collapsed="false">
      <c r="B69" s="54" t="str">
        <f aca="false">IF(C69="","",CHOOSE(WEEKDAY(C69),"الأحد","الاثنين","الثلاثاء","الأربعاء","الخميس","الجمعة","السبت"))</f>
        <v/>
      </c>
      <c r="C69" s="70"/>
      <c r="D69" s="56"/>
      <c r="E69" s="71"/>
      <c r="F69" s="72"/>
      <c r="G69" s="73"/>
      <c r="H69" s="74"/>
      <c r="I69" s="74"/>
      <c r="J69" s="60" t="str">
        <f aca="false">IF(COUNTA(C69:D69)=0,"",ROUND(SUM(H$7:H69)-SUM(I$7:I69),2))</f>
        <v/>
      </c>
      <c r="K69" s="54"/>
      <c r="L69" s="56"/>
    </row>
    <row r="70" customFormat="false" ht="15" hidden="false" customHeight="false" outlineLevel="0" collapsed="false">
      <c r="B70" s="62" t="str">
        <f aca="false">IF(C70="","",CHOOSE(WEEKDAY(C70),"الأحد","الاثنين","الثلاثاء","الأربعاء","الخميس","الجمعة","السبت"))</f>
        <v/>
      </c>
      <c r="C70" s="70"/>
      <c r="D70" s="64"/>
      <c r="E70" s="71"/>
      <c r="F70" s="72"/>
      <c r="G70" s="73"/>
      <c r="H70" s="74"/>
      <c r="I70" s="74"/>
      <c r="J70" s="68" t="str">
        <f aca="false">IF(COUNTA(C70:D70)=0,"",ROUND(SUM(H$7:H70)-SUM(I$7:I70),2))</f>
        <v/>
      </c>
      <c r="K70" s="62"/>
      <c r="L70" s="64"/>
    </row>
    <row r="71" customFormat="false" ht="15" hidden="false" customHeight="false" outlineLevel="0" collapsed="false">
      <c r="B71" s="54" t="str">
        <f aca="false">IF(C71="","",CHOOSE(WEEKDAY(C71),"الأحد","الاثنين","الثلاثاء","الأربعاء","الخميس","الجمعة","السبت"))</f>
        <v/>
      </c>
      <c r="C71" s="70"/>
      <c r="D71" s="56"/>
      <c r="E71" s="71"/>
      <c r="F71" s="72"/>
      <c r="G71" s="73"/>
      <c r="H71" s="74"/>
      <c r="I71" s="74"/>
      <c r="J71" s="60" t="str">
        <f aca="false">IF(COUNTA(C71:D71)=0,"",ROUND(SUM(H$7:H71)-SUM(I$7:I71),2))</f>
        <v/>
      </c>
      <c r="K71" s="54"/>
      <c r="L71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361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46320</v>
      </c>
      <c r="E4" s="48" t="n">
        <f aca="false">IF(COUNT(C7:C1000)=0,"",MAX(C7:C1000))</f>
        <v>46324</v>
      </c>
      <c r="F4" s="49" t="n">
        <f aca="false">SUM(H7:H1000)</f>
        <v>9008</v>
      </c>
      <c r="G4" s="49" t="n">
        <f aca="false">SUM(I7:I1000)</f>
        <v>3700</v>
      </c>
      <c r="H4" s="50" t="n">
        <f aca="false">ROUND(F4-G4,2)</f>
        <v>5308</v>
      </c>
      <c r="I4" s="49" t="n">
        <f aca="false">ROUND(SUMPRODUCT((G7:G1000&gt;1)*E7:E1000*F7:F1000*(G7:G1000-1)),2)</f>
        <v>888</v>
      </c>
      <c r="J4" s="48" t="n">
        <f aca="false">IF(COUNTIFS(I7:I1000,"&gt;0",E7:E1000,"")=0,"",_xlfn.MAXIFS(C7:C1000,I7:I1000,"&gt;0",E7:E1000,""))</f>
        <v>46324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الأحد</v>
      </c>
      <c r="C7" s="55" t="n">
        <v>46320</v>
      </c>
      <c r="D7" s="56" t="s">
        <v>86</v>
      </c>
      <c r="E7" s="57" t="n">
        <v>40</v>
      </c>
      <c r="F7" s="58" t="n">
        <v>55</v>
      </c>
      <c r="G7" s="54" t="n">
        <v>0</v>
      </c>
      <c r="H7" s="59" t="n">
        <f aca="false">ROUND(E7*F7*IF(G7&gt;1,G7,1),2)</f>
        <v>2200</v>
      </c>
      <c r="I7" s="59"/>
      <c r="J7" s="60" t="n">
        <f aca="false">IF(COUNTA(C7:D7)=0,"",ROUND(SUM(H$7:H7)-SUM(I$7:I7),2))</f>
        <v>2200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الاثنين</v>
      </c>
      <c r="C8" s="63" t="n">
        <v>46321</v>
      </c>
      <c r="D8" s="64" t="s">
        <v>61</v>
      </c>
      <c r="E8" s="65" t="n">
        <v>80</v>
      </c>
      <c r="F8" s="66" t="n">
        <v>74</v>
      </c>
      <c r="G8" s="62" t="n">
        <v>1.15</v>
      </c>
      <c r="H8" s="67" t="n">
        <f aca="false">ROUND(E8*F8*IF(G8&gt;1,G8,1),2)</f>
        <v>6808</v>
      </c>
      <c r="I8" s="67"/>
      <c r="J8" s="68" t="n">
        <f aca="false">IF(COUNTA(C8:D8)=0,"",ROUND(SUM(H$7:H8)-SUM(I$7:I8),2))</f>
        <v>9008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الثلاثاء</v>
      </c>
      <c r="C9" s="55" t="n">
        <v>46322</v>
      </c>
      <c r="D9" s="56" t="s">
        <v>312</v>
      </c>
      <c r="E9" s="57"/>
      <c r="F9" s="58"/>
      <c r="G9" s="54"/>
      <c r="H9" s="59"/>
      <c r="I9" s="59" t="n">
        <v>2200</v>
      </c>
      <c r="J9" s="60" t="n">
        <f aca="false">IF(COUNTA(C9:D9)=0,"",ROUND(SUM(H$7:H9)-SUM(I$7:I9),2))</f>
        <v>6808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الخميس</v>
      </c>
      <c r="C10" s="63" t="n">
        <v>46324</v>
      </c>
      <c r="D10" s="64" t="s">
        <v>362</v>
      </c>
      <c r="E10" s="65"/>
      <c r="F10" s="66"/>
      <c r="G10" s="62"/>
      <c r="H10" s="67"/>
      <c r="I10" s="67" t="n">
        <v>1500</v>
      </c>
      <c r="J10" s="68" t="n">
        <f aca="false">IF(COUNTA(C10:D10)=0,"",ROUND(SUM(H$7:H10)-SUM(I$7:I10),2))</f>
        <v>5308</v>
      </c>
      <c r="K10" s="62" t="s">
        <v>363</v>
      </c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364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46310</v>
      </c>
      <c r="E4" s="48" t="n">
        <f aca="false">IF(COUNT(C7:C1000)=0,"",MAX(C7:C1000))</f>
        <v>46325</v>
      </c>
      <c r="F4" s="49" t="n">
        <f aca="false">SUM(H7:H1000)</f>
        <v>24788.25</v>
      </c>
      <c r="G4" s="49" t="n">
        <f aca="false">SUM(I7:I1000)</f>
        <v>7000</v>
      </c>
      <c r="H4" s="50" t="n">
        <f aca="false">ROUND(F4-G4,2)</f>
        <v>17788.25</v>
      </c>
      <c r="I4" s="49" t="n">
        <f aca="false">ROUND(SUMPRODUCT((G7:G1000&gt;1)*E7:E1000*F7:F1000*(G7:G1000-1)),2)</f>
        <v>3233.25</v>
      </c>
      <c r="J4" s="48" t="n">
        <f aca="false">IF(COUNTIFS(I7:I1000,"&gt;0",E7:E1000,"")=0,"",_xlfn.MAXIFS(C7:C1000,I7:I1000,"&gt;0",E7:E1000,""))</f>
        <v>46324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46310</v>
      </c>
      <c r="D7" s="56" t="s">
        <v>89</v>
      </c>
      <c r="E7" s="57" t="n">
        <v>98</v>
      </c>
      <c r="F7" s="58" t="n">
        <v>70</v>
      </c>
      <c r="G7" s="54" t="n">
        <v>1.15</v>
      </c>
      <c r="H7" s="59" t="n">
        <f aca="false">ROUND(E7*F7*IF(G7&gt;1,G7,1),2)</f>
        <v>7889</v>
      </c>
      <c r="I7" s="59"/>
      <c r="J7" s="60" t="n">
        <f aca="false">IF(COUNTA(C7:D7)=0,"",ROUND(SUM(H$7:H7)-SUM(I$7:I7),2))</f>
        <v>7889</v>
      </c>
      <c r="K7" s="54"/>
      <c r="L7" s="61" t="s">
        <v>365</v>
      </c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الاثنين</v>
      </c>
      <c r="C8" s="63" t="n">
        <v>46321</v>
      </c>
      <c r="D8" s="64" t="s">
        <v>89</v>
      </c>
      <c r="E8" s="65" t="n">
        <v>93</v>
      </c>
      <c r="F8" s="66" t="n">
        <v>70</v>
      </c>
      <c r="G8" s="62" t="n">
        <v>1.15</v>
      </c>
      <c r="H8" s="67" t="n">
        <f aca="false">ROUND(E8*F8*IF(G8&gt;1,G8,1),2)</f>
        <v>7486.5</v>
      </c>
      <c r="I8" s="67"/>
      <c r="J8" s="68" t="n">
        <f aca="false">IF(COUNTA(C8:D8)=0,"",ROUND(SUM(H$7:H8)-SUM(I$7:I8),2))</f>
        <v>15375.5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الثلاثاء</v>
      </c>
      <c r="C9" s="55" t="n">
        <v>46322</v>
      </c>
      <c r="D9" s="56" t="s">
        <v>366</v>
      </c>
      <c r="E9" s="57"/>
      <c r="F9" s="58"/>
      <c r="G9" s="54"/>
      <c r="H9" s="59"/>
      <c r="I9" s="59" t="n">
        <v>2000</v>
      </c>
      <c r="J9" s="60" t="n">
        <f aca="false">IF(COUNTA(C9:D9)=0,"",ROUND(SUM(H$7:H9)-SUM(I$7:I9),2))</f>
        <v>13375.5</v>
      </c>
      <c r="K9" s="54" t="s">
        <v>367</v>
      </c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الأربعاء</v>
      </c>
      <c r="C10" s="63" t="n">
        <v>46323</v>
      </c>
      <c r="D10" s="64" t="s">
        <v>89</v>
      </c>
      <c r="E10" s="65" t="n">
        <v>90</v>
      </c>
      <c r="F10" s="66" t="n">
        <v>70</v>
      </c>
      <c r="G10" s="62" t="n">
        <v>1.15</v>
      </c>
      <c r="H10" s="67" t="n">
        <f aca="false">ROUND(E10*F10*IF(G10&gt;1,G10,1),2)</f>
        <v>7245</v>
      </c>
      <c r="I10" s="67"/>
      <c r="J10" s="68" t="n">
        <f aca="false">IF(COUNTA(C10:D10)=0,"",ROUND(SUM(H$7:H10)-SUM(I$7:I10),2))</f>
        <v>20620.5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الأربعاء</v>
      </c>
      <c r="C11" s="55" t="n">
        <v>46323</v>
      </c>
      <c r="D11" s="56" t="s">
        <v>90</v>
      </c>
      <c r="E11" s="57" t="n">
        <v>5</v>
      </c>
      <c r="F11" s="58" t="n">
        <v>55</v>
      </c>
      <c r="G11" s="54" t="n">
        <v>1.15</v>
      </c>
      <c r="H11" s="59" t="n">
        <f aca="false">ROUND(E11*F11*IF(G11&gt;1,G11,1),2)</f>
        <v>316.25</v>
      </c>
      <c r="I11" s="59"/>
      <c r="J11" s="60" t="n">
        <f aca="false">IF(COUNTA(C11:D11)=0,"",ROUND(SUM(H$7:H11)-SUM(I$7:I11),2))</f>
        <v>20936.75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الخميس</v>
      </c>
      <c r="C12" s="63" t="n">
        <v>46324</v>
      </c>
      <c r="D12" s="64" t="s">
        <v>368</v>
      </c>
      <c r="E12" s="65"/>
      <c r="F12" s="66"/>
      <c r="G12" s="62"/>
      <c r="H12" s="67"/>
      <c r="I12" s="67" t="n">
        <v>5000</v>
      </c>
      <c r="J12" s="68" t="n">
        <f aca="false">IF(COUNTA(C12:D12)=0,"",ROUND(SUM(H$7:H12)-SUM(I$7:I12),2))</f>
        <v>15936.75</v>
      </c>
      <c r="K12" s="62" t="s">
        <v>369</v>
      </c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الجمعة</v>
      </c>
      <c r="C13" s="55" t="n">
        <v>46325</v>
      </c>
      <c r="D13" s="56" t="s">
        <v>89</v>
      </c>
      <c r="E13" s="57" t="n">
        <v>23</v>
      </c>
      <c r="F13" s="58" t="n">
        <v>70</v>
      </c>
      <c r="G13" s="54" t="n">
        <v>1.15</v>
      </c>
      <c r="H13" s="59" t="n">
        <f aca="false">ROUND(E13*F13*IF(G13&gt;1,G13,1),2)</f>
        <v>1851.5</v>
      </c>
      <c r="I13" s="59"/>
      <c r="J13" s="60" t="n">
        <f aca="false">IF(COUNTA(C13:D13)=0,"",ROUND(SUM(H$7:H13)-SUM(I$7:I13),2))</f>
        <v>17788.25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370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46323</v>
      </c>
      <c r="E4" s="48" t="n">
        <f aca="false">IF(COUNT(C7:C1000)=0,"",MAX(C7:C1000))</f>
        <v>46324</v>
      </c>
      <c r="F4" s="49" t="n">
        <f aca="false">SUM(H7:H1000)</f>
        <v>2925.6</v>
      </c>
      <c r="G4" s="49" t="n">
        <f aca="false">SUM(I7:I1000)</f>
        <v>2410</v>
      </c>
      <c r="H4" s="50" t="n">
        <f aca="false">ROUND(F4-G4,2)</f>
        <v>515.6</v>
      </c>
      <c r="I4" s="49" t="n">
        <f aca="false">ROUND(SUMPRODUCT((G7:G1000&gt;1)*E7:E1000*F7:F1000*(G7:G1000-1)),2)</f>
        <v>381.6</v>
      </c>
      <c r="J4" s="48" t="n">
        <f aca="false">IF(COUNTIFS(I7:I1000,"&gt;0",E7:E1000,"")=0,"",_xlfn.MAXIFS(C7:C1000,I7:I1000,"&gt;0",E7:E1000,""))</f>
        <v>46324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الأربعاء</v>
      </c>
      <c r="C7" s="55" t="n">
        <v>46323</v>
      </c>
      <c r="D7" s="56" t="s">
        <v>73</v>
      </c>
      <c r="E7" s="57" t="n">
        <v>32</v>
      </c>
      <c r="F7" s="58" t="n">
        <v>42</v>
      </c>
      <c r="G7" s="54" t="n">
        <v>1.15</v>
      </c>
      <c r="H7" s="59" t="n">
        <f aca="false">ROUND(E7*F7*IF(G7&gt;1,G7,1),2)</f>
        <v>1545.6</v>
      </c>
      <c r="I7" s="59"/>
      <c r="J7" s="60" t="n">
        <f aca="false">IF(COUNTA(C7:D7)=0,"",ROUND(SUM(H$7:H7)-SUM(I$7:I7),2))</f>
        <v>1545.6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46323</v>
      </c>
      <c r="D8" s="64" t="s">
        <v>91</v>
      </c>
      <c r="E8" s="65" t="n">
        <v>25</v>
      </c>
      <c r="F8" s="66" t="n">
        <v>30</v>
      </c>
      <c r="G8" s="62" t="n">
        <v>1.15</v>
      </c>
      <c r="H8" s="67" t="n">
        <f aca="false">ROUND(E8*F8*IF(G8&gt;1,G8,1),2)</f>
        <v>862.5</v>
      </c>
      <c r="I8" s="67"/>
      <c r="J8" s="68" t="n">
        <f aca="false">IF(COUNTA(C8:D8)=0,"",ROUND(SUM(H$7:H8)-SUM(I$7:I8),2))</f>
        <v>2408.1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الخميس</v>
      </c>
      <c r="C9" s="55" t="n">
        <v>46324</v>
      </c>
      <c r="D9" s="56" t="s">
        <v>57</v>
      </c>
      <c r="E9" s="57"/>
      <c r="F9" s="58"/>
      <c r="G9" s="54"/>
      <c r="H9" s="59"/>
      <c r="I9" s="59" t="n">
        <v>2410</v>
      </c>
      <c r="J9" s="60" t="n">
        <f aca="false">IF(COUNTA(C9:D9)=0,"",ROUND(SUM(H$7:H9)-SUM(I$7:I9),2))</f>
        <v>-1.9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الخميس</v>
      </c>
      <c r="C10" s="63" t="n">
        <v>46324</v>
      </c>
      <c r="D10" s="64" t="s">
        <v>91</v>
      </c>
      <c r="E10" s="65" t="n">
        <v>15</v>
      </c>
      <c r="F10" s="66" t="n">
        <v>30</v>
      </c>
      <c r="G10" s="62" t="n">
        <v>1.15</v>
      </c>
      <c r="H10" s="67" t="n">
        <f aca="false">ROUND(E10*F10*IF(G10&gt;1,G10,1),2)</f>
        <v>517.5</v>
      </c>
      <c r="I10" s="67"/>
      <c r="J10" s="68" t="n">
        <f aca="false">IF(COUNTA(C10:D10)=0,"",ROUND(SUM(H$7:H10)-SUM(I$7:I10),2))</f>
        <v>515.6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371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46325</v>
      </c>
      <c r="E4" s="48" t="n">
        <f aca="false">IF(COUNT(C7:C1000)=0,"",MAX(C7:C1000))</f>
        <v>46325</v>
      </c>
      <c r="F4" s="49" t="n">
        <f aca="false">SUM(H7:H1000)</f>
        <v>3956</v>
      </c>
      <c r="G4" s="49" t="n">
        <f aca="false">SUM(I7:I1000)</f>
        <v>0</v>
      </c>
      <c r="H4" s="50" t="n">
        <f aca="false">ROUND(F4-G4,2)</f>
        <v>3956</v>
      </c>
      <c r="I4" s="49" t="n">
        <f aca="false">ROUND(SUMPRODUCT((G7:G1000&gt;1)*E7:E1000*F7:F1000*(G7:G1000-1)),2)</f>
        <v>516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46325</v>
      </c>
      <c r="D7" s="56" t="s">
        <v>84</v>
      </c>
      <c r="E7" s="57" t="n">
        <v>80</v>
      </c>
      <c r="F7" s="58" t="n">
        <v>43</v>
      </c>
      <c r="G7" s="54" t="n">
        <v>1.15</v>
      </c>
      <c r="H7" s="59" t="n">
        <f aca="false">ROUND(E7*F7*IF(G7&gt;1,G7,1),2)</f>
        <v>3956</v>
      </c>
      <c r="I7" s="59"/>
      <c r="J7" s="60" t="n">
        <f aca="false">IF(COUNTA(C7:D7)=0,"",ROUND(SUM(H$7:H7)-SUM(I$7:I7),2))</f>
        <v>3956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/>
      </c>
      <c r="C8" s="70"/>
      <c r="D8" s="64"/>
      <c r="E8" s="71"/>
      <c r="F8" s="72"/>
      <c r="G8" s="73"/>
      <c r="H8" s="74"/>
      <c r="I8" s="74"/>
      <c r="J8" s="68" t="str">
        <f aca="false">IF(COUNTA(C8:D8)=0,"",ROUND(SUM(H$7:H8)-SUM(I$7:I8),2))</f>
        <v/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372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46310</v>
      </c>
      <c r="E4" s="48" t="n">
        <f aca="false">IF(COUNT(C7:C1000)=0,"",MAX(C7:C1000))</f>
        <v>46325</v>
      </c>
      <c r="F4" s="49" t="n">
        <f aca="false">SUM(H7:H1000)</f>
        <v>3391.35</v>
      </c>
      <c r="G4" s="49" t="n">
        <f aca="false">SUM(I7:I1000)</f>
        <v>3390</v>
      </c>
      <c r="H4" s="50" t="n">
        <f aca="false">ROUND(F4-G4,2)</f>
        <v>1.35</v>
      </c>
      <c r="I4" s="49" t="n">
        <f aca="false">ROUND(SUMPRODUCT((G7:G1000&gt;1)*E7:E1000*F7:F1000*(G7:G1000-1)),2)</f>
        <v>442.35</v>
      </c>
      <c r="J4" s="48" t="n">
        <f aca="false">IF(COUNTIFS(I7:I1000,"&gt;0",E7:E1000,"")=0,"",_xlfn.MAXIFS(C7:C1000,I7:I1000,"&gt;0",E7:E1000,""))</f>
        <v>46325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46310</v>
      </c>
      <c r="D7" s="56" t="s">
        <v>63</v>
      </c>
      <c r="E7" s="57" t="n">
        <v>25</v>
      </c>
      <c r="F7" s="58" t="n">
        <v>95</v>
      </c>
      <c r="G7" s="54" t="n">
        <v>1.15</v>
      </c>
      <c r="H7" s="59" t="n">
        <f aca="false">ROUND(E7*F7*IF(G7&gt;1,G7,1),2)</f>
        <v>2731.25</v>
      </c>
      <c r="I7" s="59"/>
      <c r="J7" s="60" t="n">
        <f aca="false">IF(COUNTA(C7:D7)=0,"",ROUND(SUM(H$7:H7)-SUM(I$7:I7),2))</f>
        <v>2731.25</v>
      </c>
      <c r="K7" s="54"/>
      <c r="L7" s="61" t="s">
        <v>365</v>
      </c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السبت</v>
      </c>
      <c r="C8" s="63" t="n">
        <v>46312</v>
      </c>
      <c r="D8" s="64" t="s">
        <v>63</v>
      </c>
      <c r="E8" s="65" t="n">
        <v>7</v>
      </c>
      <c r="F8" s="66" t="n">
        <v>82</v>
      </c>
      <c r="G8" s="62" t="n">
        <v>1.15</v>
      </c>
      <c r="H8" s="67" t="n">
        <f aca="false">ROUND(E8*F8*IF(G8&gt;1,G8,1),2)</f>
        <v>660.1</v>
      </c>
      <c r="I8" s="67"/>
      <c r="J8" s="68" t="n">
        <f aca="false">IF(COUNTA(C8:D8)=0,"",ROUND(SUM(H$7:H8)-SUM(I$7:I8),2))</f>
        <v>3391.35</v>
      </c>
      <c r="K8" s="62"/>
      <c r="L8" s="69" t="s">
        <v>365</v>
      </c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الجمعة</v>
      </c>
      <c r="C9" s="55" t="n">
        <v>46325</v>
      </c>
      <c r="D9" s="56" t="s">
        <v>373</v>
      </c>
      <c r="E9" s="57"/>
      <c r="F9" s="58"/>
      <c r="G9" s="54"/>
      <c r="H9" s="59"/>
      <c r="I9" s="59" t="n">
        <v>3390</v>
      </c>
      <c r="J9" s="60" t="n">
        <f aca="false">IF(COUNTA(C9:D9)=0,"",ROUND(SUM(H$7:H9)-SUM(I$7:I9),2))</f>
        <v>1.35</v>
      </c>
      <c r="K9" s="54" t="s">
        <v>374</v>
      </c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375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46316</v>
      </c>
      <c r="E4" s="48" t="n">
        <f aca="false">IF(COUNT(C7:C1000)=0,"",MAX(C7:C1000))</f>
        <v>46319</v>
      </c>
      <c r="F4" s="49" t="n">
        <f aca="false">SUM(H7:H1000)</f>
        <v>603.75</v>
      </c>
      <c r="G4" s="49" t="n">
        <f aca="false">SUM(I7:I1000)</f>
        <v>603.75</v>
      </c>
      <c r="H4" s="50" t="n">
        <f aca="false">ROUND(F4-G4,2)</f>
        <v>0</v>
      </c>
      <c r="I4" s="49" t="n">
        <f aca="false">ROUND(SUMPRODUCT((G7:G1000&gt;1)*E7:E1000*F7:F1000*(G7:G1000-1)),2)</f>
        <v>157.5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علينا","رصيد لنا"))</f>
        <v>مسدد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الأربعاء</v>
      </c>
      <c r="C7" s="55" t="n">
        <v>46316</v>
      </c>
      <c r="D7" s="56" t="s">
        <v>63</v>
      </c>
      <c r="E7" s="57" t="n">
        <v>5</v>
      </c>
      <c r="F7" s="58" t="n">
        <v>105</v>
      </c>
      <c r="G7" s="54" t="n">
        <v>1.15</v>
      </c>
      <c r="H7" s="59" t="n">
        <f aca="false">ROUND(E7*F7*IF(G7&gt;1,G7,1),2)</f>
        <v>603.75</v>
      </c>
      <c r="I7" s="59"/>
      <c r="J7" s="60" t="n">
        <f aca="false">IF(COUNTA(C7:D7)=0,"",ROUND(SUM(H$7:H7)-SUM(I$7:I7),2))</f>
        <v>603.75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السبت</v>
      </c>
      <c r="C8" s="63" t="n">
        <v>46319</v>
      </c>
      <c r="D8" s="64" t="s">
        <v>63</v>
      </c>
      <c r="E8" s="65" t="n">
        <v>5</v>
      </c>
      <c r="F8" s="66" t="n">
        <v>105</v>
      </c>
      <c r="G8" s="62" t="n">
        <v>1.15</v>
      </c>
      <c r="H8" s="67"/>
      <c r="I8" s="67" t="n">
        <f aca="false">ROUND(E8*F8*IF(G8&gt;1,G8,1),2)</f>
        <v>603.75</v>
      </c>
      <c r="J8" s="68" t="n">
        <f aca="false">IF(COUNTA(C8:D8)=0,"",ROUND(SUM(H$7:H8)-SUM(I$7:I8),2))</f>
        <v>0</v>
      </c>
      <c r="K8" s="62"/>
      <c r="L8" s="69" t="s">
        <v>263</v>
      </c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376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46299</v>
      </c>
      <c r="E4" s="48" t="n">
        <f aca="false">IF(COUNT(C7:C1000)=0,"",MAX(C7:C1000))</f>
        <v>46317</v>
      </c>
      <c r="F4" s="49" t="n">
        <f aca="false">SUM(H7:H1000)</f>
        <v>4505</v>
      </c>
      <c r="G4" s="49" t="n">
        <f aca="false">SUM(I7:I1000)</f>
        <v>4505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46317</v>
      </c>
      <c r="K4" s="51" t="str">
        <f aca="false">IF(ABS(H4)&lt;0.01,"مسدد",IF(H4&gt;0,"مستحق علينا","رصيد لنا"))</f>
        <v>مسدد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الأحد</v>
      </c>
      <c r="C7" s="55" t="n">
        <v>46299</v>
      </c>
      <c r="D7" s="56" t="s">
        <v>63</v>
      </c>
      <c r="E7" s="57" t="n">
        <v>6</v>
      </c>
      <c r="F7" s="58" t="n">
        <v>100</v>
      </c>
      <c r="G7" s="54" t="n">
        <v>0</v>
      </c>
      <c r="H7" s="59" t="n">
        <f aca="false">ROUND(E7*F7*IF(G7&gt;1,G7,1),2)</f>
        <v>600</v>
      </c>
      <c r="I7" s="59"/>
      <c r="J7" s="60" t="n">
        <f aca="false">IF(COUNTA(C7:D7)=0,"",ROUND(SUM(H$7:H7)-SUM(I$7:I7),2))</f>
        <v>600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46304</v>
      </c>
      <c r="D8" s="64" t="s">
        <v>377</v>
      </c>
      <c r="E8" s="65"/>
      <c r="F8" s="66"/>
      <c r="G8" s="62"/>
      <c r="H8" s="67"/>
      <c r="I8" s="67" t="n">
        <v>600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السبت</v>
      </c>
      <c r="C9" s="55" t="n">
        <v>46305</v>
      </c>
      <c r="D9" s="56" t="s">
        <v>63</v>
      </c>
      <c r="E9" s="57" t="n">
        <v>3</v>
      </c>
      <c r="F9" s="58" t="n">
        <v>115</v>
      </c>
      <c r="G9" s="54" t="n">
        <v>0</v>
      </c>
      <c r="H9" s="59" t="n">
        <f aca="false">ROUND(E9*F9*IF(G9&gt;1,G9,1),2)</f>
        <v>345</v>
      </c>
      <c r="I9" s="59"/>
      <c r="J9" s="60" t="n">
        <f aca="false">IF(COUNTA(C9:D9)=0,"",ROUND(SUM(H$7:H9)-SUM(I$7:I9),2))</f>
        <v>345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الثلاثاء</v>
      </c>
      <c r="C10" s="63" t="n">
        <v>46308</v>
      </c>
      <c r="D10" s="64" t="s">
        <v>63</v>
      </c>
      <c r="E10" s="65" t="n">
        <v>10</v>
      </c>
      <c r="F10" s="66" t="n">
        <v>120</v>
      </c>
      <c r="G10" s="62" t="n">
        <v>0</v>
      </c>
      <c r="H10" s="67" t="n">
        <f aca="false">ROUND(E10*F10*IF(G10&gt;1,G10,1),2)</f>
        <v>1200</v>
      </c>
      <c r="I10" s="67"/>
      <c r="J10" s="68" t="n">
        <f aca="false">IF(COUNTA(C10:D10)=0,"",ROUND(SUM(H$7:H10)-SUM(I$7:I10),2))</f>
        <v>1545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الأربعاء</v>
      </c>
      <c r="C11" s="55" t="n">
        <v>46309</v>
      </c>
      <c r="D11" s="56" t="s">
        <v>63</v>
      </c>
      <c r="E11" s="57" t="n">
        <v>20</v>
      </c>
      <c r="F11" s="58" t="n">
        <v>118</v>
      </c>
      <c r="G11" s="54" t="n">
        <v>0</v>
      </c>
      <c r="H11" s="59" t="n">
        <f aca="false">ROUND(E11*F11*IF(G11&gt;1,G11,1),2)</f>
        <v>2360</v>
      </c>
      <c r="I11" s="59"/>
      <c r="J11" s="60" t="n">
        <f aca="false">IF(COUNTA(C11:D11)=0,"",ROUND(SUM(H$7:H11)-SUM(I$7:I11),2))</f>
        <v>3905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الخميس</v>
      </c>
      <c r="C12" s="63" t="n">
        <v>46310</v>
      </c>
      <c r="D12" s="64" t="s">
        <v>378</v>
      </c>
      <c r="E12" s="65"/>
      <c r="F12" s="66"/>
      <c r="G12" s="62"/>
      <c r="H12" s="67"/>
      <c r="I12" s="67" t="n">
        <v>2000</v>
      </c>
      <c r="J12" s="68" t="n">
        <f aca="false">IF(COUNTA(C12:D12)=0,"",ROUND(SUM(H$7:H12)-SUM(I$7:I12),2))</f>
        <v>1905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السبت</v>
      </c>
      <c r="C13" s="55" t="n">
        <v>46312</v>
      </c>
      <c r="D13" s="56" t="s">
        <v>378</v>
      </c>
      <c r="E13" s="57"/>
      <c r="F13" s="58"/>
      <c r="G13" s="54"/>
      <c r="H13" s="59"/>
      <c r="I13" s="59" t="n">
        <v>1000</v>
      </c>
      <c r="J13" s="60" t="n">
        <f aca="false">IF(COUNTA(C13:D13)=0,"",ROUND(SUM(H$7:H13)-SUM(I$7:I13),2))</f>
        <v>905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الخميس</v>
      </c>
      <c r="C14" s="63" t="n">
        <v>46317</v>
      </c>
      <c r="D14" s="64" t="s">
        <v>377</v>
      </c>
      <c r="E14" s="65"/>
      <c r="F14" s="66"/>
      <c r="G14" s="62"/>
      <c r="H14" s="67"/>
      <c r="I14" s="67" t="n">
        <v>900</v>
      </c>
      <c r="J14" s="68" t="n">
        <f aca="false">IF(COUNTA(C14:D14)=0,"",ROUND(SUM(H$7:H14)-SUM(I$7:I14),2))</f>
        <v>5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الخميس</v>
      </c>
      <c r="C15" s="55" t="n">
        <v>46317</v>
      </c>
      <c r="D15" s="56" t="s">
        <v>92</v>
      </c>
      <c r="E15" s="57"/>
      <c r="F15" s="58"/>
      <c r="G15" s="54"/>
      <c r="H15" s="59"/>
      <c r="I15" s="59" t="n">
        <v>5</v>
      </c>
      <c r="J15" s="60" t="n">
        <f aca="false">IF(COUNTA(C15:D15)=0,"",ROUND(SUM(H$7:H15)-SUM(I$7:I15),2))</f>
        <v>0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7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379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46297</v>
      </c>
      <c r="E4" s="48" t="n">
        <f aca="false">IF(COUNT(C7:C1000)=0,"",MAX(C7:C1000))</f>
        <v>46324</v>
      </c>
      <c r="F4" s="49" t="n">
        <f aca="false">SUM(H7:H1000)</f>
        <v>5778</v>
      </c>
      <c r="G4" s="49" t="n">
        <f aca="false">SUM(I7:I1000)</f>
        <v>6806</v>
      </c>
      <c r="H4" s="50" t="n">
        <f aca="false">ROUND(F4-G4,2)</f>
        <v>-1028</v>
      </c>
      <c r="I4" s="49" t="n">
        <f aca="false">ROUND(SUMPRODUCT((G7:G1000&gt;1)*E7:E1000*F7:F1000*(G7:G1000-1)),2)</f>
        <v>351</v>
      </c>
      <c r="J4" s="48" t="n">
        <f aca="false">IF(COUNTIFS(I7:I1000,"&gt;0",E7:E1000,"")=0,"",_xlfn.MAXIFS(C7:C1000,I7:I1000,"&gt;0",E7:E1000,""))</f>
        <v>46323</v>
      </c>
      <c r="K4" s="51" t="str">
        <f aca="false">IF(ABS(H4)&lt;0.01,"مسدد",IF(H4&gt;0,"مستحق علينا","رصيد لنا"))</f>
        <v>رصيد لنا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46297</v>
      </c>
      <c r="D7" s="56" t="s">
        <v>85</v>
      </c>
      <c r="E7" s="57" t="n">
        <v>3</v>
      </c>
      <c r="F7" s="58" t="n">
        <v>32</v>
      </c>
      <c r="G7" s="54" t="n">
        <v>0</v>
      </c>
      <c r="H7" s="59" t="n">
        <f aca="false">ROUND(E7*F7*IF(G7&gt;1,G7,1),2)</f>
        <v>96</v>
      </c>
      <c r="I7" s="59"/>
      <c r="J7" s="60" t="n">
        <f aca="false">IF(COUNTA(C7:D7)=0,"",ROUND(SUM(H$7:H7)-SUM(I$7:I7),2))</f>
        <v>96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46297</v>
      </c>
      <c r="D8" s="64" t="s">
        <v>93</v>
      </c>
      <c r="E8" s="65" t="n">
        <v>5</v>
      </c>
      <c r="F8" s="66" t="n">
        <v>33</v>
      </c>
      <c r="G8" s="62" t="n">
        <v>0</v>
      </c>
      <c r="H8" s="67" t="n">
        <f aca="false">ROUND(E8*F8*IF(G8&gt;1,G8,1),2)</f>
        <v>165</v>
      </c>
      <c r="I8" s="67"/>
      <c r="J8" s="68" t="n">
        <f aca="false">IF(COUNTA(C8:D8)=0,"",ROUND(SUM(H$7:H8)-SUM(I$7:I8),2))</f>
        <v>261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الجمعة</v>
      </c>
      <c r="C9" s="55" t="n">
        <v>46297</v>
      </c>
      <c r="D9" s="56" t="s">
        <v>87</v>
      </c>
      <c r="E9" s="57" t="n">
        <v>50</v>
      </c>
      <c r="F9" s="58" t="n">
        <v>11.5</v>
      </c>
      <c r="G9" s="54" t="n">
        <v>0</v>
      </c>
      <c r="H9" s="59" t="n">
        <f aca="false">ROUND(E9*F9*IF(G9&gt;1,G9,1),2)</f>
        <v>575</v>
      </c>
      <c r="I9" s="59"/>
      <c r="J9" s="60" t="n">
        <f aca="false">IF(COUNTA(C9:D9)=0,"",ROUND(SUM(H$7:H9)-SUM(I$7:I9),2))</f>
        <v>836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السبت</v>
      </c>
      <c r="C10" s="63" t="n">
        <v>46298</v>
      </c>
      <c r="D10" s="64" t="s">
        <v>87</v>
      </c>
      <c r="E10" s="65" t="n">
        <v>46</v>
      </c>
      <c r="F10" s="66" t="n">
        <v>11.5</v>
      </c>
      <c r="G10" s="62" t="n">
        <v>0</v>
      </c>
      <c r="H10" s="67" t="n">
        <f aca="false">ROUND(E10*F10*IF(G10&gt;1,G10,1),2)</f>
        <v>529</v>
      </c>
      <c r="I10" s="67"/>
      <c r="J10" s="68" t="n">
        <f aca="false">IF(COUNTA(C10:D10)=0,"",ROUND(SUM(H$7:H10)-SUM(I$7:I10),2))</f>
        <v>1365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الأحد</v>
      </c>
      <c r="C11" s="55" t="n">
        <v>46299</v>
      </c>
      <c r="D11" s="56" t="s">
        <v>63</v>
      </c>
      <c r="E11" s="57" t="n">
        <v>6</v>
      </c>
      <c r="F11" s="58" t="n">
        <v>105</v>
      </c>
      <c r="G11" s="54" t="n">
        <v>0</v>
      </c>
      <c r="H11" s="59" t="n">
        <f aca="false">ROUND(E11*F11*IF(G11&gt;1,G11,1),2)</f>
        <v>630</v>
      </c>
      <c r="I11" s="59"/>
      <c r="J11" s="60" t="n">
        <f aca="false">IF(COUNTA(C11:D11)=0,"",ROUND(SUM(H$7:H11)-SUM(I$7:I11),2))</f>
        <v>1995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الاثنين</v>
      </c>
      <c r="C12" s="63" t="n">
        <v>46300</v>
      </c>
      <c r="D12" s="64" t="s">
        <v>94</v>
      </c>
      <c r="E12" s="65" t="n">
        <v>20</v>
      </c>
      <c r="F12" s="66" t="n">
        <v>35</v>
      </c>
      <c r="G12" s="62" t="n">
        <v>0</v>
      </c>
      <c r="H12" s="67" t="n">
        <f aca="false">ROUND(E12*F12*IF(G12&gt;1,G12,1),2)</f>
        <v>700</v>
      </c>
      <c r="I12" s="67"/>
      <c r="J12" s="68" t="n">
        <f aca="false">IF(COUNTA(C12:D12)=0,"",ROUND(SUM(H$7:H12)-SUM(I$7:I12),2))</f>
        <v>2695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الثلاثاء</v>
      </c>
      <c r="C13" s="55" t="n">
        <v>46301</v>
      </c>
      <c r="D13" s="56" t="s">
        <v>84</v>
      </c>
      <c r="E13" s="57" t="n">
        <v>1</v>
      </c>
      <c r="F13" s="58" t="n">
        <v>8</v>
      </c>
      <c r="G13" s="54" t="n">
        <v>0</v>
      </c>
      <c r="H13" s="59" t="n">
        <f aca="false">ROUND(E13*F13*IF(G13&gt;1,G13,1),2)</f>
        <v>8</v>
      </c>
      <c r="I13" s="59"/>
      <c r="J13" s="60" t="n">
        <f aca="false">IF(COUNTA(C13:D13)=0,"",ROUND(SUM(H$7:H13)-SUM(I$7:I13),2))</f>
        <v>2703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الأربعاء</v>
      </c>
      <c r="C14" s="63" t="n">
        <v>46302</v>
      </c>
      <c r="D14" s="64" t="s">
        <v>57</v>
      </c>
      <c r="E14" s="65"/>
      <c r="F14" s="66"/>
      <c r="G14" s="62"/>
      <c r="H14" s="67"/>
      <c r="I14" s="67" t="n">
        <v>8</v>
      </c>
      <c r="J14" s="68" t="n">
        <f aca="false">IF(COUNTA(C14:D14)=0,"",ROUND(SUM(H$7:H14)-SUM(I$7:I14),2))</f>
        <v>2695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الخميس</v>
      </c>
      <c r="C15" s="55" t="n">
        <v>46303</v>
      </c>
      <c r="D15" s="56" t="s">
        <v>63</v>
      </c>
      <c r="E15" s="57" t="n">
        <v>20</v>
      </c>
      <c r="F15" s="58" t="n">
        <v>125</v>
      </c>
      <c r="G15" s="54" t="n">
        <v>0</v>
      </c>
      <c r="H15" s="59"/>
      <c r="I15" s="59" t="n">
        <f aca="false">ROUND(E15*F15*IF(G15&gt;1,G15,1),2)</f>
        <v>2500</v>
      </c>
      <c r="J15" s="60" t="n">
        <f aca="false">IF(COUNTA(C15:D15)=0,"",ROUND(SUM(H$7:H15)-SUM(I$7:I15),2))</f>
        <v>195</v>
      </c>
      <c r="K15" s="54"/>
      <c r="L15" s="61" t="s">
        <v>263</v>
      </c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الاثنين</v>
      </c>
      <c r="C16" s="63" t="n">
        <v>46307</v>
      </c>
      <c r="D16" s="64" t="s">
        <v>73</v>
      </c>
      <c r="E16" s="65" t="n">
        <v>23</v>
      </c>
      <c r="F16" s="66" t="n">
        <v>8</v>
      </c>
      <c r="G16" s="62" t="n">
        <v>1.15</v>
      </c>
      <c r="H16" s="67" t="n">
        <f aca="false">ROUND(E16*F16*IF(G16&gt;1,G16,1),2)</f>
        <v>211.6</v>
      </c>
      <c r="I16" s="67"/>
      <c r="J16" s="68" t="n">
        <f aca="false">IF(COUNTA(C16:D16)=0,"",ROUND(SUM(H$7:H16)-SUM(I$7:I16),2))</f>
        <v>406.6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الاثنين</v>
      </c>
      <c r="C17" s="55" t="n">
        <v>46307</v>
      </c>
      <c r="D17" s="56" t="s">
        <v>82</v>
      </c>
      <c r="E17" s="57" t="n">
        <v>13</v>
      </c>
      <c r="F17" s="58" t="n">
        <v>7</v>
      </c>
      <c r="G17" s="54" t="n">
        <v>1.15</v>
      </c>
      <c r="H17" s="59" t="n">
        <f aca="false">ROUND(E17*F17*IF(G17&gt;1,G17,1),2)</f>
        <v>104.65</v>
      </c>
      <c r="I17" s="59"/>
      <c r="J17" s="60" t="n">
        <f aca="false">IF(COUNTA(C17:D17)=0,"",ROUND(SUM(H$7:H17)-SUM(I$7:I17),2))</f>
        <v>511.25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الثلاثاء</v>
      </c>
      <c r="C18" s="63" t="n">
        <v>46308</v>
      </c>
      <c r="D18" s="64" t="s">
        <v>73</v>
      </c>
      <c r="E18" s="65" t="n">
        <v>15</v>
      </c>
      <c r="F18" s="66" t="n">
        <v>8</v>
      </c>
      <c r="G18" s="62" t="n">
        <v>1.15</v>
      </c>
      <c r="H18" s="67" t="n">
        <f aca="false">ROUND(E18*F18*IF(G18&gt;1,G18,1),2)</f>
        <v>138</v>
      </c>
      <c r="I18" s="67"/>
      <c r="J18" s="68" t="n">
        <f aca="false">IF(COUNTA(C18:D18)=0,"",ROUND(SUM(H$7:H18)-SUM(I$7:I18),2))</f>
        <v>649.25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>الأربعاء</v>
      </c>
      <c r="C19" s="55" t="n">
        <v>46309</v>
      </c>
      <c r="D19" s="56" t="s">
        <v>73</v>
      </c>
      <c r="E19" s="57" t="n">
        <v>20</v>
      </c>
      <c r="F19" s="58" t="n">
        <v>8</v>
      </c>
      <c r="G19" s="54" t="n">
        <v>1.15</v>
      </c>
      <c r="H19" s="59" t="n">
        <f aca="false">ROUND(E19*F19*IF(G19&gt;1,G19,1),2)</f>
        <v>184</v>
      </c>
      <c r="I19" s="59"/>
      <c r="J19" s="60" t="n">
        <f aca="false">IF(COUNTA(C19:D19)=0,"",ROUND(SUM(H$7:H19)-SUM(I$7:I19),2))</f>
        <v>833.25</v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>الأربعاء</v>
      </c>
      <c r="C20" s="63" t="n">
        <v>46309</v>
      </c>
      <c r="D20" s="64" t="s">
        <v>91</v>
      </c>
      <c r="E20" s="65" t="n">
        <v>10</v>
      </c>
      <c r="F20" s="66" t="n">
        <v>7</v>
      </c>
      <c r="G20" s="62" t="n">
        <v>1.15</v>
      </c>
      <c r="H20" s="67" t="n">
        <f aca="false">ROUND(E20*F20*IF(G20&gt;1,G20,1),2)</f>
        <v>80.5</v>
      </c>
      <c r="I20" s="67"/>
      <c r="J20" s="68" t="n">
        <f aca="false">IF(COUNTA(C20:D20)=0,"",ROUND(SUM(H$7:H20)-SUM(I$7:I20),2))</f>
        <v>913.75</v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>السبت</v>
      </c>
      <c r="C21" s="55" t="n">
        <v>46312</v>
      </c>
      <c r="D21" s="56" t="s">
        <v>95</v>
      </c>
      <c r="E21" s="57" t="n">
        <v>8</v>
      </c>
      <c r="F21" s="58" t="n">
        <v>10</v>
      </c>
      <c r="G21" s="54" t="n">
        <v>0</v>
      </c>
      <c r="H21" s="59"/>
      <c r="I21" s="59" t="n">
        <f aca="false">ROUND(E21*F21*IF(G21&gt;1,G21,1),2)</f>
        <v>80</v>
      </c>
      <c r="J21" s="60" t="n">
        <f aca="false">IF(COUNTA(C21:D21)=0,"",ROUND(SUM(H$7:H21)-SUM(I$7:I21),2))</f>
        <v>833.75</v>
      </c>
      <c r="K21" s="54"/>
      <c r="L21" s="61" t="s">
        <v>263</v>
      </c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>السبت</v>
      </c>
      <c r="C22" s="63" t="n">
        <v>46312</v>
      </c>
      <c r="D22" s="64" t="s">
        <v>380</v>
      </c>
      <c r="E22" s="65"/>
      <c r="F22" s="66"/>
      <c r="G22" s="62"/>
      <c r="H22" s="67"/>
      <c r="I22" s="67" t="n">
        <v>46</v>
      </c>
      <c r="J22" s="68" t="n">
        <f aca="false">IF(COUNTA(C22:D22)=0,"",ROUND(SUM(H$7:H22)-SUM(I$7:I22),2))</f>
        <v>787.75</v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>السبت</v>
      </c>
      <c r="C23" s="55" t="n">
        <v>46312</v>
      </c>
      <c r="D23" s="56" t="s">
        <v>69</v>
      </c>
      <c r="E23" s="57" t="n">
        <v>32</v>
      </c>
      <c r="F23" s="58" t="n">
        <v>8</v>
      </c>
      <c r="G23" s="54" t="n">
        <v>0</v>
      </c>
      <c r="H23" s="59" t="n">
        <f aca="false">ROUND(E23*F23*IF(G23&gt;1,G23,1),2)</f>
        <v>256</v>
      </c>
      <c r="I23" s="59"/>
      <c r="J23" s="60" t="n">
        <f aca="false">IF(COUNTA(C23:D23)=0,"",ROUND(SUM(H$7:H23)-SUM(I$7:I23),2))</f>
        <v>1043.75</v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>الأحد</v>
      </c>
      <c r="C24" s="63" t="n">
        <v>46313</v>
      </c>
      <c r="D24" s="64" t="s">
        <v>63</v>
      </c>
      <c r="E24" s="65" t="n">
        <v>10</v>
      </c>
      <c r="F24" s="66" t="n">
        <v>123</v>
      </c>
      <c r="G24" s="62" t="n">
        <v>0</v>
      </c>
      <c r="H24" s="67"/>
      <c r="I24" s="67" t="n">
        <f aca="false">ROUND(E24*F24*IF(G24&gt;1,G24,1),2)</f>
        <v>1230</v>
      </c>
      <c r="J24" s="68" t="n">
        <f aca="false">IF(COUNTA(C24:D24)=0,"",ROUND(SUM(H$7:H24)-SUM(I$7:I24),2))</f>
        <v>-186.25</v>
      </c>
      <c r="K24" s="62"/>
      <c r="L24" s="69" t="s">
        <v>263</v>
      </c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>الاثنين</v>
      </c>
      <c r="C25" s="55" t="n">
        <v>46314</v>
      </c>
      <c r="D25" s="56" t="s">
        <v>69</v>
      </c>
      <c r="E25" s="57" t="n">
        <v>16</v>
      </c>
      <c r="F25" s="58" t="n">
        <v>8</v>
      </c>
      <c r="G25" s="54" t="n">
        <v>0</v>
      </c>
      <c r="H25" s="59" t="n">
        <f aca="false">ROUND(E25*F25*IF(G25&gt;1,G25,1),2)</f>
        <v>128</v>
      </c>
      <c r="I25" s="59"/>
      <c r="J25" s="60" t="n">
        <f aca="false">IF(COUNTA(C25:D25)=0,"",ROUND(SUM(H$7:H25)-SUM(I$7:I25),2))</f>
        <v>-58.25</v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>الثلاثاء</v>
      </c>
      <c r="C26" s="63" t="n">
        <v>46315</v>
      </c>
      <c r="D26" s="64" t="s">
        <v>381</v>
      </c>
      <c r="E26" s="65" t="n">
        <v>30</v>
      </c>
      <c r="F26" s="66" t="n">
        <v>16</v>
      </c>
      <c r="G26" s="62" t="n">
        <v>1.15</v>
      </c>
      <c r="H26" s="67" t="n">
        <f aca="false">ROUND(E26*F26*IF(G26&gt;1,G26,1),2)</f>
        <v>552</v>
      </c>
      <c r="I26" s="67"/>
      <c r="J26" s="68" t="n">
        <f aca="false">IF(COUNTA(C26:D26)=0,"",ROUND(SUM(H$7:H26)-SUM(I$7:I26),2))</f>
        <v>493.75</v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>الثلاثاء</v>
      </c>
      <c r="C27" s="55" t="n">
        <v>46315</v>
      </c>
      <c r="D27" s="56" t="s">
        <v>380</v>
      </c>
      <c r="E27" s="57"/>
      <c r="F27" s="58"/>
      <c r="G27" s="54"/>
      <c r="H27" s="59"/>
      <c r="I27" s="59" t="n">
        <v>120</v>
      </c>
      <c r="J27" s="60" t="n">
        <f aca="false">IF(COUNTA(C27:D27)=0,"",ROUND(SUM(H$7:H27)-SUM(I$7:I27),2))</f>
        <v>373.75</v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>الأربعاء</v>
      </c>
      <c r="C28" s="63" t="n">
        <v>46316</v>
      </c>
      <c r="D28" s="64" t="s">
        <v>74</v>
      </c>
      <c r="E28" s="65" t="n">
        <v>30</v>
      </c>
      <c r="F28" s="66" t="n">
        <v>16</v>
      </c>
      <c r="G28" s="62" t="n">
        <v>1.15</v>
      </c>
      <c r="H28" s="67" t="n">
        <f aca="false">ROUND(E28*F28*IF(G28&gt;1,G28,1),2)</f>
        <v>552</v>
      </c>
      <c r="I28" s="67"/>
      <c r="J28" s="68" t="n">
        <f aca="false">IF(COUNTA(C28:D28)=0,"",ROUND(SUM(H$7:H28)-SUM(I$7:I28),2))</f>
        <v>925.75</v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>الأربعاء</v>
      </c>
      <c r="C29" s="55" t="n">
        <v>46316</v>
      </c>
      <c r="D29" s="56" t="s">
        <v>73</v>
      </c>
      <c r="E29" s="57" t="n">
        <v>30</v>
      </c>
      <c r="F29" s="58" t="n">
        <v>8</v>
      </c>
      <c r="G29" s="54" t="n">
        <v>1.15</v>
      </c>
      <c r="H29" s="59" t="n">
        <f aca="false">ROUND(E29*F29*IF(G29&gt;1,G29,1),2)</f>
        <v>276</v>
      </c>
      <c r="I29" s="59"/>
      <c r="J29" s="60" t="n">
        <f aca="false">IF(COUNTA(C29:D29)=0,"",ROUND(SUM(H$7:H29)-SUM(I$7:I29),2))</f>
        <v>1201.75</v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>الأربعاء</v>
      </c>
      <c r="C30" s="63" t="n">
        <v>46316</v>
      </c>
      <c r="D30" s="64" t="s">
        <v>91</v>
      </c>
      <c r="E30" s="65" t="n">
        <v>5</v>
      </c>
      <c r="F30" s="66" t="n">
        <v>7</v>
      </c>
      <c r="G30" s="62" t="n">
        <v>1.15</v>
      </c>
      <c r="H30" s="67" t="n">
        <f aca="false">ROUND(E30*F30*IF(G30&gt;1,G30,1),2)</f>
        <v>40.25</v>
      </c>
      <c r="I30" s="67"/>
      <c r="J30" s="68" t="n">
        <f aca="false">IF(COUNTA(C30:D30)=0,"",ROUND(SUM(H$7:H30)-SUM(I$7:I30),2))</f>
        <v>1242</v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>الخميس</v>
      </c>
      <c r="C31" s="55" t="n">
        <v>46317</v>
      </c>
      <c r="D31" s="56" t="s">
        <v>380</v>
      </c>
      <c r="E31" s="57"/>
      <c r="F31" s="58"/>
      <c r="G31" s="54"/>
      <c r="H31" s="59"/>
      <c r="I31" s="59" t="n">
        <v>98</v>
      </c>
      <c r="J31" s="60" t="n">
        <f aca="false">IF(COUNTA(C31:D31)=0,"",ROUND(SUM(H$7:H31)-SUM(I$7:I31),2))</f>
        <v>1144</v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>الاثنين</v>
      </c>
      <c r="C32" s="63" t="n">
        <v>46321</v>
      </c>
      <c r="D32" s="64" t="s">
        <v>381</v>
      </c>
      <c r="E32" s="65" t="n">
        <v>24</v>
      </c>
      <c r="F32" s="66" t="n">
        <v>20</v>
      </c>
      <c r="G32" s="62" t="n">
        <v>1.15</v>
      </c>
      <c r="H32" s="67" t="n">
        <f aca="false">ROUND(E32*F32*IF(G32&gt;1,G32,1),2)</f>
        <v>552</v>
      </c>
      <c r="I32" s="67"/>
      <c r="J32" s="68" t="n">
        <f aca="false">IF(COUNTA(C32:D32)=0,"",ROUND(SUM(H$7:H32)-SUM(I$7:I32),2))</f>
        <v>1696</v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>الأربعاء</v>
      </c>
      <c r="C33" s="55" t="n">
        <v>46323</v>
      </c>
      <c r="D33" s="56" t="s">
        <v>380</v>
      </c>
      <c r="E33" s="57"/>
      <c r="F33" s="58"/>
      <c r="G33" s="54"/>
      <c r="H33" s="59"/>
      <c r="I33" s="59" t="n">
        <v>40</v>
      </c>
      <c r="J33" s="60" t="n">
        <f aca="false">IF(COUNTA(C33:D33)=0,"",ROUND(SUM(H$7:H33)-SUM(I$7:I33),2))</f>
        <v>1656</v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>الخميس</v>
      </c>
      <c r="C34" s="63" t="n">
        <v>46324</v>
      </c>
      <c r="D34" s="64" t="s">
        <v>63</v>
      </c>
      <c r="E34" s="65" t="n">
        <v>22</v>
      </c>
      <c r="F34" s="66" t="n">
        <v>122</v>
      </c>
      <c r="G34" s="62" t="n">
        <v>0</v>
      </c>
      <c r="H34" s="67"/>
      <c r="I34" s="67" t="n">
        <f aca="false">ROUND(E34*F34*IF(G34&gt;1,G34,1),2)</f>
        <v>2684</v>
      </c>
      <c r="J34" s="68" t="n">
        <f aca="false">IF(COUNTA(C34:D34)=0,"",ROUND(SUM(H$7:H34)-SUM(I$7:I34),2))</f>
        <v>-1028</v>
      </c>
      <c r="K34" s="62"/>
      <c r="L34" s="69" t="s">
        <v>263</v>
      </c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  <row r="59" customFormat="false" ht="15" hidden="false" customHeight="false" outlineLevel="0" collapsed="false">
      <c r="B59" s="54" t="str">
        <f aca="false">IF(C59="","",CHOOSE(WEEKDAY(C59),"الأحد","الاثنين","الثلاثاء","الأربعاء","الخميس","الجمعة","السبت"))</f>
        <v/>
      </c>
      <c r="C59" s="70"/>
      <c r="D59" s="56"/>
      <c r="E59" s="71"/>
      <c r="F59" s="72"/>
      <c r="G59" s="73"/>
      <c r="H59" s="74"/>
      <c r="I59" s="74"/>
      <c r="J59" s="60" t="str">
        <f aca="false">IF(COUNTA(C59:D59)=0,"",ROUND(SUM(H$7:H59)-SUM(I$7:I59),2))</f>
        <v/>
      </c>
      <c r="K59" s="54"/>
      <c r="L59" s="56"/>
    </row>
    <row r="60" customFormat="false" ht="15" hidden="false" customHeight="false" outlineLevel="0" collapsed="false">
      <c r="B60" s="62" t="str">
        <f aca="false">IF(C60="","",CHOOSE(WEEKDAY(C60),"الأحد","الاثنين","الثلاثاء","الأربعاء","الخميس","الجمعة","السبت"))</f>
        <v/>
      </c>
      <c r="C60" s="70"/>
      <c r="D60" s="64"/>
      <c r="E60" s="71"/>
      <c r="F60" s="72"/>
      <c r="G60" s="73"/>
      <c r="H60" s="74"/>
      <c r="I60" s="74"/>
      <c r="J60" s="68" t="str">
        <f aca="false">IF(COUNTA(C60:D60)=0,"",ROUND(SUM(H$7:H60)-SUM(I$7:I60),2))</f>
        <v/>
      </c>
      <c r="K60" s="62"/>
      <c r="L60" s="64"/>
    </row>
    <row r="61" customFormat="false" ht="15" hidden="false" customHeight="false" outlineLevel="0" collapsed="false">
      <c r="B61" s="54" t="str">
        <f aca="false">IF(C61="","",CHOOSE(WEEKDAY(C61),"الأحد","الاثنين","الثلاثاء","الأربعاء","الخميس","الجمعة","السبت"))</f>
        <v/>
      </c>
      <c r="C61" s="70"/>
      <c r="D61" s="56"/>
      <c r="E61" s="71"/>
      <c r="F61" s="72"/>
      <c r="G61" s="73"/>
      <c r="H61" s="74"/>
      <c r="I61" s="74"/>
      <c r="J61" s="60" t="str">
        <f aca="false">IF(COUNTA(C61:D61)=0,"",ROUND(SUM(H$7:H61)-SUM(I$7:I61),2))</f>
        <v/>
      </c>
      <c r="K61" s="54"/>
      <c r="L61" s="56"/>
    </row>
    <row r="62" customFormat="false" ht="15" hidden="false" customHeight="false" outlineLevel="0" collapsed="false">
      <c r="B62" s="62" t="str">
        <f aca="false">IF(C62="","",CHOOSE(WEEKDAY(C62),"الأحد","الاثنين","الثلاثاء","الأربعاء","الخميس","الجمعة","السبت"))</f>
        <v/>
      </c>
      <c r="C62" s="70"/>
      <c r="D62" s="64"/>
      <c r="E62" s="71"/>
      <c r="F62" s="72"/>
      <c r="G62" s="73"/>
      <c r="H62" s="74"/>
      <c r="I62" s="74"/>
      <c r="J62" s="68" t="str">
        <f aca="false">IF(COUNTA(C62:D62)=0,"",ROUND(SUM(H$7:H62)-SUM(I$7:I62),2))</f>
        <v/>
      </c>
      <c r="K62" s="62"/>
      <c r="L62" s="64"/>
    </row>
    <row r="63" customFormat="false" ht="15" hidden="false" customHeight="false" outlineLevel="0" collapsed="false">
      <c r="B63" s="54" t="str">
        <f aca="false">IF(C63="","",CHOOSE(WEEKDAY(C63),"الأحد","الاثنين","الثلاثاء","الأربعاء","الخميس","الجمعة","السبت"))</f>
        <v/>
      </c>
      <c r="C63" s="70"/>
      <c r="D63" s="56"/>
      <c r="E63" s="71"/>
      <c r="F63" s="72"/>
      <c r="G63" s="73"/>
      <c r="H63" s="74"/>
      <c r="I63" s="74"/>
      <c r="J63" s="60" t="str">
        <f aca="false">IF(COUNTA(C63:D63)=0,"",ROUND(SUM(H$7:H63)-SUM(I$7:I63),2))</f>
        <v/>
      </c>
      <c r="K63" s="54"/>
      <c r="L63" s="56"/>
    </row>
    <row r="64" customFormat="false" ht="15" hidden="false" customHeight="false" outlineLevel="0" collapsed="false">
      <c r="B64" s="62" t="str">
        <f aca="false">IF(C64="","",CHOOSE(WEEKDAY(C64),"الأحد","الاثنين","الثلاثاء","الأربعاء","الخميس","الجمعة","السبت"))</f>
        <v/>
      </c>
      <c r="C64" s="70"/>
      <c r="D64" s="64"/>
      <c r="E64" s="71"/>
      <c r="F64" s="72"/>
      <c r="G64" s="73"/>
      <c r="H64" s="74"/>
      <c r="I64" s="74"/>
      <c r="J64" s="68" t="str">
        <f aca="false">IF(COUNTA(C64:D64)=0,"",ROUND(SUM(H$7:H64)-SUM(I$7:I64),2))</f>
        <v/>
      </c>
      <c r="K64" s="62"/>
      <c r="L64" s="64"/>
    </row>
    <row r="65" customFormat="false" ht="15" hidden="false" customHeight="false" outlineLevel="0" collapsed="false">
      <c r="B65" s="54" t="str">
        <f aca="false">IF(C65="","",CHOOSE(WEEKDAY(C65),"الأحد","الاثنين","الثلاثاء","الأربعاء","الخميس","الجمعة","السبت"))</f>
        <v/>
      </c>
      <c r="C65" s="70"/>
      <c r="D65" s="56"/>
      <c r="E65" s="71"/>
      <c r="F65" s="72"/>
      <c r="G65" s="73"/>
      <c r="H65" s="74"/>
      <c r="I65" s="74"/>
      <c r="J65" s="60" t="str">
        <f aca="false">IF(COUNTA(C65:D65)=0,"",ROUND(SUM(H$7:H65)-SUM(I$7:I65),2))</f>
        <v/>
      </c>
      <c r="K65" s="54"/>
      <c r="L65" s="56"/>
    </row>
    <row r="66" customFormat="false" ht="15" hidden="false" customHeight="false" outlineLevel="0" collapsed="false">
      <c r="B66" s="62" t="str">
        <f aca="false">IF(C66="","",CHOOSE(WEEKDAY(C66),"الأحد","الاثنين","الثلاثاء","الأربعاء","الخميس","الجمعة","السبت"))</f>
        <v/>
      </c>
      <c r="C66" s="70"/>
      <c r="D66" s="64"/>
      <c r="E66" s="71"/>
      <c r="F66" s="72"/>
      <c r="G66" s="73"/>
      <c r="H66" s="74"/>
      <c r="I66" s="74"/>
      <c r="J66" s="68" t="str">
        <f aca="false">IF(COUNTA(C66:D66)=0,"",ROUND(SUM(H$7:H66)-SUM(I$7:I66),2))</f>
        <v/>
      </c>
      <c r="K66" s="62"/>
      <c r="L66" s="64"/>
    </row>
    <row r="67" customFormat="false" ht="15" hidden="false" customHeight="false" outlineLevel="0" collapsed="false">
      <c r="B67" s="54" t="str">
        <f aca="false">IF(C67="","",CHOOSE(WEEKDAY(C67),"الأحد","الاثنين","الثلاثاء","الأربعاء","الخميس","الجمعة","السبت"))</f>
        <v/>
      </c>
      <c r="C67" s="70"/>
      <c r="D67" s="56"/>
      <c r="E67" s="71"/>
      <c r="F67" s="72"/>
      <c r="G67" s="73"/>
      <c r="H67" s="74"/>
      <c r="I67" s="74"/>
      <c r="J67" s="60" t="str">
        <f aca="false">IF(COUNTA(C67:D67)=0,"",ROUND(SUM(H$7:H67)-SUM(I$7:I67),2))</f>
        <v/>
      </c>
      <c r="K67" s="54"/>
      <c r="L67" s="56"/>
    </row>
    <row r="68" customFormat="false" ht="15" hidden="false" customHeight="false" outlineLevel="0" collapsed="false">
      <c r="B68" s="62" t="str">
        <f aca="false">IF(C68="","",CHOOSE(WEEKDAY(C68),"الأحد","الاثنين","الثلاثاء","الأربعاء","الخميس","الجمعة","السبت"))</f>
        <v/>
      </c>
      <c r="C68" s="70"/>
      <c r="D68" s="64"/>
      <c r="E68" s="71"/>
      <c r="F68" s="72"/>
      <c r="G68" s="73"/>
      <c r="H68" s="74"/>
      <c r="I68" s="74"/>
      <c r="J68" s="68" t="str">
        <f aca="false">IF(COUNTA(C68:D68)=0,"",ROUND(SUM(H$7:H68)-SUM(I$7:I68),2))</f>
        <v/>
      </c>
      <c r="K68" s="62"/>
      <c r="L68" s="64"/>
    </row>
    <row r="69" customFormat="false" ht="15" hidden="false" customHeight="false" outlineLevel="0" collapsed="false">
      <c r="B69" s="54" t="str">
        <f aca="false">IF(C69="","",CHOOSE(WEEKDAY(C69),"الأحد","الاثنين","الثلاثاء","الأربعاء","الخميس","الجمعة","السبت"))</f>
        <v/>
      </c>
      <c r="C69" s="70"/>
      <c r="D69" s="56"/>
      <c r="E69" s="71"/>
      <c r="F69" s="72"/>
      <c r="G69" s="73"/>
      <c r="H69" s="74"/>
      <c r="I69" s="74"/>
      <c r="J69" s="60" t="str">
        <f aca="false">IF(COUNTA(C69:D69)=0,"",ROUND(SUM(H$7:H69)-SUM(I$7:I69),2))</f>
        <v/>
      </c>
      <c r="K69" s="54"/>
      <c r="L69" s="56"/>
    </row>
    <row r="70" customFormat="false" ht="15" hidden="false" customHeight="false" outlineLevel="0" collapsed="false">
      <c r="B70" s="62" t="str">
        <f aca="false">IF(C70="","",CHOOSE(WEEKDAY(C70),"الأحد","الاثنين","الثلاثاء","الأربعاء","الخميس","الجمعة","السبت"))</f>
        <v/>
      </c>
      <c r="C70" s="70"/>
      <c r="D70" s="64"/>
      <c r="E70" s="71"/>
      <c r="F70" s="72"/>
      <c r="G70" s="73"/>
      <c r="H70" s="74"/>
      <c r="I70" s="74"/>
      <c r="J70" s="68" t="str">
        <f aca="false">IF(COUNTA(C70:D70)=0,"",ROUND(SUM(H$7:H70)-SUM(I$7:I70),2))</f>
        <v/>
      </c>
      <c r="K70" s="62"/>
      <c r="L70" s="64"/>
    </row>
    <row r="71" customFormat="false" ht="15" hidden="false" customHeight="false" outlineLevel="0" collapsed="false">
      <c r="B71" s="54" t="str">
        <f aca="false">IF(C71="","",CHOOSE(WEEKDAY(C71),"الأحد","الاثنين","الثلاثاء","الأربعاء","الخميس","الجمعة","السبت"))</f>
        <v/>
      </c>
      <c r="C71" s="70"/>
      <c r="D71" s="56"/>
      <c r="E71" s="71"/>
      <c r="F71" s="72"/>
      <c r="G71" s="73"/>
      <c r="H71" s="74"/>
      <c r="I71" s="74"/>
      <c r="J71" s="60" t="str">
        <f aca="false">IF(COUNTA(C71:D71)=0,"",ROUND(SUM(H$7:H71)-SUM(I$7:I71),2))</f>
        <v/>
      </c>
      <c r="K71" s="54"/>
      <c r="L71" s="56"/>
    </row>
    <row r="72" customFormat="false" ht="15" hidden="false" customHeight="false" outlineLevel="0" collapsed="false">
      <c r="B72" s="62" t="str">
        <f aca="false">IF(C72="","",CHOOSE(WEEKDAY(C72),"الأحد","الاثنين","الثلاثاء","الأربعاء","الخميس","الجمعة","السبت"))</f>
        <v/>
      </c>
      <c r="C72" s="70"/>
      <c r="D72" s="64"/>
      <c r="E72" s="71"/>
      <c r="F72" s="72"/>
      <c r="G72" s="73"/>
      <c r="H72" s="74"/>
      <c r="I72" s="74"/>
      <c r="J72" s="68" t="str">
        <f aca="false">IF(COUNTA(C72:D72)=0,"",ROUND(SUM(H$7:H72)-SUM(I$7:I72),2))</f>
        <v/>
      </c>
      <c r="K72" s="62"/>
      <c r="L72" s="64"/>
    </row>
    <row r="73" customFormat="false" ht="15" hidden="false" customHeight="false" outlineLevel="0" collapsed="false">
      <c r="B73" s="54" t="str">
        <f aca="false">IF(C73="","",CHOOSE(WEEKDAY(C73),"الأحد","الاثنين","الثلاثاء","الأربعاء","الخميس","الجمعة","السبت"))</f>
        <v/>
      </c>
      <c r="C73" s="70"/>
      <c r="D73" s="56"/>
      <c r="E73" s="71"/>
      <c r="F73" s="72"/>
      <c r="G73" s="73"/>
      <c r="H73" s="74"/>
      <c r="I73" s="74"/>
      <c r="J73" s="60" t="str">
        <f aca="false">IF(COUNTA(C73:D73)=0,"",ROUND(SUM(H$7:H73)-SUM(I$7:I73),2))</f>
        <v/>
      </c>
      <c r="K73" s="54"/>
      <c r="L73" s="56"/>
    </row>
    <row r="74" customFormat="false" ht="15" hidden="false" customHeight="false" outlineLevel="0" collapsed="false">
      <c r="B74" s="62" t="str">
        <f aca="false">IF(C74="","",CHOOSE(WEEKDAY(C74),"الأحد","الاثنين","الثلاثاء","الأربعاء","الخميس","الجمعة","السبت"))</f>
        <v/>
      </c>
      <c r="C74" s="70"/>
      <c r="D74" s="64"/>
      <c r="E74" s="71"/>
      <c r="F74" s="72"/>
      <c r="G74" s="73"/>
      <c r="H74" s="74"/>
      <c r="I74" s="74"/>
      <c r="J74" s="68" t="str">
        <f aca="false">IF(COUNTA(C74:D74)=0,"",ROUND(SUM(H$7:H74)-SUM(I$7:I74),2))</f>
        <v/>
      </c>
      <c r="K74" s="62"/>
      <c r="L74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382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46299</v>
      </c>
      <c r="E4" s="48" t="n">
        <f aca="false">IF(COUNT(C7:C1000)=0,"",MAX(C7:C1000))</f>
        <v>46317</v>
      </c>
      <c r="F4" s="49" t="n">
        <f aca="false">SUM(H7:H1000)</f>
        <v>4197.5</v>
      </c>
      <c r="G4" s="49" t="n">
        <f aca="false">SUM(I7:I1000)</f>
        <v>4197</v>
      </c>
      <c r="H4" s="50" t="n">
        <f aca="false">ROUND(F4-G4,2)</f>
        <v>0.5</v>
      </c>
      <c r="I4" s="49" t="n">
        <f aca="false">ROUND(SUMPRODUCT((G7:G1000&gt;1)*E7:E1000*F7:F1000*(G7:G1000-1)),2)</f>
        <v>547.5</v>
      </c>
      <c r="J4" s="48" t="n">
        <f aca="false">IF(COUNTIFS(I7:I1000,"&gt;0",E7:E1000,"")=0,"",_xlfn.MAXIFS(C7:C1000,I7:I1000,"&gt;0",E7:E1000,""))</f>
        <v>46317</v>
      </c>
      <c r="K4" s="51" t="str">
        <f aca="false">IF(ABS(H4)&lt;0.01,"مسدد",IF(H4&gt;0,"مستحق علينا","رصيد لنا"))</f>
        <v>مستحق علينا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الأحد</v>
      </c>
      <c r="C7" s="55" t="n">
        <v>46299</v>
      </c>
      <c r="D7" s="56" t="s">
        <v>87</v>
      </c>
      <c r="E7" s="57" t="n">
        <v>195</v>
      </c>
      <c r="F7" s="58" t="n">
        <v>10</v>
      </c>
      <c r="G7" s="54" t="n">
        <v>1.15</v>
      </c>
      <c r="H7" s="59" t="n">
        <f aca="false">ROUND(E7*F7*IF(G7&gt;1,G7,1),2)</f>
        <v>2242.5</v>
      </c>
      <c r="I7" s="59"/>
      <c r="J7" s="60" t="n">
        <f aca="false">IF(COUNTA(C7:D7)=0,"",ROUND(SUM(H$7:H7)-SUM(I$7:I7),2))</f>
        <v>2242.5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46302</v>
      </c>
      <c r="D8" s="64" t="s">
        <v>87</v>
      </c>
      <c r="E8" s="65" t="n">
        <v>170</v>
      </c>
      <c r="F8" s="66" t="n">
        <v>10</v>
      </c>
      <c r="G8" s="62" t="n">
        <v>1.15</v>
      </c>
      <c r="H8" s="67" t="n">
        <f aca="false">ROUND(E8*F8*IF(G8&gt;1,G8,1),2)</f>
        <v>1955</v>
      </c>
      <c r="I8" s="67"/>
      <c r="J8" s="68" t="n">
        <f aca="false">IF(COUNTA(C8:D8)=0,"",ROUND(SUM(H$7:H8)-SUM(I$7:I8),2))</f>
        <v>4197.5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الجمعة</v>
      </c>
      <c r="C9" s="55" t="n">
        <v>46304</v>
      </c>
      <c r="D9" s="56" t="s">
        <v>383</v>
      </c>
      <c r="E9" s="57"/>
      <c r="F9" s="58"/>
      <c r="G9" s="54"/>
      <c r="H9" s="59"/>
      <c r="I9" s="59" t="n">
        <v>500</v>
      </c>
      <c r="J9" s="60" t="n">
        <f aca="false">IF(COUNTA(C9:D9)=0,"",ROUND(SUM(H$7:H9)-SUM(I$7:I9),2))</f>
        <v>3697.5</v>
      </c>
      <c r="K9" s="54" t="s">
        <v>384</v>
      </c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الأحد</v>
      </c>
      <c r="C10" s="63" t="n">
        <v>46306</v>
      </c>
      <c r="D10" s="64" t="s">
        <v>385</v>
      </c>
      <c r="E10" s="65"/>
      <c r="F10" s="66"/>
      <c r="G10" s="62"/>
      <c r="H10" s="67"/>
      <c r="I10" s="67" t="n">
        <v>500</v>
      </c>
      <c r="J10" s="68" t="n">
        <f aca="false">IF(COUNTA(C10:D10)=0,"",ROUND(SUM(H$7:H10)-SUM(I$7:I10),2))</f>
        <v>3197.5</v>
      </c>
      <c r="K10" s="62" t="s">
        <v>386</v>
      </c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الأربعاء</v>
      </c>
      <c r="C11" s="55" t="n">
        <v>46309</v>
      </c>
      <c r="D11" s="56" t="s">
        <v>387</v>
      </c>
      <c r="E11" s="57"/>
      <c r="F11" s="58"/>
      <c r="G11" s="54"/>
      <c r="H11" s="59"/>
      <c r="I11" s="59" t="n">
        <v>500</v>
      </c>
      <c r="J11" s="60" t="n">
        <f aca="false">IF(COUNTA(C11:D11)=0,"",ROUND(SUM(H$7:H11)-SUM(I$7:I11),2))</f>
        <v>2697.5</v>
      </c>
      <c r="K11" s="54" t="s">
        <v>388</v>
      </c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الأحد</v>
      </c>
      <c r="C12" s="63" t="n">
        <v>46313</v>
      </c>
      <c r="D12" s="64" t="s">
        <v>389</v>
      </c>
      <c r="E12" s="65"/>
      <c r="F12" s="66"/>
      <c r="G12" s="62"/>
      <c r="H12" s="67"/>
      <c r="I12" s="67" t="n">
        <v>500</v>
      </c>
      <c r="J12" s="68" t="n">
        <f aca="false">IF(COUNTA(C12:D12)=0,"",ROUND(SUM(H$7:H12)-SUM(I$7:I12),2))</f>
        <v>2197.5</v>
      </c>
      <c r="K12" s="62" t="s">
        <v>390</v>
      </c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الثلاثاء</v>
      </c>
      <c r="C13" s="55" t="n">
        <v>46315</v>
      </c>
      <c r="D13" s="56" t="s">
        <v>391</v>
      </c>
      <c r="E13" s="57"/>
      <c r="F13" s="58"/>
      <c r="G13" s="54"/>
      <c r="H13" s="59"/>
      <c r="I13" s="59" t="n">
        <v>500</v>
      </c>
      <c r="J13" s="60" t="n">
        <f aca="false">IF(COUNTA(C13:D13)=0,"",ROUND(SUM(H$7:H13)-SUM(I$7:I13),2))</f>
        <v>1697.5</v>
      </c>
      <c r="K13" s="54" t="s">
        <v>392</v>
      </c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الخميس</v>
      </c>
      <c r="C14" s="63" t="n">
        <v>46317</v>
      </c>
      <c r="D14" s="64" t="s">
        <v>393</v>
      </c>
      <c r="E14" s="65"/>
      <c r="F14" s="66"/>
      <c r="G14" s="62"/>
      <c r="H14" s="67"/>
      <c r="I14" s="67" t="n">
        <v>1600</v>
      </c>
      <c r="J14" s="68" t="n">
        <f aca="false">IF(COUNTA(C14:D14)=0,"",ROUND(SUM(H$7:H14)-SUM(I$7:I14),2))</f>
        <v>97.5</v>
      </c>
      <c r="K14" s="62" t="s">
        <v>394</v>
      </c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الخميس</v>
      </c>
      <c r="C15" s="55" t="n">
        <v>46317</v>
      </c>
      <c r="D15" s="56" t="s">
        <v>395</v>
      </c>
      <c r="E15" s="57"/>
      <c r="F15" s="58"/>
      <c r="G15" s="54"/>
      <c r="H15" s="59"/>
      <c r="I15" s="59" t="n">
        <v>97</v>
      </c>
      <c r="J15" s="60" t="n">
        <f aca="false">IF(COUNTA(C15:D15)=0,"",ROUND(SUM(H$7:H15)-SUM(I$7:I15),2))</f>
        <v>0.5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396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46312</v>
      </c>
      <c r="E4" s="48" t="n">
        <f aca="false">IF(COUNT(C7:C1000)=0,"",MAX(C7:C1000))</f>
        <v>46321</v>
      </c>
      <c r="F4" s="49" t="n">
        <f aca="false">SUM(H7:H1000)</f>
        <v>4140</v>
      </c>
      <c r="G4" s="49" t="n">
        <f aca="false">SUM(I7:I1000)</f>
        <v>4140</v>
      </c>
      <c r="H4" s="50" t="n">
        <f aca="false">ROUND(F4-G4,2)</f>
        <v>0</v>
      </c>
      <c r="I4" s="49" t="n">
        <f aca="false">ROUND(SUMPRODUCT((G7:G1000&gt;1)*E7:E1000*F7:F1000*(G7:G1000-1)),2)</f>
        <v>540</v>
      </c>
      <c r="J4" s="48" t="n">
        <f aca="false">IF(COUNTIFS(I7:I1000,"&gt;0",E7:E1000,"")=0,"",_xlfn.MAXIFS(C7:C1000,I7:I1000,"&gt;0",E7:E1000,""))</f>
        <v>46321</v>
      </c>
      <c r="K4" s="51" t="str">
        <f aca="false">IF(ABS(H4)&lt;0.01,"مسدد",IF(H4&gt;0,"مستحق علينا","رصيد لنا"))</f>
        <v>مسدد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السبت</v>
      </c>
      <c r="C7" s="55" t="n">
        <v>46312</v>
      </c>
      <c r="D7" s="56" t="s">
        <v>88</v>
      </c>
      <c r="E7" s="57" t="n">
        <v>72</v>
      </c>
      <c r="F7" s="58" t="n">
        <v>50</v>
      </c>
      <c r="G7" s="54" t="n">
        <v>1.15</v>
      </c>
      <c r="H7" s="59" t="n">
        <f aca="false">ROUND(E7*F7*IF(G7&gt;1,G7,1),2)</f>
        <v>4140</v>
      </c>
      <c r="I7" s="59"/>
      <c r="J7" s="60" t="n">
        <f aca="false">IF(COUNTA(C7:D7)=0,"",ROUND(SUM(H$7:H7)-SUM(I$7:I7),2))</f>
        <v>4140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الاثنين</v>
      </c>
      <c r="C8" s="63" t="n">
        <v>46314</v>
      </c>
      <c r="D8" s="64" t="s">
        <v>397</v>
      </c>
      <c r="E8" s="65"/>
      <c r="F8" s="66"/>
      <c r="G8" s="62"/>
      <c r="H8" s="67"/>
      <c r="I8" s="67" t="n">
        <v>1000</v>
      </c>
      <c r="J8" s="68" t="n">
        <f aca="false">IF(COUNTA(C8:D8)=0,"",ROUND(SUM(H$7:H8)-SUM(I$7:I8),2))</f>
        <v>3140</v>
      </c>
      <c r="K8" s="62" t="s">
        <v>398</v>
      </c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الأربعاء</v>
      </c>
      <c r="C9" s="55" t="n">
        <v>46316</v>
      </c>
      <c r="D9" s="56" t="s">
        <v>399</v>
      </c>
      <c r="E9" s="57"/>
      <c r="F9" s="58"/>
      <c r="G9" s="54"/>
      <c r="H9" s="59"/>
      <c r="I9" s="59" t="n">
        <v>1000</v>
      </c>
      <c r="J9" s="60" t="n">
        <f aca="false">IF(COUNTA(C9:D9)=0,"",ROUND(SUM(H$7:H9)-SUM(I$7:I9),2))</f>
        <v>2140</v>
      </c>
      <c r="K9" s="54" t="s">
        <v>400</v>
      </c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الجمعة</v>
      </c>
      <c r="C10" s="63" t="n">
        <v>46318</v>
      </c>
      <c r="D10" s="64" t="s">
        <v>401</v>
      </c>
      <c r="E10" s="65"/>
      <c r="F10" s="66"/>
      <c r="G10" s="62"/>
      <c r="H10" s="67"/>
      <c r="I10" s="67" t="n">
        <v>1000</v>
      </c>
      <c r="J10" s="68" t="n">
        <f aca="false">IF(COUNTA(C10:D10)=0,"",ROUND(SUM(H$7:H10)-SUM(I$7:I10),2))</f>
        <v>1140</v>
      </c>
      <c r="K10" s="62" t="s">
        <v>402</v>
      </c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الأحد</v>
      </c>
      <c r="C11" s="55" t="n">
        <v>46320</v>
      </c>
      <c r="D11" s="56" t="s">
        <v>403</v>
      </c>
      <c r="E11" s="57"/>
      <c r="F11" s="58"/>
      <c r="G11" s="54"/>
      <c r="H11" s="59"/>
      <c r="I11" s="59" t="n">
        <v>1000</v>
      </c>
      <c r="J11" s="60" t="n">
        <f aca="false">IF(COUNTA(C11:D11)=0,"",ROUND(SUM(H$7:H11)-SUM(I$7:I11),2))</f>
        <v>140</v>
      </c>
      <c r="K11" s="54" t="s">
        <v>404</v>
      </c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الاثنين</v>
      </c>
      <c r="C12" s="63" t="n">
        <v>46321</v>
      </c>
      <c r="D12" s="64" t="s">
        <v>405</v>
      </c>
      <c r="E12" s="65"/>
      <c r="F12" s="66"/>
      <c r="G12" s="62"/>
      <c r="H12" s="67"/>
      <c r="I12" s="67" t="n">
        <v>140</v>
      </c>
      <c r="J12" s="68" t="n">
        <f aca="false">IF(COUNTA(C12:D12)=0,"",ROUND(SUM(H$7:H12)-SUM(I$7:I12),2))</f>
        <v>0</v>
      </c>
      <c r="K12" s="62" t="s">
        <v>406</v>
      </c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407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249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250</v>
      </c>
      <c r="C3" s="46"/>
      <c r="D3" s="3" t="s">
        <v>251</v>
      </c>
      <c r="E3" s="3" t="s">
        <v>252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253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46304</v>
      </c>
      <c r="E4" s="48" t="n">
        <f aca="false">IF(COUNT(C7:C1000)=0,"",MAX(C7:C1000))</f>
        <v>46306</v>
      </c>
      <c r="F4" s="49" t="n">
        <f aca="false">SUM(H7:H1000)</f>
        <v>2300</v>
      </c>
      <c r="G4" s="49" t="n">
        <f aca="false">SUM(I7:I1000)</f>
        <v>2300</v>
      </c>
      <c r="H4" s="50" t="n">
        <f aca="false">ROUND(F4-G4,2)</f>
        <v>0</v>
      </c>
      <c r="I4" s="49" t="n">
        <f aca="false">ROUND(SUMPRODUCT((G7:G1000&gt;1)*E7:E1000*F7:F1000*(G7:G1000-1)),2)</f>
        <v>300</v>
      </c>
      <c r="J4" s="48" t="n">
        <f aca="false">IF(COUNTIFS(I7:I1000,"&gt;0",E7:E1000,"")=0,"",_xlfn.MAXIFS(C7:C1000,I7:I1000,"&gt;0",E7:E1000,""))</f>
        <v>46306</v>
      </c>
      <c r="K4" s="51" t="str">
        <f aca="false">IF(ABS(H4)&lt;0.01,"مسدد",IF(H4&gt;0,"مستحق علينا","رصيد لنا"))</f>
        <v>مسدد</v>
      </c>
      <c r="L4" s="47"/>
    </row>
    <row r="5" customFormat="false" ht="15" hidden="false" customHeight="false" outlineLevel="0" collapsed="false">
      <c r="B5" s="52" t="s">
        <v>254</v>
      </c>
    </row>
    <row r="6" customFormat="false" ht="31.5" hidden="false" customHeight="true" outlineLevel="0" collapsed="false">
      <c r="B6" s="53" t="s">
        <v>255</v>
      </c>
      <c r="C6" s="53" t="s">
        <v>45</v>
      </c>
      <c r="D6" s="53" t="s">
        <v>256</v>
      </c>
      <c r="E6" s="53" t="s">
        <v>49</v>
      </c>
      <c r="F6" s="53" t="s">
        <v>50</v>
      </c>
      <c r="G6" s="53" t="s">
        <v>257</v>
      </c>
      <c r="H6" s="53" t="s">
        <v>258</v>
      </c>
      <c r="I6" s="53" t="s">
        <v>259</v>
      </c>
      <c r="J6" s="53" t="s">
        <v>260</v>
      </c>
      <c r="K6" s="53" t="s">
        <v>261</v>
      </c>
      <c r="L6" s="53" t="s">
        <v>262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46304</v>
      </c>
      <c r="D7" s="56" t="s">
        <v>87</v>
      </c>
      <c r="E7" s="57" t="n">
        <v>200</v>
      </c>
      <c r="F7" s="58" t="n">
        <v>10</v>
      </c>
      <c r="G7" s="54" t="n">
        <v>1.15</v>
      </c>
      <c r="H7" s="59" t="n">
        <f aca="false">ROUND(E7*F7*IF(G7&gt;1,G7,1),2)</f>
        <v>2300</v>
      </c>
      <c r="I7" s="59"/>
      <c r="J7" s="60" t="n">
        <f aca="false">IF(COUNTA(C7:D7)=0,"",ROUND(SUM(H$7:H7)-SUM(I$7:I7),2))</f>
        <v>2300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الأحد</v>
      </c>
      <c r="C8" s="63" t="n">
        <v>46306</v>
      </c>
      <c r="D8" s="64" t="s">
        <v>408</v>
      </c>
      <c r="E8" s="65"/>
      <c r="F8" s="66"/>
      <c r="G8" s="62"/>
      <c r="H8" s="67"/>
      <c r="I8" s="67" t="n">
        <v>2300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2026-10-31T08:47:38Z</dcterms:created>
  <dc:creator>openpyxl</dc:creator>
  <dc:description/>
  <dc:language>en-US</dc:language>
  <cp:lastModifiedBy/>
  <dcterms:modified xsi:type="dcterms:W3CDTF">2026-10-31T08:47:51Z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