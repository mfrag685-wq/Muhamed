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0.xml.rels" ContentType="application/vnd.openxmlformats-package.relationships+xml"/>
  <Override PartName="/xl/worksheets/_rels/sheet14.xml.rels" ContentType="application/vnd.openxmlformats-package.relationships+xml"/>
  <Override PartName="/xl/worksheets/_rels/sheet31.xml.rels" ContentType="application/vnd.openxmlformats-package.relationships+xml"/>
  <Override PartName="/xl/worksheets/_rels/sheet12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46.xml.rels" ContentType="application/vnd.openxmlformats-package.relationships+xml"/>
  <Override PartName="/xl/worksheets/_rels/sheet5.xml.rels" ContentType="application/vnd.openxmlformats-package.relationships+xml"/>
  <Override PartName="/xl/worksheets/_rels/sheet34.xml.rels" ContentType="application/vnd.openxmlformats-package.relationship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29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1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35.xml.rels" ContentType="application/vnd.openxmlformats-package.relationships+xml"/>
  <Override PartName="/xl/worksheets/_rels/sheet6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9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" sheetId="1" state="visible" r:id="rId3"/>
    <sheet name="سجل الحركات" sheetId="2" state="visible" r:id="rId4"/>
    <sheet name="تحليل الأصناف" sheetId="3" state="visible" r:id="rId5"/>
    <sheet name="مطابقة المقاصات" sheetId="4" state="visible" r:id="rId6"/>
    <sheet name="ملاحظات التدقيق" sheetId="5" state="visible" r:id="rId7"/>
    <sheet name="محمد زبون" sheetId="6" state="visible" r:id="rId8"/>
    <sheet name="فضل" sheetId="7" state="visible" r:id="rId9"/>
    <sheet name="قصي جابر" sheetId="8" state="visible" r:id="rId10"/>
    <sheet name="مصنع امداد" sheetId="9" state="visible" r:id="rId11"/>
    <sheet name="هارون" sheetId="10" state="visible" r:id="rId12"/>
    <sheet name="مجني" sheetId="11" state="visible" r:id="rId13"/>
    <sheet name="علاء" sheetId="12" state="visible" r:id="rId14"/>
    <sheet name="مامون بنغالي" sheetId="13" state="visible" r:id="rId15"/>
    <sheet name="عرب بركات" sheetId="14" state="visible" r:id="rId16"/>
    <sheet name="ابو احمد السوري" sheetId="15" state="visible" r:id="rId17"/>
    <sheet name="هشام ناجي" sheetId="16" state="visible" r:id="rId18"/>
    <sheet name="عصام المصري" sheetId="17" state="visible" r:id="rId19"/>
    <sheet name="الحساني" sheetId="18" state="visible" r:id="rId20"/>
    <sheet name="سليم يمني" sheetId="19" state="visible" r:id="rId21"/>
    <sheet name="ناصر اكرم" sheetId="20" state="visible" r:id="rId22"/>
    <sheet name="مدحت تركي" sheetId="21" state="visible" r:id="rId23"/>
    <sheet name="امين بنغالي" sheetId="22" state="visible" r:id="rId24"/>
    <sheet name="محمود الساعي" sheetId="23" state="visible" r:id="rId25"/>
    <sheet name="سليمان اليمني" sheetId="24" state="visible" r:id="rId26"/>
    <sheet name="كامل" sheetId="25" state="visible" r:id="rId27"/>
    <sheet name="امجد" sheetId="26" state="visible" r:id="rId28"/>
    <sheet name="الكعبي كاش" sheetId="27" state="visible" r:id="rId29"/>
    <sheet name="الكعبي حوالة" sheetId="28" state="visible" r:id="rId30"/>
    <sheet name="محمد عادل" sheetId="29" state="visible" r:id="rId31"/>
    <sheet name="فيض الكرم" sheetId="30" state="visible" r:id="rId32"/>
    <sheet name="سامر اليمني" sheetId="31" state="visible" r:id="rId33"/>
    <sheet name="صلاح الصعيدي" sheetId="32" state="visible" r:id="rId34"/>
    <sheet name="نور بنغالي" sheetId="33" state="visible" r:id="rId35"/>
    <sheet name="طيبات العصر" sheetId="34" state="visible" r:id="rId36"/>
    <sheet name="محيط دلتا" sheetId="35" state="visible" r:id="rId37"/>
    <sheet name="ابوعجاج" sheetId="36" state="visible" r:id="rId38"/>
    <sheet name="ماجد بسطة" sheetId="37" state="visible" r:id="rId39"/>
    <sheet name="سليم بنغالي" sheetId="38" state="visible" r:id="rId40"/>
    <sheet name="التخصص الذهبي" sheetId="39" state="visible" r:id="rId41"/>
    <sheet name="عبدالرحمن قدري" sheetId="40" state="visible" r:id="rId42"/>
    <sheet name="محسن" sheetId="41" state="visible" r:id="rId43"/>
    <sheet name="انعام" sheetId="42" state="visible" r:id="rId44"/>
    <sheet name="طلال القبيشي" sheetId="43" state="visible" r:id="rId45"/>
    <sheet name="عبدالرحمن زبون" sheetId="44" state="visible" r:id="rId46"/>
    <sheet name="متجر منافس" sheetId="45" state="visible" r:id="rId47"/>
    <sheet name="نقاوة بلس" sheetId="46" state="visible" r:id="rId48"/>
    <sheet name="بلال بنغالي" sheetId="47" state="visible" r:id="rId49"/>
    <sheet name="الجيزاني" sheetId="48" state="visible" r:id="rId50"/>
  </sheets>
  <definedNames>
    <definedName function="false" hidden="false" localSheetId="14" name="_xlnm.Print_Area" vbProcedure="false">'ابو احمد السوري'!$B$1:$L$19</definedName>
    <definedName function="false" hidden="false" localSheetId="14" name="_xlnm.Print_Titles" vbProcedure="false">'ابو احمد السوري'!$6:$6</definedName>
    <definedName function="false" hidden="false" localSheetId="35" name="_xlnm.Print_Area" vbProcedure="false">ابوعجاج!$B$1:$L$13</definedName>
    <definedName function="false" hidden="false" localSheetId="35" name="_xlnm.Print_Titles" vbProcedure="false">ابوعجاج!$6:$6</definedName>
    <definedName function="false" hidden="false" localSheetId="38" name="_xlnm.Print_Area" vbProcedure="false">'التخصص الذهبي'!$B$1:$L$51</definedName>
    <definedName function="false" hidden="false" localSheetId="38" name="_xlnm.Print_Titles" vbProcedure="false">'التخصص الذهبي'!$6:$6</definedName>
    <definedName function="false" hidden="false" localSheetId="47" name="_xlnm.Print_Area" vbProcedure="false">الجيزاني!$B$1:$L$9</definedName>
    <definedName function="false" hidden="false" localSheetId="47" name="_xlnm.Print_Titles" vbProcedure="false">الجيزاني!$6:$6</definedName>
    <definedName function="false" hidden="false" localSheetId="17" name="_xlnm.Print_Area" vbProcedure="false">الحساني!$B$1:$L$9</definedName>
    <definedName function="false" hidden="false" localSheetId="17" name="_xlnm.Print_Titles" vbProcedure="false">الحساني!$6:$6</definedName>
    <definedName function="false" hidden="false" localSheetId="27" name="_xlnm.Print_Area" vbProcedure="false">'الكعبي حوالة'!$B$1:$L$15</definedName>
    <definedName function="false" hidden="false" localSheetId="27" name="_xlnm.Print_Titles" vbProcedure="false">'الكعبي حوالة'!$6:$6</definedName>
    <definedName function="false" hidden="false" localSheetId="26" name="_xlnm.Print_Area" vbProcedure="false">'الكعبي كاش'!$B$1:$L$17</definedName>
    <definedName function="false" hidden="false" localSheetId="26" name="_xlnm.Print_Titles" vbProcedure="false">'الكعبي كاش'!$6:$6</definedName>
    <definedName function="false" hidden="false" localSheetId="0" name="_xlnm.Print_Area" vbProcedure="false">الملخص!$A$1:$K$52</definedName>
    <definedName function="false" hidden="true" localSheetId="0" name="_xlnm._FilterDatabase" vbProcedure="false">الملخص!$A$8:$K$51</definedName>
    <definedName function="false" hidden="false" localSheetId="25" name="_xlnm.Print_Area" vbProcedure="false">امجد!$B$1:$L$10</definedName>
    <definedName function="false" hidden="false" localSheetId="25" name="_xlnm.Print_Titles" vbProcedure="false">امجد!$6:$6</definedName>
    <definedName function="false" hidden="false" localSheetId="21" name="_xlnm.Print_Area" vbProcedure="false">'امين بنغالي'!$B$1:$L$19</definedName>
    <definedName function="false" hidden="false" localSheetId="21" name="_xlnm.Print_Titles" vbProcedure="false">'امين بنغالي'!$6:$6</definedName>
    <definedName function="false" hidden="false" localSheetId="41" name="_xlnm.Print_Area" vbProcedure="false">انعام!$B$1:$L$8</definedName>
    <definedName function="false" hidden="false" localSheetId="41" name="_xlnm.Print_Titles" vbProcedure="false">انعام!$6:$6</definedName>
    <definedName function="false" hidden="false" localSheetId="46" name="_xlnm.Print_Area" vbProcedure="false">'بلال بنغالي'!$B$1:$L$13</definedName>
    <definedName function="false" hidden="false" localSheetId="46" name="_xlnm.Print_Titles" vbProcedure="false">'بلال بنغالي'!$6:$6</definedName>
    <definedName function="false" hidden="false" localSheetId="30" name="_xlnm.Print_Area" vbProcedure="false">'سامر اليمني'!$B$1:$L$15</definedName>
    <definedName function="false" hidden="false" localSheetId="30" name="_xlnm.Print_Titles" vbProcedure="false">'سامر اليمني'!$6:$6</definedName>
    <definedName function="false" hidden="true" localSheetId="1" name="_xlnm._FilterDatabase" vbProcedure="false">'سجل الحركات'!$A$3:$K$323</definedName>
    <definedName function="false" hidden="false" localSheetId="37" name="_xlnm.Print_Area" vbProcedure="false">'سليم بنغالي'!$B$1:$L$24</definedName>
    <definedName function="false" hidden="false" localSheetId="37" name="_xlnm.Print_Titles" vbProcedure="false">'سليم بنغالي'!$6:$6</definedName>
    <definedName function="false" hidden="false" localSheetId="18" name="_xlnm.Print_Area" vbProcedure="false">'سليم يمني'!$B$1:$L$9</definedName>
    <definedName function="false" hidden="false" localSheetId="18" name="_xlnm.Print_Titles" vbProcedure="false">'سليم يمني'!$6:$6</definedName>
    <definedName function="false" hidden="false" localSheetId="23" name="_xlnm.Print_Area" vbProcedure="false">'سليمان اليمني'!$B$1:$L$9</definedName>
    <definedName function="false" hidden="false" localSheetId="23" name="_xlnm.Print_Titles" vbProcedure="false">'سليمان اليمني'!$6:$6</definedName>
    <definedName function="false" hidden="false" localSheetId="31" name="_xlnm.Print_Area" vbProcedure="false">'صلاح الصعيدي'!$B$1:$L$15</definedName>
    <definedName function="false" hidden="false" localSheetId="31" name="_xlnm.Print_Titles" vbProcedure="false">'صلاح الصعيدي'!$6:$6</definedName>
    <definedName function="false" hidden="false" localSheetId="42" name="_xlnm.Print_Area" vbProcedure="false">'طلال القبيشي'!$B$1:$L$12</definedName>
    <definedName function="false" hidden="false" localSheetId="42" name="_xlnm.Print_Titles" vbProcedure="false">'طلال القبيشي'!$6:$6</definedName>
    <definedName function="false" hidden="false" localSheetId="33" name="_xlnm.Print_Area" vbProcedure="false">'طيبات العصر'!$B$1:$L$15</definedName>
    <definedName function="false" hidden="false" localSheetId="33" name="_xlnm.Print_Titles" vbProcedure="false">'طيبات العصر'!$6:$6</definedName>
    <definedName function="false" hidden="false" localSheetId="43" name="_xlnm.Print_Area" vbProcedure="false">'عبدالرحمن زبون'!$B$1:$L$8</definedName>
    <definedName function="false" hidden="false" localSheetId="43" name="_xlnm.Print_Titles" vbProcedure="false">'عبدالرحمن زبون'!$6:$6</definedName>
    <definedName function="false" hidden="false" localSheetId="39" name="_xlnm.Print_Area" vbProcedure="false">'عبدالرحمن قدري'!$B$1:$L$11</definedName>
    <definedName function="false" hidden="false" localSheetId="39" name="_xlnm.Print_Titles" vbProcedure="false">'عبدالرحمن قدري'!$6:$6</definedName>
    <definedName function="false" hidden="false" localSheetId="13" name="_xlnm.Print_Area" vbProcedure="false">'عرب بركات'!$B$1:$L$9</definedName>
    <definedName function="false" hidden="false" localSheetId="13" name="_xlnm.Print_Titles" vbProcedure="false">'عرب بركات'!$6:$6</definedName>
    <definedName function="false" hidden="false" localSheetId="16" name="_xlnm.Print_Area" vbProcedure="false">'عصام المصري'!$B$1:$L$14</definedName>
    <definedName function="false" hidden="false" localSheetId="16" name="_xlnm.Print_Titles" vbProcedure="false">'عصام المصري'!$6:$6</definedName>
    <definedName function="false" hidden="false" localSheetId="11" name="_xlnm.Print_Area" vbProcedure="false">علاء!$B$1:$L$18</definedName>
    <definedName function="false" hidden="false" localSheetId="11" name="_xlnm.Print_Titles" vbProcedure="false">علاء!$6:$6</definedName>
    <definedName function="false" hidden="false" localSheetId="6" name="_xlnm.Print_Area" vbProcedure="false">فضل!$B$1:$L$9</definedName>
    <definedName function="false" hidden="false" localSheetId="6" name="_xlnm.Print_Titles" vbProcedure="false">فضل!$6:$6</definedName>
    <definedName function="false" hidden="false" localSheetId="29" name="_xlnm.Print_Area" vbProcedure="false">'فيض الكرم'!$B$1:$L$11</definedName>
    <definedName function="false" hidden="false" localSheetId="29" name="_xlnm.Print_Titles" vbProcedure="false">'فيض الكرم'!$6:$6</definedName>
    <definedName function="false" hidden="false" localSheetId="7" name="_xlnm.Print_Area" vbProcedure="false">'قصي جابر'!$B$1:$L$16</definedName>
    <definedName function="false" hidden="false" localSheetId="7" name="_xlnm.Print_Titles" vbProcedure="false">'قصي جابر'!$6:$6</definedName>
    <definedName function="false" hidden="false" localSheetId="24" name="_xlnm.Print_Area" vbProcedure="false">كامل!$B$1:$L$8</definedName>
    <definedName function="false" hidden="false" localSheetId="24" name="_xlnm.Print_Titles" vbProcedure="false">كامل!$6:$6</definedName>
    <definedName function="false" hidden="false" localSheetId="36" name="_xlnm.Print_Area" vbProcedure="false">'ماجد بسطة'!$B$1:$L$15</definedName>
    <definedName function="false" hidden="false" localSheetId="36" name="_xlnm.Print_Titles" vbProcedure="false">'ماجد بسطة'!$6:$6</definedName>
    <definedName function="false" hidden="false" localSheetId="12" name="_xlnm.Print_Area" vbProcedure="false">'مامون بنغالي'!$B$1:$L$9</definedName>
    <definedName function="false" hidden="false" localSheetId="12" name="_xlnm.Print_Titles" vbProcedure="false">'مامون بنغالي'!$6:$6</definedName>
    <definedName function="false" hidden="false" localSheetId="44" name="_xlnm.Print_Area" vbProcedure="false">'متجر منافس'!$B$1:$L$22</definedName>
    <definedName function="false" hidden="false" localSheetId="44" name="_xlnm.Print_Titles" vbProcedure="false">'متجر منافس'!$6:$6</definedName>
    <definedName function="false" hidden="false" localSheetId="10" name="_xlnm.Print_Area" vbProcedure="false">مجني!$B$1:$L$9</definedName>
    <definedName function="false" hidden="false" localSheetId="10" name="_xlnm.Print_Titles" vbProcedure="false">مجني!$6:$6</definedName>
    <definedName function="false" hidden="false" localSheetId="40" name="_xlnm.Print_Area" vbProcedure="false">محسن!$B$1:$L$9</definedName>
    <definedName function="false" hidden="false" localSheetId="40" name="_xlnm.Print_Titles" vbProcedure="false">محسن!$6:$6</definedName>
    <definedName function="false" hidden="false" localSheetId="5" name="_xlnm.Print_Area" vbProcedure="false">'محمد زبون'!$B$1:$L$19</definedName>
    <definedName function="false" hidden="false" localSheetId="5" name="_xlnm.Print_Titles" vbProcedure="false">'محمد زبون'!$6:$6</definedName>
    <definedName function="false" hidden="false" localSheetId="28" name="_xlnm.Print_Area" vbProcedure="false">'محمد عادل'!$B$1:$L$18</definedName>
    <definedName function="false" hidden="false" localSheetId="28" name="_xlnm.Print_Titles" vbProcedure="false">'محمد عادل'!$6:$6</definedName>
    <definedName function="false" hidden="false" localSheetId="22" name="_xlnm.Print_Area" vbProcedure="false">'محمود الساعي'!$B$1:$L$11</definedName>
    <definedName function="false" hidden="false" localSheetId="22" name="_xlnm.Print_Titles" vbProcedure="false">'محمود الساعي'!$6:$6</definedName>
    <definedName function="false" hidden="false" localSheetId="34" name="_xlnm.Print_Area" vbProcedure="false">'محيط دلتا'!$B$1:$L$15</definedName>
    <definedName function="false" hidden="false" localSheetId="34" name="_xlnm.Print_Titles" vbProcedure="false">'محيط دلتا'!$6:$6</definedName>
    <definedName function="false" hidden="false" localSheetId="20" name="_xlnm.Print_Area" vbProcedure="false">'مدحت تركي'!$B$1:$L$8</definedName>
    <definedName function="false" hidden="false" localSheetId="20" name="_xlnm.Print_Titles" vbProcedure="false">'مدحت تركي'!$6:$6</definedName>
    <definedName function="false" hidden="false" localSheetId="8" name="_xlnm.Print_Area" vbProcedure="false">'مصنع امداد'!$B$1:$L$12</definedName>
    <definedName function="false" hidden="false" localSheetId="8" name="_xlnm.Print_Titles" vbProcedure="false">'مصنع امداد'!$6:$6</definedName>
    <definedName function="false" hidden="true" localSheetId="4" name="_xlnm._FilterDatabase" vbProcedure="false">'ملاحظات التدقيق'!$A$4:$H$52</definedName>
    <definedName function="false" hidden="false" localSheetId="19" name="_xlnm.Print_Area" vbProcedure="false">'ناصر اكرم'!$B$1:$L$14</definedName>
    <definedName function="false" hidden="false" localSheetId="19" name="_xlnm.Print_Titles" vbProcedure="false">'ناصر اكرم'!$6:$6</definedName>
    <definedName function="false" hidden="false" localSheetId="45" name="_xlnm.Print_Area" vbProcedure="false">'نقاوة بلس'!$B$1:$L$23</definedName>
    <definedName function="false" hidden="false" localSheetId="45" name="_xlnm.Print_Titles" vbProcedure="false">'نقاوة بلس'!$6:$6</definedName>
    <definedName function="false" hidden="false" localSheetId="32" name="_xlnm.Print_Area" vbProcedure="false">'نور بنغالي'!$B$1:$L$27</definedName>
    <definedName function="false" hidden="false" localSheetId="32" name="_xlnm.Print_Titles" vbProcedure="false">'نور بنغالي'!$6:$6</definedName>
    <definedName function="false" hidden="false" localSheetId="9" name="_xlnm.Print_Area" vbProcedure="false">هارون!$B$1:$L$9</definedName>
    <definedName function="false" hidden="false" localSheetId="9" name="_xlnm.Print_Titles" vbProcedure="false">هارون!$6:$6</definedName>
    <definedName function="false" hidden="false" localSheetId="15" name="_xlnm.Print_Area" vbProcedure="false">'هشام ناجي'!$B$1:$L$15</definedName>
    <definedName function="false" hidden="false" localSheetId="15" name="_xlnm.Print_Titles" vbProcedure="false">'هشام ناجي'!$6:$6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<sst xmlns="http://schemas.openxmlformats.org/spreadsheetml/2006/main" count="2792" uniqueCount="396">
  <si>
    <t xml:space="preserve">ملخص أرصدة العملاء</t>
  </si>
  <si>
    <t xml:space="preserve">كل الأرقام معادلات مرتبطة بالكشوف — اضغط اسم الحساب للانتقال إلى كشفه. تاريخ التدقيق: 31/10/2026</t>
  </si>
  <si>
    <t xml:space="preserve">عدد الحسابات</t>
  </si>
  <si>
    <t xml:space="preserve">إجمالي المبيعات</t>
  </si>
  <si>
    <t xml:space="preserve">إجمالي المحصّل والخصومات</t>
  </si>
  <si>
    <t xml:space="preserve">صافي المستحق لنا</t>
  </si>
  <si>
    <t xml:space="preserve">حسابات عليها رصيد</t>
  </si>
  <si>
    <t xml:space="preserve">ملاحظات تدقيق</t>
  </si>
  <si>
    <t xml:space="preserve">#</t>
  </si>
  <si>
    <t xml:space="preserve">الحساب</t>
  </si>
  <si>
    <t xml:space="preserve">عدد الحركات</t>
  </si>
  <si>
    <t xml:space="preserve">إجمالي المدين</t>
  </si>
  <si>
    <t xml:space="preserve">إجمالي الدائن</t>
  </si>
  <si>
    <t xml:space="preserve">الرصيد</t>
  </si>
  <si>
    <t xml:space="preserve">ضريبة القيمة المضافة</t>
  </si>
  <si>
    <t xml:space="preserve">أول حركة</t>
  </si>
  <si>
    <t xml:space="preserve">آخر حركة</t>
  </si>
  <si>
    <t xml:space="preserve">آخر سداد</t>
  </si>
  <si>
    <t xml:space="preserve">الحالة</t>
  </si>
  <si>
    <t xml:space="preserve">محمد زبون</t>
  </si>
  <si>
    <t xml:space="preserve">فضل</t>
  </si>
  <si>
    <t xml:space="preserve">قصي جابر</t>
  </si>
  <si>
    <t xml:space="preserve">مصنع امداد</t>
  </si>
  <si>
    <t xml:space="preserve">هارون</t>
  </si>
  <si>
    <t xml:space="preserve">ثمار مجني</t>
  </si>
  <si>
    <t xml:space="preserve">علاء</t>
  </si>
  <si>
    <t xml:space="preserve">مامون بنغالي</t>
  </si>
  <si>
    <t xml:space="preserve">عرب بركات</t>
  </si>
  <si>
    <t xml:space="preserve">أبو احمد السوري</t>
  </si>
  <si>
    <t xml:space="preserve">هشام ناجي</t>
  </si>
  <si>
    <t xml:space="preserve">عصام المصري</t>
  </si>
  <si>
    <t xml:space="preserve">الحساني</t>
  </si>
  <si>
    <t xml:space="preserve">سليم يمني</t>
  </si>
  <si>
    <t xml:space="preserve">ناصر اكرم</t>
  </si>
  <si>
    <t xml:space="preserve">مدحت تركي</t>
  </si>
  <si>
    <t xml:space="preserve">امين بنغالي</t>
  </si>
  <si>
    <t xml:space="preserve">محمود الساعي</t>
  </si>
  <si>
    <t xml:space="preserve">سليمان اليمني</t>
  </si>
  <si>
    <t xml:space="preserve">كامل</t>
  </si>
  <si>
    <t xml:space="preserve">امجد</t>
  </si>
  <si>
    <t xml:space="preserve">الكعبي كاش</t>
  </si>
  <si>
    <t xml:space="preserve">الكعبي حوالة</t>
  </si>
  <si>
    <t xml:space="preserve">محمد عادل</t>
  </si>
  <si>
    <t xml:space="preserve">فيض الكرم</t>
  </si>
  <si>
    <t xml:space="preserve">سامر اليمني</t>
  </si>
  <si>
    <t xml:space="preserve">صلاح الصعيدي</t>
  </si>
  <si>
    <t xml:space="preserve">نور بنغالي</t>
  </si>
  <si>
    <t xml:space="preserve">طيبات العصر</t>
  </si>
  <si>
    <t xml:space="preserve">محيط دلتا</t>
  </si>
  <si>
    <t xml:space="preserve">أبو عجاج</t>
  </si>
  <si>
    <t xml:space="preserve">ماجد بسطه</t>
  </si>
  <si>
    <t xml:space="preserve">سليم بنغالي</t>
  </si>
  <si>
    <t xml:space="preserve">التخصص الذهبي</t>
  </si>
  <si>
    <t xml:space="preserve">عبدالرحمن قدري</t>
  </si>
  <si>
    <t xml:space="preserve">محسن</t>
  </si>
  <si>
    <t xml:space="preserve">انعام</t>
  </si>
  <si>
    <t xml:space="preserve">طلال القبيشي</t>
  </si>
  <si>
    <t xml:space="preserve">عبدالرحمن زبون</t>
  </si>
  <si>
    <t xml:space="preserve">متجر منافس</t>
  </si>
  <si>
    <t xml:space="preserve">نقاوة بلس</t>
  </si>
  <si>
    <t xml:space="preserve">بلال بنغالي</t>
  </si>
  <si>
    <t xml:space="preserve">الجيزاني</t>
  </si>
  <si>
    <t xml:space="preserve">الإجمالي</t>
  </si>
  <si>
    <t xml:space="preserve">سجل الحركات الموحّد — كل الحسابات (مرتبط بالكشوف)</t>
  </si>
  <si>
    <t xml:space="preserve">كل خانة هنا معادلة تقرأ من الكشف الأصلي؛ أي تعديل في الكشوف ينعكس هنا. الحركات الجديدة المضافة لاحقاً في الكشوف لا تظهر هنا تلقائياً.</t>
  </si>
  <si>
    <t xml:space="preserve">التاريخ</t>
  </si>
  <si>
    <t xml:space="preserve">البيان</t>
  </si>
  <si>
    <t xml:space="preserve">الصنف الموحد</t>
  </si>
  <si>
    <t xml:space="preserve">نوع الحركة</t>
  </si>
  <si>
    <t xml:space="preserve">العدد</t>
  </si>
  <si>
    <t xml:space="preserve">السعر</t>
  </si>
  <si>
    <t xml:space="preserve">قبل الضريبة</t>
  </si>
  <si>
    <t xml:space="preserve">الضريبة</t>
  </si>
  <si>
    <t xml:space="preserve">مدين</t>
  </si>
  <si>
    <t xml:space="preserve">دائن</t>
  </si>
  <si>
    <t xml:space="preserve">تفاح سلة</t>
  </si>
  <si>
    <t xml:space="preserve">بضاعة</t>
  </si>
  <si>
    <t xml:space="preserve">رمان وسط</t>
  </si>
  <si>
    <t xml:space="preserve">سداد</t>
  </si>
  <si>
    <t xml:space="preserve">افندي</t>
  </si>
  <si>
    <t xml:space="preserve">فراولة</t>
  </si>
  <si>
    <t xml:space="preserve">بخاره تركي</t>
  </si>
  <si>
    <t xml:space="preserve">افوكادو</t>
  </si>
  <si>
    <t xml:space="preserve">مقاصة</t>
  </si>
  <si>
    <t xml:space="preserve">كيوي</t>
  </si>
  <si>
    <t xml:space="preserve">كاكا لبناني</t>
  </si>
  <si>
    <t xml:space="preserve">بخارة تركي</t>
  </si>
  <si>
    <t xml:space="preserve">رمان مصري</t>
  </si>
  <si>
    <t xml:space="preserve">بخارة صحن</t>
  </si>
  <si>
    <t xml:space="preserve">عنب مشكل</t>
  </si>
  <si>
    <t xml:space="preserve">كمثري عكاظ</t>
  </si>
  <si>
    <t xml:space="preserve">تفاح سوري</t>
  </si>
  <si>
    <t xml:space="preserve">بطاطا</t>
  </si>
  <si>
    <t xml:space="preserve">تفاح احمر</t>
  </si>
  <si>
    <t xml:space="preserve">تفاح ابيض</t>
  </si>
  <si>
    <t xml:space="preserve">تفاح اخضر</t>
  </si>
  <si>
    <t xml:space="preserve">خصم</t>
  </si>
  <si>
    <t xml:space="preserve">عنب تركي</t>
  </si>
  <si>
    <t xml:space="preserve">حوالة</t>
  </si>
  <si>
    <t xml:space="preserve">عنب لبناني</t>
  </si>
  <si>
    <t xml:space="preserve">كمثري صحن</t>
  </si>
  <si>
    <t xml:space="preserve">نكتارين وزن</t>
  </si>
  <si>
    <t xml:space="preserve">رمان</t>
  </si>
  <si>
    <t xml:space="preserve">تفاح</t>
  </si>
  <si>
    <t xml:space="preserve">نكتارين علبة</t>
  </si>
  <si>
    <t xml:space="preserve">كعك علبة</t>
  </si>
  <si>
    <t xml:space="preserve">خوخ</t>
  </si>
  <si>
    <t xml:space="preserve">خوخ علبة</t>
  </si>
  <si>
    <t xml:space="preserve">عنب اسود</t>
  </si>
  <si>
    <t xml:space="preserve">نكتارين</t>
  </si>
  <si>
    <t xml:space="preserve">بضاعة (عكسي)</t>
  </si>
  <si>
    <t xml:space="preserve">جزر صيني</t>
  </si>
  <si>
    <t xml:space="preserve">افندي تركي</t>
  </si>
  <si>
    <t xml:space="preserve">جريب فروت</t>
  </si>
  <si>
    <t xml:space="preserve">اناناس</t>
  </si>
  <si>
    <t xml:space="preserve">اناناس خصم</t>
  </si>
  <si>
    <t xml:space="preserve">رمان خصم</t>
  </si>
  <si>
    <t xml:space="preserve">ليمون تركي</t>
  </si>
  <si>
    <t xml:space="preserve">برتقال عصير</t>
  </si>
  <si>
    <t xml:space="preserve">تحليل المبيعات حسب الصنف</t>
  </si>
  <si>
    <t xml:space="preserve">يشمل حركات البضاعة في الاتجاه الطبيعي فقط (نوع الحركة = بضاعة) من سجل الحركات. الأسماء موحّدة (مثال: نكترين/نكتارين).</t>
  </si>
  <si>
    <t xml:space="preserve">الصنف</t>
  </si>
  <si>
    <t xml:space="preserve">الكمية (صندوق)</t>
  </si>
  <si>
    <t xml:space="preserve">القيمة قبل الضريبة</t>
  </si>
  <si>
    <t xml:space="preserve">متوسط السعر</t>
  </si>
  <si>
    <t xml:space="preserve">أقل سعر</t>
  </si>
  <si>
    <t xml:space="preserve">أعلى سعر</t>
  </si>
  <si>
    <t xml:space="preserve">% من الإجمالي</t>
  </si>
  <si>
    <t xml:space="preserve">مطابقة الحوالات والمقاصات بين ملف الموردين وملف العملاء</t>
  </si>
  <si>
    <t xml:space="preserve">كل سداد تم بحوالة من عميل إلى مورد (أو بمقاصة) يجب أن يُسجَّل بنفس المبلغ في الحسابين. هذه الورقة قيم ثابتة لحظة التدقيق.</t>
  </si>
  <si>
    <t xml:space="preserve">الملف</t>
  </si>
  <si>
    <t xml:space="preserve">المبلغ</t>
  </si>
  <si>
    <t xml:space="preserve">الطرف المقابل</t>
  </si>
  <si>
    <t xml:space="preserve">ملف الطرف المقابل</t>
  </si>
  <si>
    <t xml:space="preserve">تاريخ القيد المقابل</t>
  </si>
  <si>
    <t xml:space="preserve">مبلغ القيد المقابل</t>
  </si>
  <si>
    <t xml:space="preserve">الفرق</t>
  </si>
  <si>
    <t xml:space="preserve">النتيجة</t>
  </si>
  <si>
    <t xml:space="preserve">الموردين</t>
  </si>
  <si>
    <t xml:space="preserve">البشري</t>
  </si>
  <si>
    <t xml:space="preserve">مقاصه مع رجب</t>
  </si>
  <si>
    <t xml:space="preserve">رجب</t>
  </si>
  <si>
    <t xml:space="preserve">-</t>
  </si>
  <si>
    <t xml:space="preserve">لا يوجد قيد مقاصة مقابل في حساب "رجب المصري" (إن كان هو المقصود)</t>
  </si>
  <si>
    <t xml:space="preserve">جبار البيشي</t>
  </si>
  <si>
    <t xml:space="preserve">مقاصه مع صادق مكه</t>
  </si>
  <si>
    <t xml:space="preserve">صادق مكه</t>
  </si>
  <si>
    <t xml:space="preserve">لا يوجد حساب للطرف المقابل في الملفين</t>
  </si>
  <si>
    <t xml:space="preserve">حوالة نقاوة بلس</t>
  </si>
  <si>
    <t xml:space="preserve">العملاء</t>
  </si>
  <si>
    <t xml:space="preserve">فرق في المبلغ</t>
  </si>
  <si>
    <t xml:space="preserve">سداد حوالة مجني</t>
  </si>
  <si>
    <t xml:space="preserve">مطابق المبلغ — فرق تاريخ 1 يوم</t>
  </si>
  <si>
    <t xml:space="preserve">سداد حوالة مصنع امداد</t>
  </si>
  <si>
    <t xml:space="preserve">سداد فاتورة مصنع امداد افوكادو مقاصه</t>
  </si>
  <si>
    <t xml:space="preserve">مطابق</t>
  </si>
  <si>
    <t xml:space="preserve">سداد مقاصه مع فاتورة أبو عجاج رمان</t>
  </si>
  <si>
    <t xml:space="preserve">عبر الإقليم</t>
  </si>
  <si>
    <t xml:space="preserve">سداد حوالة محيط دلتا</t>
  </si>
  <si>
    <t xml:space="preserve">سداد حوالة محيط دلتا /12871</t>
  </si>
  <si>
    <t xml:space="preserve">حوالة الحساني</t>
  </si>
  <si>
    <t xml:space="preserve">حوالة بنكية محمد عادل</t>
  </si>
  <si>
    <t xml:space="preserve">حوالة بنكية نقاوة بلس</t>
  </si>
  <si>
    <t xml:space="preserve">حوالة بنكية محمود الساعي</t>
  </si>
  <si>
    <t xml:space="preserve">ملاحظات التدقيق والتصحيحات — ملف العملاء</t>
  </si>
  <si>
    <t xml:space="preserve">عالية = تؤثر على الرصيد وتحتاج متابعة فورية · متوسطة = خطأ تسجيل صُحح أو يحتاج تأكيد · منخفضة = تنسيق/هيكلة. عمود "القيمة الأصلية" يحفظ ما كان في الملف قبل التعديل.</t>
  </si>
  <si>
    <t xml:space="preserve">عالية</t>
  </si>
  <si>
    <t xml:space="preserve">متوسطة</t>
  </si>
  <si>
    <t xml:space="preserve">منخفضة</t>
  </si>
  <si>
    <t xml:space="preserve">الخلية/الصف</t>
  </si>
  <si>
    <t xml:space="preserve">الخطورة</t>
  </si>
  <si>
    <t xml:space="preserve">التصنيف</t>
  </si>
  <si>
    <t xml:space="preserve">الملاحظة</t>
  </si>
  <si>
    <t xml:space="preserve">القيمة الأصلية</t>
  </si>
  <si>
    <t xml:space="preserve">الإجراء المتخذ</t>
  </si>
  <si>
    <t xml:space="preserve">مطابقة</t>
  </si>
  <si>
    <t xml:space="preserve">مطابقة المقاصات</t>
  </si>
  <si>
    <t xml:space="preserve">جبار البيشي (الموردين) 09/10: "مقاصه مع صادق مكه" بمبلغ 8,935.50 — لا يوجد حساب للطرف المقابل في الملفين</t>
  </si>
  <si>
    <t xml:space="preserve">يرجى المطابقة مع الطرف وتصحيح أحد القيدين</t>
  </si>
  <si>
    <t xml:space="preserve">جبار البيشي (الموردين) 13/10: "حوالة نقاوة بلس" بمبلغ 5,037.00 — فرق في المبلغ (المسجل عند نقاوة بلس: 3,450.00، الفرق 1,587.00)</t>
  </si>
  <si>
    <t xml:space="preserve">البشري (الموردين) 08/10: "مقاصه مع رجب" بمبلغ 2,300.00 — لا يوجد قيد مقاصة مقابل في حساب "رجب المصري" (إن كان هو المقصود)</t>
  </si>
  <si>
    <t xml:space="preserve">اتجاه القيد</t>
  </si>
  <si>
    <t xml:space="preserve">بضاعة مسجلة في الدائن (عكس باقي الحركات) — غالباً بضاعة اشتريناها من هذا العميل أو مرتجع. أُبقيت كما هي؛ يرجى التأكيد.</t>
  </si>
  <si>
    <t xml:space="preserve">افوكادو 1140</t>
  </si>
  <si>
    <t xml:space="preserve">بدون تغيير</t>
  </si>
  <si>
    <t xml:space="preserve">فراولة 1200</t>
  </si>
  <si>
    <t xml:space="preserve">فراولة 2340</t>
  </si>
  <si>
    <t xml:space="preserve">سداد مسجل في المدين — يعني دفعة دفعناها لهذا العميل (مقابل بضاعة اشتريناها منه) . أُبقي كما هو؛ يرجى التأكيد.</t>
  </si>
  <si>
    <t xml:space="preserve">سداد دفعة 850</t>
  </si>
  <si>
    <t xml:space="preserve">سداد 150</t>
  </si>
  <si>
    <t xml:space="preserve">تم خصم من سليم 30</t>
  </si>
  <si>
    <t xml:space="preserve">اناناس خصم 375</t>
  </si>
  <si>
    <t xml:space="preserve">رمان خصم 14</t>
  </si>
  <si>
    <t xml:space="preserve">عام</t>
  </si>
  <si>
    <t xml:space="preserve">تكرار حساب</t>
  </si>
  <si>
    <t xml:space="preserve">"عبدالرحمن قدري" له حساب في ملف الموردين وملف العملاء معاً — يُنصح بمتابعة صافي الرصيد بين الحسابين</t>
  </si>
  <si>
    <t xml:space="preserve">C4:C6</t>
  </si>
  <si>
    <t xml:space="preserve">تواريخ</t>
  </si>
  <si>
    <t xml:space="preserve">3 تاريخ مخزّن بالخطأ (Excel قلب اليوم والشهر فأصبحت التواريخ في أشهر أخرى من السنة). التصحيح تم بمطابقة اسم اليوم. أمثلة (المخزّن←الصحيح): 10/02←02/10، 10/03←03/10، 10/08←08/10</t>
  </si>
  <si>
    <t xml:space="preserve">3 خلية</t>
  </si>
  <si>
    <t xml:space="preserve">صُححت كلها إلى أكتوبر 2026</t>
  </si>
  <si>
    <t xml:space="preserve">C4:C7</t>
  </si>
  <si>
    <t xml:space="preserve">4 تاريخ مخزّن بالخطأ (Excel قلب اليوم والشهر فأصبحت التواريخ في أشهر أخرى من السنة). التصحيح تم بمطابقة اسم اليوم. أمثلة (المخزّن←الصحيح): 10/03←03/10، 10/05←05/10، 10/05←05/10، 10/05←05/10</t>
  </si>
  <si>
    <t xml:space="preserve">4 خلية</t>
  </si>
  <si>
    <t xml:space="preserve">مجني</t>
  </si>
  <si>
    <t xml:space="preserve">C4:C4</t>
  </si>
  <si>
    <t xml:space="preserve">1 تاريخ مخزّن بالخطأ (Excel قلب اليوم والشهر فأصبحت التواريخ في أشهر أخرى من السنة). التصحيح تم بمطابقة اسم اليوم. أمثلة (المخزّن←الصحيح): 10/02←02/10</t>
  </si>
  <si>
    <t xml:space="preserve">1 خلية</t>
  </si>
  <si>
    <t xml:space="preserve">ابو احمد السوري</t>
  </si>
  <si>
    <t xml:space="preserve">C4:C5</t>
  </si>
  <si>
    <t xml:space="preserve">2 تاريخ مخزّن بالخطأ (Excel قلب اليوم والشهر فأصبحت التواريخ في أشهر أخرى من السنة). التصحيح تم بمطابقة اسم اليوم. أمثلة (المخزّن←الصحيح): 10/03←03/10، 10/03←03/10</t>
  </si>
  <si>
    <t xml:space="preserve">2 خلية</t>
  </si>
  <si>
    <t xml:space="preserve">2 تاريخ مخزّن بالخطأ (Excel قلب اليوم والشهر فأصبحت التواريخ في أشهر أخرى من السنة). التصحيح تم بمطابقة اسم اليوم. أمثلة (المخزّن←الصحيح): 10/12←12/10، 10/12←12/10</t>
  </si>
  <si>
    <t xml:space="preserve">C4:C8</t>
  </si>
  <si>
    <t xml:space="preserve">5 تاريخ مخزّن بالخطأ (Excel قلب اليوم والشهر فأصبحت التواريخ في أشهر أخرى من السنة). التصحيح تم بمطابقة اسم اليوم. أمثلة (المخزّن←الصحيح): 10/03←03/10، 10/04←04/10، 10/08←08/10، 10/08←08/10…</t>
  </si>
  <si>
    <t xml:space="preserve">5 خلية</t>
  </si>
  <si>
    <t xml:space="preserve">C5:C7</t>
  </si>
  <si>
    <t xml:space="preserve">3 تاريخ مخزّن بالخطأ (Excel قلب اليوم والشهر فأصبحت التواريخ في أشهر أخرى من السنة). التصحيح تم بمطابقة اسم اليوم. أمثلة (المخزّن←الصحيح): 10/12←12/10، 10/12←12/10، 10/12←12/10</t>
  </si>
  <si>
    <t xml:space="preserve">1 تاريخ مخزّن بالخطأ (Excel قلب اليوم والشهر فأصبحت التواريخ في أشهر أخرى من السنة). التصحيح تم بمطابقة اسم اليوم. أمثلة (المخزّن←الصحيح): 10/12←12/10</t>
  </si>
  <si>
    <t xml:space="preserve">C5:C5</t>
  </si>
  <si>
    <t xml:space="preserve">1 تاريخ مخزّن بالخطأ (Excel قلب اليوم والشهر فأصبحت التواريخ في أشهر أخرى من السنة). التصحيح تم بمطابقة اسم اليوم. أمثلة (المخزّن←الصحيح): 10/11←11/10</t>
  </si>
  <si>
    <t xml:space="preserve">4 تاريخ مخزّن بالخطأ (Excel قلب اليوم والشهر فأصبحت التواريخ في أشهر أخرى من السنة). التصحيح تم بمطابقة اسم اليوم. أمثلة (المخزّن←الصحيح): 10/04←04/10، 10/07←07/10، 10/08←08/10، 10/12←12/10</t>
  </si>
  <si>
    <t xml:space="preserve">5 تاريخ مخزّن بالخطأ (Excel قلب اليوم والشهر فأصبحت التواريخ في أشهر أخرى من السنة). التصحيح تم بمطابقة اسم اليوم. أمثلة (المخزّن←الصحيح): 10/04←04/10، 10/06←06/10، 10/06←06/10، 10/06←06/10…</t>
  </si>
  <si>
    <t xml:space="preserve">C4:C10</t>
  </si>
  <si>
    <t xml:space="preserve">7 تاريخ مخزّن بالخطأ (Excel قلب اليوم والشهر فأصبحت التواريخ في أشهر أخرى من السنة). التصحيح تم بمطابقة اسم اليوم. أمثلة (المخزّن←الصحيح): 10/02←02/10، 10/02←02/10، 10/02←02/10، 10/02←02/10…</t>
  </si>
  <si>
    <t xml:space="preserve">7 خلية</t>
  </si>
  <si>
    <t xml:space="preserve">ابوعجاج</t>
  </si>
  <si>
    <t xml:space="preserve">4 تاريخ مخزّن بالخطأ (Excel قلب اليوم والشهر فأصبحت التواريخ في أشهر أخرى من السنة). التصحيح تم بمطابقة اسم اليوم. أمثلة (المخزّن←الصحيح): 10/06←06/10، 10/06←06/10، 10/06←06/10، 10/07←07/10</t>
  </si>
  <si>
    <t xml:space="preserve">2 تاريخ مخزّن بالخطأ (Excel قلب اليوم والشهر فأصبحت التواريخ في أشهر أخرى من السنة). التصحيح تم بمطابقة اسم اليوم. أمثلة (المخزّن←الصحيح): 10/08←08/10، 10/09←09/10</t>
  </si>
  <si>
    <t xml:space="preserve">3 تاريخ مخزّن بالخطأ (Excel قلب اليوم والشهر فأصبحت التواريخ في أشهر أخرى من السنة). التصحيح تم بمطابقة اسم اليوم. أمثلة (المخزّن←الصحيح): 10/07←07/10، 10/08←08/10، 10/12←12/10</t>
  </si>
  <si>
    <t xml:space="preserve">3 تاريخ مخزّن بالخطأ (Excel قلب اليوم والشهر فأصبحت التواريخ في أشهر أخرى من السنة). التصحيح تم بمطابقة اسم اليوم. أمثلة (المخزّن←الصحيح): 10/09←09/10، 10/09←09/10، 10/11←11/10</t>
  </si>
  <si>
    <t xml:space="preserve">3 تاريخ مخزّن بالخطأ (Excel قلب اليوم والشهر فأصبحت التواريخ في أشهر أخرى من السنة). التصحيح تم بمطابقة اسم اليوم. أمثلة (المخزّن←الصحيح): 10/08←08/10، 10/09←09/10، 10/12←12/10</t>
  </si>
  <si>
    <t xml:space="preserve">هيكلة</t>
  </si>
  <si>
    <t xml:space="preserve">الورقة بلا عنوان "كشف حساب" والجدول مُزاح صفاً للأعلى (يختلف عن باقي الكشوف)</t>
  </si>
  <si>
    <t xml:space="preserve">أُعيد بناؤها بالقالب الموحد</t>
  </si>
  <si>
    <t xml:space="preserve">B2</t>
  </si>
  <si>
    <t xml:space="preserve">تسمية</t>
  </si>
  <si>
    <t xml:space="preserve">اسم الورقة يختلف عن اسم الحساب في العنوان "ثمار مجني"</t>
  </si>
  <si>
    <t xml:space="preserve">اعتُمد اسم العنوان في الكشف</t>
  </si>
  <si>
    <t xml:space="preserve">C4</t>
  </si>
  <si>
    <t xml:space="preserve">صيغة تاريخ غير سليمة "12//10/2026"</t>
  </si>
  <si>
    <t xml:space="preserve">12//10/2026</t>
  </si>
  <si>
    <t xml:space="preserve">صُححت</t>
  </si>
  <si>
    <t xml:space="preserve">معادلات</t>
  </si>
  <si>
    <t xml:space="preserve">صف إجماليات يدوي خارج الجدول: [('G9', 'الإجمالي'), ('H9', '=SUM(H4:H8)'), ('I9', '=SUM(I4:I8)')]</t>
  </si>
  <si>
    <t xml:space="preserve">استُبدل بلوحة ملخص أعلى الكشف تغطي كل الحركات</t>
  </si>
  <si>
    <t xml:space="preserve">صف إجماليات يدوي خارج الجدول: [('G10', 'الباقي'), ('H10', '=H9-I9')]</t>
  </si>
  <si>
    <t xml:space="preserve">صف إجماليات يدوي خارج الجدول: [('G16', 'الإجمالي'), ('H16', '=SUM(H4:H15)'), ('I16', '=SUM(I4:I15)')]</t>
  </si>
  <si>
    <t xml:space="preserve">صف إجماليات يدوي خارج الجدول: [('G17', 'الباقي'), ('H17', '=H16-I16')]</t>
  </si>
  <si>
    <t xml:space="preserve">H5</t>
  </si>
  <si>
    <t xml:space="preserve">مبلغ مكتوب يدوياً بدل المعادلة</t>
  </si>
  <si>
    <t xml:space="preserve">استُبدل بمعادلة</t>
  </si>
  <si>
    <t xml:space="preserve">صف إجماليات يدوي خارج الجدول: [('G17', 'الإجمالي '), ('H17', '=SUM(H11:H13)')]</t>
  </si>
  <si>
    <t xml:space="preserve">H4</t>
  </si>
  <si>
    <t xml:space="preserve">H10:H47</t>
  </si>
  <si>
    <t xml:space="preserve">28 معادلة تضرب في 1.15 ثابتة بدل خانة الضريبة — تغيير خانة الضريبة لا يؤثر على المبلغ</t>
  </si>
  <si>
    <t xml:space="preserve">E×F×1.15</t>
  </si>
  <si>
    <t xml:space="preserve">وُحدت إلى: العدد×السعر×(الضريبة إن وجدت)</t>
  </si>
  <si>
    <t xml:space="preserve">I18</t>
  </si>
  <si>
    <t xml:space="preserve">H7:H15</t>
  </si>
  <si>
    <t xml:space="preserve">5 معادلة تضرب في 1.15 ثابتة بدل خانة الضريبة — تغيير خانة الضريبة لا يؤثر على المبلغ</t>
  </si>
  <si>
    <t xml:space="preserve">L11</t>
  </si>
  <si>
    <t xml:space="preserve">ملاحظة "لنا" مكتوبة خارج الجدول</t>
  </si>
  <si>
    <t xml:space="preserve">لنا</t>
  </si>
  <si>
    <t xml:space="preserve">نُقلت لعمود الملاحظات</t>
  </si>
  <si>
    <t xml:space="preserve">K8</t>
  </si>
  <si>
    <t xml:space="preserve">ورقة2</t>
  </si>
  <si>
    <t xml:space="preserve">ورقة فارغة بلا بيانات</t>
  </si>
  <si>
    <t xml:space="preserve">حُذفت من الملف</t>
  </si>
  <si>
    <t xml:space="preserve">سليمان اليمني </t>
  </si>
  <si>
    <t xml:space="preserve">اسم الورقة يحتوي مسافة زائدة في آخره</t>
  </si>
  <si>
    <t xml:space="preserve">تم حذف المسافة</t>
  </si>
  <si>
    <t xml:space="preserve">ورقة5</t>
  </si>
  <si>
    <t xml:space="preserve">ورقة1</t>
  </si>
  <si>
    <t xml:space="preserve">كشف حساب — محمد زبون</t>
  </si>
  <si>
    <t xml:space="preserve">حساب عميل — المدين: مبيعات (مستحق لنا) · الدائن: تحصيلات وخصومات</t>
  </si>
  <si>
    <t xml:space="preserve">ملخص</t>
  </si>
  <si>
    <t xml:space="preserve">من تاريخ</t>
  </si>
  <si>
    <t xml:space="preserve">إلى تاريخ</t>
  </si>
  <si>
    <t xml:space="preserve">الخانات الصفراء = إدخال يدوي · باقي الأعمدة معادلات. للإضافة: اكتب في أول صف فارغ.</t>
  </si>
  <si>
    <t xml:space="preserve">← العودة للملخص</t>
  </si>
  <si>
    <t xml:space="preserve">اليوم</t>
  </si>
  <si>
    <t xml:space="preserve">البيان / الصنف</t>
  </si>
  <si>
    <t xml:space="preserve">ضريبة (1.15 أو 0)</t>
  </si>
  <si>
    <t xml:space="preserve">مدين (لنا)</t>
  </si>
  <si>
    <t xml:space="preserve">دائن (محصّل)</t>
  </si>
  <si>
    <t xml:space="preserve">الرصيد التراكمي</t>
  </si>
  <si>
    <t xml:space="preserve">المرجع (سند/فاتورة)</t>
  </si>
  <si>
    <t xml:space="preserve">ملاحظات التدقيق</t>
  </si>
  <si>
    <t xml:space="preserve">خانة الضريبة فارغة</t>
  </si>
  <si>
    <t xml:space="preserve">كشف حساب — فضل</t>
  </si>
  <si>
    <t xml:space="preserve">كشف حساب — قصي جابر</t>
  </si>
  <si>
    <t xml:space="preserve">سداد دفعه</t>
  </si>
  <si>
    <t xml:space="preserve">كشف حساب — مصنع امداد</t>
  </si>
  <si>
    <t xml:space="preserve">سداد مقاصه مع جبار البيشي</t>
  </si>
  <si>
    <t xml:space="preserve">كشف حساب — هارون</t>
  </si>
  <si>
    <t xml:space="preserve">كشف حساب — ثمار مجني</t>
  </si>
  <si>
    <t xml:space="preserve">مقاصة مع جبار البيشي</t>
  </si>
  <si>
    <t xml:space="preserve">كشف حساب — علاء</t>
  </si>
  <si>
    <t xml:space="preserve">كشف حساب — مامون بنغالي</t>
  </si>
  <si>
    <t xml:space="preserve">كشف حساب — عرب بركات</t>
  </si>
  <si>
    <t xml:space="preserve">كشف حساب — أبو احمد السوري</t>
  </si>
  <si>
    <t xml:space="preserve">ملاحظة أصلية: لنا</t>
  </si>
  <si>
    <t xml:space="preserve">كشف حساب — هشام ناجي</t>
  </si>
  <si>
    <t xml:space="preserve">كشف حساب — عصام المصري</t>
  </si>
  <si>
    <t xml:space="preserve">سداد نقدي و تم خصم 10 ريال</t>
  </si>
  <si>
    <t xml:space="preserve">كشف حساب — الحساني</t>
  </si>
  <si>
    <t xml:space="preserve">حوالة ل جبار البيشي</t>
  </si>
  <si>
    <t xml:space="preserve">كشف حساب — سليم يمني</t>
  </si>
  <si>
    <t xml:space="preserve">كشف حساب — ناصر اكرم</t>
  </si>
  <si>
    <t xml:space="preserve">كاكا</t>
  </si>
  <si>
    <t xml:space="preserve">خصم 40</t>
  </si>
  <si>
    <t xml:space="preserve">كشف حساب — مدحت تركي</t>
  </si>
  <si>
    <t xml:space="preserve">كشف حساب — امين بنغالي</t>
  </si>
  <si>
    <t xml:space="preserve">كشف حساب — محمود الساعي</t>
  </si>
  <si>
    <t xml:space="preserve">كشف حساب — سليمان اليمني</t>
  </si>
  <si>
    <t xml:space="preserve">كشف حساب — كامل</t>
  </si>
  <si>
    <t xml:space="preserve">نكترين وزن</t>
  </si>
  <si>
    <t xml:space="preserve">كشف حساب — امجد</t>
  </si>
  <si>
    <t xml:space="preserve">كشف حساب — الكعبي كاش</t>
  </si>
  <si>
    <t xml:space="preserve">نكترين علبة</t>
  </si>
  <si>
    <t xml:space="preserve">سداد نقدي</t>
  </si>
  <si>
    <t xml:space="preserve">كشف حساب — الكعبي حوالة</t>
  </si>
  <si>
    <t xml:space="preserve">كعك علب</t>
  </si>
  <si>
    <t xml:space="preserve">نكتارين علب</t>
  </si>
  <si>
    <t xml:space="preserve">خوخ علب</t>
  </si>
  <si>
    <t xml:space="preserve">كشف حساب — محمد عادل</t>
  </si>
  <si>
    <t xml:space="preserve">حوالة بنكية ل جبار البيشي</t>
  </si>
  <si>
    <t xml:space="preserve">كشف حساب — فيض الكرم</t>
  </si>
  <si>
    <t xml:space="preserve">كشف حساب — سامر اليمني</t>
  </si>
  <si>
    <t xml:space="preserve">سداد دفعة</t>
  </si>
  <si>
    <t xml:space="preserve">سداد دفعة خصم180</t>
  </si>
  <si>
    <t xml:space="preserve">كشف حساب — صلاح الصعيدي</t>
  </si>
  <si>
    <t xml:space="preserve">تحصيل افندي</t>
  </si>
  <si>
    <t xml:space="preserve">تحصيل دفعة</t>
  </si>
  <si>
    <t xml:space="preserve">تحصيل</t>
  </si>
  <si>
    <t xml:space="preserve">كشف حساب — نور بنغالي</t>
  </si>
  <si>
    <t xml:space="preserve">سداد دفعه و تم خصم 10 ريال</t>
  </si>
  <si>
    <t xml:space="preserve">كشف حساب — طيبات العصر</t>
  </si>
  <si>
    <t xml:space="preserve">تحصيل نقدي</t>
  </si>
  <si>
    <t xml:space="preserve">قيد عكسي: يرجى التأكيد</t>
  </si>
  <si>
    <t xml:space="preserve">كشف حساب — محيط دلتا</t>
  </si>
  <si>
    <t xml:space="preserve">سداد مقاصة مع عبر الإقليم</t>
  </si>
  <si>
    <t xml:space="preserve">كشف حساب — أبو عجاج</t>
  </si>
  <si>
    <t xml:space="preserve">سداد مقاصه مع فاتورة جبار البيشي</t>
  </si>
  <si>
    <t xml:space="preserve">سداد سند/0096</t>
  </si>
  <si>
    <t xml:space="preserve">سند 0096</t>
  </si>
  <si>
    <t xml:space="preserve">كشف حساب — ماجد بسطه</t>
  </si>
  <si>
    <t xml:space="preserve">كشف حساب — سليم بنغالي</t>
  </si>
  <si>
    <t xml:space="preserve">سداد فراولة</t>
  </si>
  <si>
    <t xml:space="preserve">تم خصم من سليم</t>
  </si>
  <si>
    <t xml:space="preserve">كشف حساب — التخصص الذهبي</t>
  </si>
  <si>
    <t xml:space="preserve">سداد سند/0536</t>
  </si>
  <si>
    <t xml:space="preserve">سند 0536</t>
  </si>
  <si>
    <t xml:space="preserve">سداد سند/0550</t>
  </si>
  <si>
    <t xml:space="preserve">سند 0550</t>
  </si>
  <si>
    <t xml:space="preserve">سداد سند/0100</t>
  </si>
  <si>
    <t xml:space="preserve">سند 0100</t>
  </si>
  <si>
    <t xml:space="preserve">سداد سند/0099</t>
  </si>
  <si>
    <t xml:space="preserve">سند 0099</t>
  </si>
  <si>
    <t xml:space="preserve">سداد سند/0069</t>
  </si>
  <si>
    <t xml:space="preserve">سند 0069</t>
  </si>
  <si>
    <t xml:space="preserve">سداد سند/0097</t>
  </si>
  <si>
    <t xml:space="preserve">سند 0097</t>
  </si>
  <si>
    <t xml:space="preserve">سداد سند/0095</t>
  </si>
  <si>
    <t xml:space="preserve">سند 0095</t>
  </si>
  <si>
    <t xml:space="preserve">سداد سند/0094</t>
  </si>
  <si>
    <t xml:space="preserve">سند 0094</t>
  </si>
  <si>
    <t xml:space="preserve">سداد سند/0093</t>
  </si>
  <si>
    <t xml:space="preserve">سند 0093</t>
  </si>
  <si>
    <t xml:space="preserve">سداد سند/0092</t>
  </si>
  <si>
    <t xml:space="preserve">سند 0092</t>
  </si>
  <si>
    <t xml:space="preserve">سداد سند/0091</t>
  </si>
  <si>
    <t xml:space="preserve">سند 0091</t>
  </si>
  <si>
    <t xml:space="preserve">تم خصم 3 ريال</t>
  </si>
  <si>
    <t xml:space="preserve">سداد سند/0250</t>
  </si>
  <si>
    <t xml:space="preserve">سند 0250</t>
  </si>
  <si>
    <t xml:space="preserve">كشف حساب — عبدالرحمن قدري</t>
  </si>
  <si>
    <t xml:space="preserve">تم خصم 1 صندوق</t>
  </si>
  <si>
    <t xml:space="preserve">كشف حساب — محسن</t>
  </si>
  <si>
    <t xml:space="preserve">كشف حساب — انعام</t>
  </si>
  <si>
    <t xml:space="preserve">كشف حساب — طلال القبيشي</t>
  </si>
  <si>
    <t xml:space="preserve">كشف حساب — عبدالرحمن زبون</t>
  </si>
  <si>
    <t xml:space="preserve">كشف حساب — متجر منافس</t>
  </si>
  <si>
    <t xml:space="preserve">سداد رمان مصري</t>
  </si>
  <si>
    <t xml:space="preserve">سداد تالف 1 صندوق</t>
  </si>
  <si>
    <t xml:space="preserve">سداد تالف 2 صندوق</t>
  </si>
  <si>
    <t xml:space="preserve">كشف حساب — نقاوة بلس</t>
  </si>
  <si>
    <t xml:space="preserve">سداد حوالة</t>
  </si>
  <si>
    <t xml:space="preserve">ليمون</t>
  </si>
  <si>
    <t xml:space="preserve">سداد حوالة دفعة لجبار</t>
  </si>
  <si>
    <t xml:space="preserve">حوالة لجبار البيشي</t>
  </si>
  <si>
    <t xml:space="preserve">كشف حساب — بلال بنغالي</t>
  </si>
  <si>
    <t xml:space="preserve">سداد رمان</t>
  </si>
  <si>
    <t xml:space="preserve">سداد رمان دفعة</t>
  </si>
  <si>
    <t xml:space="preserve">كشف حساب — الجيزاني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</si>
</sst>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0;[RED]\-#,##0.00;\-"/>
    <numFmt numFmtId="167" formatCode="dd/mm/yyyy"/>
    <numFmt numFmtId="168" formatCode="#,##0"/>
    <numFmt numFmtId="169" formatCode="#,##0.00"/>
    <numFmt numFmtId="170" formatCode="#,##0;[RED]\-#,##0;\-"/>
    <numFmt numFmtId="171" formatCode="0.0%"/>
    <numFmt numFmtId="172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4E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9"/>
      <name val="Arial"/>
      <family val="0"/>
      <charset val="1"/>
    </font>
    <font>
      <b val="true"/>
      <sz val="9"/>
      <color rgb="FFB00020"/>
      <name val="Arial"/>
      <family val="0"/>
      <charset val="1"/>
    </font>
    <font>
      <b val="true"/>
      <sz val="9"/>
      <color rgb="FF1E7B34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10"/>
      <color rgb="FFC77700"/>
      <name val="Arial"/>
      <family val="0"/>
      <charset val="1"/>
    </font>
    <font>
      <b val="true"/>
      <sz val="10"/>
      <color rgb="FF2E7D5B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C77700"/>
      <name val="Arial"/>
      <family val="0"/>
      <charset val="1"/>
    </font>
    <font>
      <b val="true"/>
      <sz val="9"/>
      <color rgb="FF2E7D5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4E3D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1F4E3D"/>
      <name val="Arial"/>
      <family val="0"/>
      <charset val="1"/>
    </font>
    <font>
      <sz val="9"/>
      <color rgb="FFB0002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2E7D5B"/>
        <bgColor rgb="FF1E7B34"/>
      </patternFill>
    </fill>
    <fill>
      <patternFill patternType="solid">
        <fgColor rgb="FFF4F9F6"/>
        <bgColor rgb="FFF7FAF8"/>
      </patternFill>
    </fill>
    <fill>
      <patternFill patternType="solid">
        <fgColor rgb="FFE8F3EE"/>
        <bgColor rgb="FFE6F4EA"/>
      </patternFill>
    </fill>
    <fill>
      <patternFill patternType="solid">
        <fgColor rgb="FFFDECEA"/>
        <bgColor rgb="FFFFF8E1"/>
      </patternFill>
    </fill>
    <fill>
      <patternFill patternType="solid">
        <fgColor rgb="FFFFFFFF"/>
        <bgColor rgb="FFF9F9F9"/>
      </patternFill>
    </fill>
    <fill>
      <patternFill patternType="solid">
        <fgColor rgb="FFF7FAF8"/>
        <bgColor rgb="FFF9F9F9"/>
      </patternFill>
    </fill>
    <fill>
      <patternFill patternType="solid">
        <fgColor rgb="FFFFF8E1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BF"/>
      </left>
      <right style="thin">
        <color rgb="FFB7C9BF"/>
      </right>
      <top style="thin">
        <color rgb="FFB7C9BF"/>
      </top>
      <bottom style="thin">
        <color rgb="FFB7C9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7D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B00020"/>
          <bgColor rgb="FF000000"/>
        </patternFill>
      </fill>
    </dxf>
    <dxf>
      <font>
        <b val="1"/>
        <color rgb="FFB00020"/>
      </font>
      <fill>
        <patternFill>
          <bgColor rgb="FFFDECEA"/>
        </patternFill>
      </fill>
    </dxf>
    <dxf>
      <font>
        <color rgb="FF1E7B34"/>
      </font>
      <fill>
        <patternFill>
          <bgColor rgb="FFE6F4EA"/>
        </patternFill>
      </fill>
    </dxf>
    <dxf>
      <font>
        <b val="1"/>
        <color rgb="FF1565C0"/>
      </font>
    </dxf>
    <dxf>
      <fill>
        <patternFill patternType="solid">
          <fgColor rgb="FF1F4E3D"/>
          <bgColor rgb="FF000000"/>
        </patternFill>
      </fill>
    </dxf>
    <dxf>
      <fill>
        <patternFill patternType="solid">
          <fgColor rgb="FFC77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E7B34"/>
      <rgbColor rgb="FF000080"/>
      <rgbColor rgb="FF808000"/>
      <rgbColor rgb="FF800080"/>
      <rgbColor rgb="FF008080"/>
      <rgbColor rgb="FFB7C9BF"/>
      <rgbColor rgb="FF878787"/>
      <rgbColor rgb="FF9999FF"/>
      <rgbColor rgb="FF993366"/>
      <rgbColor rgb="FFFFF8E1"/>
      <rgbColor rgb="FFE6F4E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E"/>
      <rgbColor rgb="FFF4F9F6"/>
      <rgbColor rgb="FFFDECEA"/>
      <rgbColor rgb="FFF7FAF8"/>
      <rgbColor rgb="FFFF99CC"/>
      <rgbColor rgb="FFCC99FF"/>
      <rgbColor rgb="FFF9F9F9"/>
      <rgbColor rgb="FF1565C0"/>
      <rgbColor rgb="FF33CCCC"/>
      <rgbColor rgb="FF99CC00"/>
      <rgbColor rgb="FFFFCC00"/>
      <rgbColor rgb="FFFF9900"/>
      <rgbColor rgb="FFC77700"/>
      <rgbColor rgb="FF666666"/>
      <rgbColor rgb="FF777777"/>
      <rgbColor rgb="FF003366"/>
      <rgbColor rgb="FF2E7D5B"/>
      <rgbColor rgb="FF003300"/>
      <rgbColor rgb="FF333300"/>
      <rgbColor rgb="FF993300"/>
      <rgbColor rgb="FF993366"/>
      <rgbColor rgb="FF555555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الأرصدة حسب الحساب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الملخص!F8</c:f>
              <c:strCache>
                <c:ptCount val="1"/>
                <c:pt idx="0">
                  <c:v>الرصيد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الملخص!$B$9:$B$51</c:f>
              <c:strCache>
                <c:ptCount val="43"/>
                <c:pt idx="0">
                  <c:v>محمد زبون</c:v>
                </c:pt>
                <c:pt idx="1">
                  <c:v>فضل</c:v>
                </c:pt>
                <c:pt idx="2">
                  <c:v>قصي جابر</c:v>
                </c:pt>
                <c:pt idx="3">
                  <c:v>مصنع امداد</c:v>
                </c:pt>
                <c:pt idx="4">
                  <c:v>هارون</c:v>
                </c:pt>
                <c:pt idx="5">
                  <c:v>ثمار مجني</c:v>
                </c:pt>
                <c:pt idx="6">
                  <c:v>علاء</c:v>
                </c:pt>
                <c:pt idx="7">
                  <c:v>مامون بنغالي</c:v>
                </c:pt>
                <c:pt idx="8">
                  <c:v>عرب بركات</c:v>
                </c:pt>
                <c:pt idx="9">
                  <c:v>أبو احمد السوري</c:v>
                </c:pt>
                <c:pt idx="10">
                  <c:v>هشام ناجي</c:v>
                </c:pt>
                <c:pt idx="11">
                  <c:v>عصام المصري</c:v>
                </c:pt>
                <c:pt idx="12">
                  <c:v>الحساني</c:v>
                </c:pt>
                <c:pt idx="13">
                  <c:v>سليم يمني</c:v>
                </c:pt>
                <c:pt idx="14">
                  <c:v>ناصر اكرم</c:v>
                </c:pt>
                <c:pt idx="15">
                  <c:v>مدحت تركي</c:v>
                </c:pt>
                <c:pt idx="16">
                  <c:v>امين بنغالي</c:v>
                </c:pt>
                <c:pt idx="17">
                  <c:v>محمود الساعي</c:v>
                </c:pt>
                <c:pt idx="18">
                  <c:v>سليمان اليمني</c:v>
                </c:pt>
                <c:pt idx="19">
                  <c:v>كامل</c:v>
                </c:pt>
                <c:pt idx="20">
                  <c:v>امجد</c:v>
                </c:pt>
                <c:pt idx="21">
                  <c:v>الكعبي كاش</c:v>
                </c:pt>
                <c:pt idx="22">
                  <c:v>الكعبي حوالة</c:v>
                </c:pt>
                <c:pt idx="23">
                  <c:v>محمد عادل</c:v>
                </c:pt>
                <c:pt idx="24">
                  <c:v>فيض الكرم</c:v>
                </c:pt>
                <c:pt idx="25">
                  <c:v>سامر اليمني</c:v>
                </c:pt>
                <c:pt idx="26">
                  <c:v>صلاح الصعيدي</c:v>
                </c:pt>
                <c:pt idx="27">
                  <c:v>نور بنغالي</c:v>
                </c:pt>
                <c:pt idx="28">
                  <c:v>طيبات العصر</c:v>
                </c:pt>
                <c:pt idx="29">
                  <c:v>محيط دلتا</c:v>
                </c:pt>
                <c:pt idx="30">
                  <c:v>أبو عجاج</c:v>
                </c:pt>
                <c:pt idx="31">
                  <c:v>ماجد بسطه</c:v>
                </c:pt>
                <c:pt idx="32">
                  <c:v>سليم بنغالي</c:v>
                </c:pt>
                <c:pt idx="33">
                  <c:v>التخصص الذهبي</c:v>
                </c:pt>
                <c:pt idx="34">
                  <c:v>عبدالرحمن قدري</c:v>
                </c:pt>
                <c:pt idx="35">
                  <c:v>محسن</c:v>
                </c:pt>
                <c:pt idx="36">
                  <c:v>انعام</c:v>
                </c:pt>
                <c:pt idx="37">
                  <c:v>طلال القبيشي</c:v>
                </c:pt>
                <c:pt idx="38">
                  <c:v>عبدالرحمن زبون</c:v>
                </c:pt>
                <c:pt idx="39">
                  <c:v>متجر منافس</c:v>
                </c:pt>
                <c:pt idx="40">
                  <c:v>نقاوة بلس</c:v>
                </c:pt>
                <c:pt idx="41">
                  <c:v>بلال بنغالي</c:v>
                </c:pt>
                <c:pt idx="42">
                  <c:v>الجيزاني</c:v>
                </c:pt>
              </c:strCache>
            </c:strRef>
          </c:cat>
          <c:val>
            <c:numRef>
              <c:f>الملخص!$F$9:$F$51</c:f>
              <c:numCache>
                <c:formatCode>#,##0.00;[RED]\-#,##0.00;\-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4620</c:v>
                </c:pt>
                <c:pt idx="3">
                  <c:v>1300</c:v>
                </c:pt>
                <c:pt idx="4">
                  <c:v>1400</c:v>
                </c:pt>
                <c:pt idx="5">
                  <c:v>0</c:v>
                </c:pt>
                <c:pt idx="6">
                  <c:v>1106</c:v>
                </c:pt>
                <c:pt idx="7">
                  <c:v>0</c:v>
                </c:pt>
                <c:pt idx="8">
                  <c:v>6560.75</c:v>
                </c:pt>
                <c:pt idx="9">
                  <c:v>1</c:v>
                </c:pt>
                <c:pt idx="10">
                  <c:v>25</c:v>
                </c:pt>
                <c:pt idx="11">
                  <c:v>1049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1400</c:v>
                </c:pt>
                <c:pt idx="16">
                  <c:v>2455</c:v>
                </c:pt>
                <c:pt idx="17">
                  <c:v>0</c:v>
                </c:pt>
                <c:pt idx="18">
                  <c:v>0</c:v>
                </c:pt>
                <c:pt idx="19">
                  <c:v>568.1</c:v>
                </c:pt>
                <c:pt idx="20">
                  <c:v>0</c:v>
                </c:pt>
                <c:pt idx="21">
                  <c:v>3670</c:v>
                </c:pt>
                <c:pt idx="22">
                  <c:v>7636</c:v>
                </c:pt>
                <c:pt idx="23">
                  <c:v>0.55</c:v>
                </c:pt>
                <c:pt idx="24">
                  <c:v>2</c:v>
                </c:pt>
                <c:pt idx="25">
                  <c:v>5</c:v>
                </c:pt>
                <c:pt idx="26">
                  <c:v>0</c:v>
                </c:pt>
                <c:pt idx="27">
                  <c:v>768</c:v>
                </c:pt>
                <c:pt idx="28">
                  <c:v>-1.5</c:v>
                </c:pt>
                <c:pt idx="29">
                  <c:v>2.36</c:v>
                </c:pt>
                <c:pt idx="30">
                  <c:v>2200</c:v>
                </c:pt>
                <c:pt idx="31">
                  <c:v>324</c:v>
                </c:pt>
                <c:pt idx="32">
                  <c:v>0</c:v>
                </c:pt>
                <c:pt idx="33">
                  <c:v>12743.2</c:v>
                </c:pt>
                <c:pt idx="34">
                  <c:v>0</c:v>
                </c:pt>
                <c:pt idx="35">
                  <c:v>0</c:v>
                </c:pt>
                <c:pt idx="36">
                  <c:v>3018.75</c:v>
                </c:pt>
                <c:pt idx="37">
                  <c:v>1230</c:v>
                </c:pt>
                <c:pt idx="38">
                  <c:v>140</c:v>
                </c:pt>
                <c:pt idx="39">
                  <c:v>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</c:ser>
        <c:gapWidth val="150"/>
        <c:overlap val="0"/>
        <c:axId val="80142860"/>
        <c:axId val="82177431"/>
      </c:barChart>
      <c:catAx>
        <c:axId val="801428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77431"/>
        <c:crosses val="autoZero"/>
        <c:auto val="1"/>
        <c:lblAlgn val="ctr"/>
        <c:lblOffset val="100"/>
        <c:noMultiLvlLbl val="0"/>
      </c:catAx>
      <c:valAx>
        <c:axId val="82177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-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428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أعلى 10 أصناف (الإجمالي)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'تحليل الأصناف'!G3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الأصناف'!$B$4:$B$13</c:f>
              <c:strCache>
                <c:ptCount val="10"/>
                <c:pt idx="0">
                  <c:v>فراولة</c:v>
                </c:pt>
                <c:pt idx="1">
                  <c:v>افندي</c:v>
                </c:pt>
                <c:pt idx="2">
                  <c:v>عنب تركي</c:v>
                </c:pt>
                <c:pt idx="3">
                  <c:v>كيوي</c:v>
                </c:pt>
                <c:pt idx="4">
                  <c:v>رمان وسط</c:v>
                </c:pt>
                <c:pt idx="5">
                  <c:v>كاكا لبناني</c:v>
                </c:pt>
                <c:pt idx="6">
                  <c:v>برتقال عصير</c:v>
                </c:pt>
                <c:pt idx="7">
                  <c:v>رمان مصري</c:v>
                </c:pt>
                <c:pt idx="8">
                  <c:v>ليمون تركي</c:v>
                </c:pt>
                <c:pt idx="9">
                  <c:v>كعك علبة</c:v>
                </c:pt>
              </c:strCache>
            </c:strRef>
          </c:cat>
          <c:val>
            <c:numRef>
              <c:f>'تحليل الأصناف'!$G$4:$G$13</c:f>
              <c:numCache>
                <c:formatCode>#,##0.00;[RED]\-#,##0.00;\-</c:formatCode>
                <c:ptCount val="10"/>
                <c:pt idx="0">
                  <c:v>70494.9</c:v>
                </c:pt>
                <c:pt idx="1">
                  <c:v>29975.5</c:v>
                </c:pt>
                <c:pt idx="2">
                  <c:v>24044.6</c:v>
                </c:pt>
                <c:pt idx="3">
                  <c:v>21377.8</c:v>
                </c:pt>
                <c:pt idx="4">
                  <c:v>19013.3</c:v>
                </c:pt>
                <c:pt idx="5">
                  <c:v>13829.75</c:v>
                </c:pt>
                <c:pt idx="6">
                  <c:v>15261.65</c:v>
                </c:pt>
                <c:pt idx="7">
                  <c:v>13245.86</c:v>
                </c:pt>
                <c:pt idx="8">
                  <c:v>11155</c:v>
                </c:pt>
                <c:pt idx="9">
                  <c:v>7577.5</c:v>
                </c:pt>
              </c:numCache>
            </c:numRef>
          </c:val>
        </c:ser>
        <c:gapWidth val="150"/>
        <c:overlap val="0"/>
        <c:axId val="45786828"/>
        <c:axId val="80540289"/>
      </c:barChart>
      <c:catAx>
        <c:axId val="457868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40289"/>
        <c:crosses val="autoZero"/>
        <c:auto val="1"/>
        <c:lblAlgn val="ctr"/>
        <c:lblOffset val="100"/>
        <c:noMultiLvlLbl val="0"/>
      </c:catAx>
      <c:valAx>
        <c:axId val="805402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[RED]\-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86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-255960</xdr:colOff>
      <xdr:row>6</xdr:row>
      <xdr:rowOff>97200</xdr:rowOff>
    </xdr:from>
    <xdr:to>
      <xdr:col>21</xdr:col>
      <xdr:colOff>0</xdr:colOff>
      <xdr:row>42</xdr:row>
      <xdr:rowOff>14400</xdr:rowOff>
    </xdr:to>
    <xdr:graphicFrame>
      <xdr:nvGraphicFramePr>
        <xdr:cNvPr id="0" name="Chart 1"/>
        <xdr:cNvGraphicFramePr/>
      </xdr:nvGraphicFramePr>
      <xdr:xfrm>
        <a:off x="-16943760" y="1762200"/>
        <a:ext cx="5759640" cy="696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-255960</xdr:colOff>
      <xdr:row>1</xdr:row>
      <xdr:rowOff>160560</xdr:rowOff>
    </xdr:from>
    <xdr:to>
      <xdr:col>21</xdr:col>
      <xdr:colOff>0</xdr:colOff>
      <xdr:row>18</xdr:row>
      <xdr:rowOff>161640</xdr:rowOff>
    </xdr:to>
    <xdr:graphicFrame>
      <xdr:nvGraphicFramePr>
        <xdr:cNvPr id="1" name="Chart 1"/>
        <xdr:cNvGraphicFramePr/>
      </xdr:nvGraphicFramePr>
      <xdr:xfrm>
        <a:off x="-162388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<Relationship Id="rId2" Type="http://schemas.openxmlformats.org/officeDocument/2006/relationships/hyperlink" Target="&#1603;&#1588;&#1608;&#1601;_&#1575;&#1604;&#1593;&#1605;&#1604;&#1575;&#1569;_&#1605;&#1583;&#1602;&#1602;&#1577;.xlsx" TargetMode="External"/><Relationship Id="rId3" Type="http://schemas.openxmlformats.org/officeDocument/2006/relationships/hyperlink" Target="&#1603;&#1588;&#1608;&#1601;_&#1575;&#1604;&#1593;&#1605;&#1604;&#1575;&#1569;_&#1605;&#1583;&#1602;&#1602;&#1577;.xlsx" TargetMode="External"/><Relationship Id="rId4" Type="http://schemas.openxmlformats.org/officeDocument/2006/relationships/hyperlink" Target="&#1603;&#1588;&#1608;&#1601;_&#1575;&#1604;&#1593;&#1605;&#1604;&#1575;&#1569;_&#1605;&#1583;&#1602;&#1602;&#1577;.xlsx" TargetMode="External"/><Relationship Id="rId5" Type="http://schemas.openxmlformats.org/officeDocument/2006/relationships/hyperlink" Target="&#1603;&#1588;&#1608;&#1601;_&#1575;&#1604;&#1593;&#1605;&#1604;&#1575;&#1569;_&#1605;&#1583;&#1602;&#1602;&#1577;.xlsx" TargetMode="External"/><Relationship Id="rId6" Type="http://schemas.openxmlformats.org/officeDocument/2006/relationships/hyperlink" Target="&#1603;&#1588;&#1608;&#1601;_&#1575;&#1604;&#1593;&#1605;&#1604;&#1575;&#1569;_&#1605;&#1583;&#1602;&#1602;&#1577;.xlsx" TargetMode="External"/><Relationship Id="rId7" Type="http://schemas.openxmlformats.org/officeDocument/2006/relationships/hyperlink" Target="&#1603;&#1588;&#1608;&#1601;_&#1575;&#1604;&#1593;&#1605;&#1604;&#1575;&#1569;_&#1605;&#1583;&#1602;&#1602;&#1577;.xlsx" TargetMode="External"/><Relationship Id="rId8" Type="http://schemas.openxmlformats.org/officeDocument/2006/relationships/hyperlink" Target="&#1603;&#1588;&#1608;&#1601;_&#1575;&#1604;&#1593;&#1605;&#1604;&#1575;&#1569;_&#1605;&#1583;&#1602;&#1602;&#1577;.xlsx" TargetMode="External"/><Relationship Id="rId9" Type="http://schemas.openxmlformats.org/officeDocument/2006/relationships/hyperlink" Target="&#1603;&#1588;&#1608;&#1601;_&#1575;&#1604;&#1593;&#1605;&#1604;&#1575;&#1569;_&#1605;&#1583;&#1602;&#1602;&#1577;.xlsx" TargetMode="External"/><Relationship Id="rId10" Type="http://schemas.openxmlformats.org/officeDocument/2006/relationships/hyperlink" Target="&#1603;&#1588;&#1608;&#1601;_&#1575;&#1604;&#1593;&#1605;&#1604;&#1575;&#1569;_&#1605;&#1583;&#1602;&#1602;&#1577;.xlsx" TargetMode="External"/><Relationship Id="rId11" Type="http://schemas.openxmlformats.org/officeDocument/2006/relationships/hyperlink" Target="&#1603;&#1588;&#1608;&#1601;_&#1575;&#1604;&#1593;&#1605;&#1604;&#1575;&#1569;_&#1605;&#1583;&#1602;&#1602;&#1577;.xlsx" TargetMode="External"/><Relationship Id="rId12" Type="http://schemas.openxmlformats.org/officeDocument/2006/relationships/hyperlink" Target="&#1603;&#1588;&#1608;&#1601;_&#1575;&#1604;&#1593;&#1605;&#1604;&#1575;&#1569;_&#1605;&#1583;&#1602;&#1602;&#1577;.xlsx" TargetMode="External"/><Relationship Id="rId13" Type="http://schemas.openxmlformats.org/officeDocument/2006/relationships/hyperlink" Target="&#1603;&#1588;&#1608;&#1601;_&#1575;&#1604;&#1593;&#1605;&#1604;&#1575;&#1569;_&#1605;&#1583;&#1602;&#1602;&#1577;.xlsx" TargetMode="External"/><Relationship Id="rId14" Type="http://schemas.openxmlformats.org/officeDocument/2006/relationships/hyperlink" Target="&#1603;&#1588;&#1608;&#1601;_&#1575;&#1604;&#1593;&#1605;&#1604;&#1575;&#1569;_&#1605;&#1583;&#1602;&#1602;&#1577;.xlsx" TargetMode="External"/><Relationship Id="rId15" Type="http://schemas.openxmlformats.org/officeDocument/2006/relationships/hyperlink" Target="&#1603;&#1588;&#1608;&#1601;_&#1575;&#1604;&#1593;&#1605;&#1604;&#1575;&#1569;_&#1605;&#1583;&#1602;&#1602;&#1577;.xlsx" TargetMode="External"/><Relationship Id="rId16" Type="http://schemas.openxmlformats.org/officeDocument/2006/relationships/hyperlink" Target="&#1603;&#1588;&#1608;&#1601;_&#1575;&#1604;&#1593;&#1605;&#1604;&#1575;&#1569;_&#1605;&#1583;&#1602;&#1602;&#1577;.xlsx" TargetMode="External"/><Relationship Id="rId17" Type="http://schemas.openxmlformats.org/officeDocument/2006/relationships/hyperlink" Target="&#1603;&#1588;&#1608;&#1601;_&#1575;&#1604;&#1593;&#1605;&#1604;&#1575;&#1569;_&#1605;&#1583;&#1602;&#1602;&#1577;.xlsx" TargetMode="External"/><Relationship Id="rId18" Type="http://schemas.openxmlformats.org/officeDocument/2006/relationships/hyperlink" Target="&#1603;&#1588;&#1608;&#1601;_&#1575;&#1604;&#1593;&#1605;&#1604;&#1575;&#1569;_&#1605;&#1583;&#1602;&#1602;&#1577;.xlsx" TargetMode="External"/><Relationship Id="rId19" Type="http://schemas.openxmlformats.org/officeDocument/2006/relationships/hyperlink" Target="&#1603;&#1588;&#1608;&#1601;_&#1575;&#1604;&#1593;&#1605;&#1604;&#1575;&#1569;_&#1605;&#1583;&#1602;&#1602;&#1577;.xlsx" TargetMode="External"/><Relationship Id="rId20" Type="http://schemas.openxmlformats.org/officeDocument/2006/relationships/hyperlink" Target="&#1603;&#1588;&#1608;&#1601;_&#1575;&#1604;&#1593;&#1605;&#1604;&#1575;&#1569;_&#1605;&#1583;&#1602;&#1602;&#1577;.xlsx" TargetMode="External"/><Relationship Id="rId21" Type="http://schemas.openxmlformats.org/officeDocument/2006/relationships/hyperlink" Target="&#1603;&#1588;&#1608;&#1601;_&#1575;&#1604;&#1593;&#1605;&#1604;&#1575;&#1569;_&#1605;&#1583;&#1602;&#1602;&#1577;.xlsx" TargetMode="External"/><Relationship Id="rId22" Type="http://schemas.openxmlformats.org/officeDocument/2006/relationships/hyperlink" Target="&#1603;&#1588;&#1608;&#1601;_&#1575;&#1604;&#1593;&#1605;&#1604;&#1575;&#1569;_&#1605;&#1583;&#1602;&#1602;&#1577;.xlsx" TargetMode="External"/><Relationship Id="rId23" Type="http://schemas.openxmlformats.org/officeDocument/2006/relationships/hyperlink" Target="&#1603;&#1588;&#1608;&#1601;_&#1575;&#1604;&#1593;&#1605;&#1604;&#1575;&#1569;_&#1605;&#1583;&#1602;&#1602;&#1577;.xlsx" TargetMode="External"/><Relationship Id="rId24" Type="http://schemas.openxmlformats.org/officeDocument/2006/relationships/hyperlink" Target="&#1603;&#1588;&#1608;&#1601;_&#1575;&#1604;&#1593;&#1605;&#1604;&#1575;&#1569;_&#1605;&#1583;&#1602;&#1602;&#1577;.xlsx" TargetMode="External"/><Relationship Id="rId25" Type="http://schemas.openxmlformats.org/officeDocument/2006/relationships/hyperlink" Target="&#1603;&#1588;&#1608;&#1601;_&#1575;&#1604;&#1593;&#1605;&#1604;&#1575;&#1569;_&#1605;&#1583;&#1602;&#1602;&#1577;.xlsx" TargetMode="External"/><Relationship Id="rId26" Type="http://schemas.openxmlformats.org/officeDocument/2006/relationships/hyperlink" Target="&#1603;&#1588;&#1608;&#1601;_&#1575;&#1604;&#1593;&#1605;&#1604;&#1575;&#1569;_&#1605;&#1583;&#1602;&#1602;&#1577;.xlsx" TargetMode="External"/><Relationship Id="rId27" Type="http://schemas.openxmlformats.org/officeDocument/2006/relationships/hyperlink" Target="&#1603;&#1588;&#1608;&#1601;_&#1575;&#1604;&#1593;&#1605;&#1604;&#1575;&#1569;_&#1605;&#1583;&#1602;&#1602;&#1577;.xlsx" TargetMode="External"/><Relationship Id="rId28" Type="http://schemas.openxmlformats.org/officeDocument/2006/relationships/hyperlink" Target="&#1603;&#1588;&#1608;&#1601;_&#1575;&#1604;&#1593;&#1605;&#1604;&#1575;&#1569;_&#1605;&#1583;&#1602;&#1602;&#1577;.xlsx" TargetMode="External"/><Relationship Id="rId29" Type="http://schemas.openxmlformats.org/officeDocument/2006/relationships/hyperlink" Target="&#1603;&#1588;&#1608;&#1601;_&#1575;&#1604;&#1593;&#1605;&#1604;&#1575;&#1569;_&#1605;&#1583;&#1602;&#1602;&#1577;.xlsx" TargetMode="External"/><Relationship Id="rId30" Type="http://schemas.openxmlformats.org/officeDocument/2006/relationships/hyperlink" Target="&#1603;&#1588;&#1608;&#1601;_&#1575;&#1604;&#1593;&#1605;&#1604;&#1575;&#1569;_&#1605;&#1583;&#1602;&#1602;&#1577;.xlsx" TargetMode="External"/><Relationship Id="rId31" Type="http://schemas.openxmlformats.org/officeDocument/2006/relationships/hyperlink" Target="&#1603;&#1588;&#1608;&#1601;_&#1575;&#1604;&#1593;&#1605;&#1604;&#1575;&#1569;_&#1605;&#1583;&#1602;&#1602;&#1577;.xlsx" TargetMode="External"/><Relationship Id="rId32" Type="http://schemas.openxmlformats.org/officeDocument/2006/relationships/hyperlink" Target="&#1603;&#1588;&#1608;&#1601;_&#1575;&#1604;&#1593;&#1605;&#1604;&#1575;&#1569;_&#1605;&#1583;&#1602;&#1602;&#1577;.xlsx" TargetMode="External"/><Relationship Id="rId33" Type="http://schemas.openxmlformats.org/officeDocument/2006/relationships/hyperlink" Target="&#1603;&#1588;&#1608;&#1601;_&#1575;&#1604;&#1593;&#1605;&#1604;&#1575;&#1569;_&#1605;&#1583;&#1602;&#1602;&#1577;.xlsx" TargetMode="External"/><Relationship Id="rId34" Type="http://schemas.openxmlformats.org/officeDocument/2006/relationships/hyperlink" Target="&#1603;&#1588;&#1608;&#1601;_&#1575;&#1604;&#1593;&#1605;&#1604;&#1575;&#1569;_&#1605;&#1583;&#1602;&#1602;&#1577;.xlsx" TargetMode="External"/><Relationship Id="rId35" Type="http://schemas.openxmlformats.org/officeDocument/2006/relationships/hyperlink" Target="&#1603;&#1588;&#1608;&#1601;_&#1575;&#1604;&#1593;&#1605;&#1604;&#1575;&#1569;_&#1605;&#1583;&#1602;&#1602;&#1577;.xlsx" TargetMode="External"/><Relationship Id="rId36" Type="http://schemas.openxmlformats.org/officeDocument/2006/relationships/hyperlink" Target="&#1603;&#1588;&#1608;&#1601;_&#1575;&#1604;&#1593;&#1605;&#1604;&#1575;&#1569;_&#1605;&#1583;&#1602;&#1602;&#1577;.xlsx" TargetMode="External"/><Relationship Id="rId37" Type="http://schemas.openxmlformats.org/officeDocument/2006/relationships/hyperlink" Target="&#1603;&#1588;&#1608;&#1601;_&#1575;&#1604;&#1593;&#1605;&#1604;&#1575;&#1569;_&#1605;&#1583;&#1602;&#1602;&#1577;.xlsx" TargetMode="External"/><Relationship Id="rId38" Type="http://schemas.openxmlformats.org/officeDocument/2006/relationships/hyperlink" Target="&#1603;&#1588;&#1608;&#1601;_&#1575;&#1604;&#1593;&#1605;&#1604;&#1575;&#1569;_&#1605;&#1583;&#1602;&#1602;&#1577;.xlsx" TargetMode="External"/><Relationship Id="rId39" Type="http://schemas.openxmlformats.org/officeDocument/2006/relationships/hyperlink" Target="&#1603;&#1588;&#1608;&#1601;_&#1575;&#1604;&#1593;&#1605;&#1604;&#1575;&#1569;_&#1605;&#1583;&#1602;&#1602;&#1577;.xlsx" TargetMode="External"/><Relationship Id="rId40" Type="http://schemas.openxmlformats.org/officeDocument/2006/relationships/hyperlink" Target="&#1603;&#1588;&#1608;&#1601;_&#1575;&#1604;&#1593;&#1605;&#1604;&#1575;&#1569;_&#1605;&#1583;&#1602;&#1602;&#1577;.xlsx" TargetMode="External"/><Relationship Id="rId41" Type="http://schemas.openxmlformats.org/officeDocument/2006/relationships/hyperlink" Target="&#1603;&#1588;&#1608;&#1601;_&#1575;&#1604;&#1593;&#1605;&#1604;&#1575;&#1569;_&#1605;&#1583;&#1602;&#1602;&#1577;.xlsx" TargetMode="External"/><Relationship Id="rId42" Type="http://schemas.openxmlformats.org/officeDocument/2006/relationships/hyperlink" Target="&#1603;&#1588;&#1608;&#1601;_&#1575;&#1604;&#1593;&#1605;&#1604;&#1575;&#1569;_&#1605;&#1583;&#1602;&#1602;&#1577;.xlsx" TargetMode="External"/><Relationship Id="rId43" Type="http://schemas.openxmlformats.org/officeDocument/2006/relationships/hyperlink" Target="&#1603;&#1588;&#1608;&#1601;_&#1575;&#1604;&#1593;&#1605;&#1604;&#1575;&#1569;_&#1605;&#1583;&#1602;&#1602;&#1577;.xlsx" TargetMode="External"/><Relationship Id="rId4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<Relationship Id="rId2" Type="http://schemas.openxmlformats.org/officeDocument/2006/relationships/hyperlink" Target="&#1603;&#1588;&#1608;&#1601;_&#1575;&#1604;&#1593;&#1605;&#1604;&#1575;&#1569;_&#1605;&#1583;&#1602;&#1602;&#1577;.xlsx" TargetMode="External"/><Relationship Id="rId3" Type="http://schemas.openxmlformats.org/officeDocument/2006/relationships/hyperlink" Target="&#1603;&#1588;&#1608;&#1601;_&#1575;&#1604;&#1593;&#1605;&#1604;&#1575;&#1569;_&#1605;&#1583;&#1602;&#1602;&#1577;.xlsx" TargetMode="External"/><Relationship Id="rId4" Type="http://schemas.openxmlformats.org/officeDocument/2006/relationships/hyperlink" Target="&#1603;&#1588;&#1608;&#1601;_&#1575;&#1604;&#1593;&#1605;&#1604;&#1575;&#1569;_&#1605;&#1583;&#1602;&#1602;&#1577;.xlsx" TargetMode="External"/><Relationship Id="rId5" Type="http://schemas.openxmlformats.org/officeDocument/2006/relationships/hyperlink" Target="&#1603;&#1588;&#1608;&#1601;_&#1575;&#1604;&#1593;&#1605;&#1604;&#1575;&#1569;_&#1605;&#1583;&#1602;&#1602;&#1577;.xlsx" TargetMode="External"/><Relationship Id="rId6" Type="http://schemas.openxmlformats.org/officeDocument/2006/relationships/hyperlink" Target="&#1603;&#1588;&#1608;&#1601;_&#1575;&#1604;&#1593;&#1605;&#1604;&#1575;&#1569;_&#1605;&#1583;&#1602;&#1602;&#1577;.xlsx" TargetMode="External"/><Relationship Id="rId7" Type="http://schemas.openxmlformats.org/officeDocument/2006/relationships/hyperlink" Target="&#1603;&#1588;&#1608;&#1601;_&#1575;&#1604;&#1593;&#1605;&#1604;&#1575;&#1569;_&#1605;&#1583;&#1602;&#1602;&#1577;.xlsx" TargetMode="External"/><Relationship Id="rId8" Type="http://schemas.openxmlformats.org/officeDocument/2006/relationships/hyperlink" Target="&#1603;&#1588;&#1608;&#1601;_&#1575;&#1604;&#1593;&#1605;&#1604;&#1575;&#1569;_&#1605;&#1583;&#1602;&#1602;&#1577;.xlsx" TargetMode="External"/><Relationship Id="rId9" Type="http://schemas.openxmlformats.org/officeDocument/2006/relationships/hyperlink" Target="&#1603;&#1588;&#1608;&#1601;_&#1575;&#1604;&#1593;&#1605;&#1604;&#1575;&#1569;_&#1605;&#1583;&#1602;&#1602;&#1577;.xlsx" TargetMode="External"/><Relationship Id="rId10" Type="http://schemas.openxmlformats.org/officeDocument/2006/relationships/hyperlink" Target="&#1603;&#1588;&#1608;&#1601;_&#1575;&#1604;&#1593;&#1605;&#1604;&#1575;&#1569;_&#1605;&#1583;&#1602;&#1602;&#1577;.xlsx" TargetMode="External"/><Relationship Id="rId11" Type="http://schemas.openxmlformats.org/officeDocument/2006/relationships/hyperlink" Target="&#1603;&#1588;&#1608;&#1601;_&#1575;&#1604;&#1593;&#1605;&#1604;&#1575;&#1569;_&#1605;&#1583;&#1602;&#1602;&#1577;.xlsx" TargetMode="External"/><Relationship Id="rId12" Type="http://schemas.openxmlformats.org/officeDocument/2006/relationships/hyperlink" Target="&#1603;&#1588;&#1608;&#1601;_&#1575;&#1604;&#1593;&#1605;&#1604;&#1575;&#1569;_&#1605;&#1583;&#1602;&#1602;&#1577;.xlsx" TargetMode="External"/><Relationship Id="rId13" Type="http://schemas.openxmlformats.org/officeDocument/2006/relationships/hyperlink" Target="&#1603;&#1588;&#1608;&#1601;_&#1575;&#1604;&#1593;&#1605;&#1604;&#1575;&#1569;_&#1605;&#1583;&#1602;&#1602;&#1577;.xlsx" TargetMode="External"/><Relationship Id="rId14" Type="http://schemas.openxmlformats.org/officeDocument/2006/relationships/hyperlink" Target="&#1603;&#1588;&#1608;&#1601;_&#1575;&#1604;&#1593;&#1605;&#1604;&#1575;&#1569;_&#1605;&#1583;&#1602;&#1602;&#1577;.xlsx" TargetMode="External"/><Relationship Id="rId15" Type="http://schemas.openxmlformats.org/officeDocument/2006/relationships/hyperlink" Target="&#1603;&#1588;&#1608;&#1601;_&#1575;&#1604;&#1593;&#1605;&#1604;&#1575;&#1569;_&#1605;&#1583;&#1602;&#1602;&#1577;.xlsx" TargetMode="External"/><Relationship Id="rId16" Type="http://schemas.openxmlformats.org/officeDocument/2006/relationships/hyperlink" Target="&#1603;&#1588;&#1608;&#1601;_&#1575;&#1604;&#1593;&#1605;&#1604;&#1575;&#1569;_&#1605;&#1583;&#1602;&#1602;&#1577;.xlsx" TargetMode="External"/><Relationship Id="rId17" Type="http://schemas.openxmlformats.org/officeDocument/2006/relationships/hyperlink" Target="&#1603;&#1588;&#1608;&#1601;_&#1575;&#1604;&#1593;&#1605;&#1604;&#1575;&#1569;_&#1605;&#1583;&#1602;&#1602;&#1577;.xlsx" TargetMode="External"/><Relationship Id="rId18" Type="http://schemas.openxmlformats.org/officeDocument/2006/relationships/hyperlink" Target="&#1603;&#1588;&#1608;&#1601;_&#1575;&#1604;&#1593;&#1605;&#1604;&#1575;&#1569;_&#1605;&#1583;&#1602;&#1602;&#1577;.xlsx" TargetMode="External"/><Relationship Id="rId19" Type="http://schemas.openxmlformats.org/officeDocument/2006/relationships/hyperlink" Target="&#1603;&#1588;&#1608;&#1601;_&#1575;&#1604;&#1593;&#1605;&#1604;&#1575;&#1569;_&#1605;&#1583;&#1602;&#1602;&#1577;.xlsx" TargetMode="External"/><Relationship Id="rId20" Type="http://schemas.openxmlformats.org/officeDocument/2006/relationships/hyperlink" Target="&#1603;&#1588;&#1608;&#1601;_&#1575;&#1604;&#1593;&#1605;&#1604;&#1575;&#1569;_&#1605;&#1583;&#1602;&#1602;&#1577;.xlsx" TargetMode="External"/><Relationship Id="rId21" Type="http://schemas.openxmlformats.org/officeDocument/2006/relationships/hyperlink" Target="&#1603;&#1588;&#1608;&#1601;_&#1575;&#1604;&#1593;&#1605;&#1604;&#1575;&#1569;_&#1605;&#1583;&#1602;&#1602;&#1577;.xlsx" TargetMode="External"/><Relationship Id="rId22" Type="http://schemas.openxmlformats.org/officeDocument/2006/relationships/hyperlink" Target="&#1603;&#1588;&#1608;&#1601;_&#1575;&#1604;&#1593;&#1605;&#1604;&#1575;&#1569;_&#1605;&#1583;&#1602;&#1602;&#1577;.xlsx" TargetMode="External"/><Relationship Id="rId23" Type="http://schemas.openxmlformats.org/officeDocument/2006/relationships/hyperlink" Target="&#1603;&#1588;&#1608;&#1601;_&#1575;&#1604;&#1593;&#1605;&#1604;&#1575;&#1569;_&#1605;&#1583;&#1602;&#1602;&#1577;.xlsx" TargetMode="External"/><Relationship Id="rId24" Type="http://schemas.openxmlformats.org/officeDocument/2006/relationships/hyperlink" Target="&#1603;&#1588;&#1608;&#1601;_&#1575;&#1604;&#1593;&#1605;&#1604;&#1575;&#1569;_&#1605;&#1583;&#1602;&#1602;&#1577;.xlsx" TargetMode="External"/><Relationship Id="rId25" Type="http://schemas.openxmlformats.org/officeDocument/2006/relationships/hyperlink" Target="&#1603;&#1588;&#1608;&#1601;_&#1575;&#1604;&#1593;&#1605;&#1604;&#1575;&#1569;_&#1605;&#1583;&#1602;&#1602;&#1577;.xlsx" TargetMode="External"/><Relationship Id="rId26" Type="http://schemas.openxmlformats.org/officeDocument/2006/relationships/hyperlink" Target="&#1603;&#1588;&#1608;&#1601;_&#1575;&#1604;&#1593;&#1605;&#1604;&#1575;&#1569;_&#1605;&#1583;&#1602;&#1602;&#1577;.xlsx" TargetMode="External"/><Relationship Id="rId27" Type="http://schemas.openxmlformats.org/officeDocument/2006/relationships/hyperlink" Target="&#1603;&#1588;&#1608;&#1601;_&#1575;&#1604;&#1593;&#1605;&#1604;&#1575;&#1569;_&#1605;&#1583;&#1602;&#1602;&#1577;.xlsx" TargetMode="External"/><Relationship Id="rId28" Type="http://schemas.openxmlformats.org/officeDocument/2006/relationships/hyperlink" Target="&#1603;&#1588;&#1608;&#1601;_&#1575;&#1604;&#1593;&#1605;&#1604;&#1575;&#1569;_&#1605;&#1583;&#1602;&#1602;&#1577;.xlsx" TargetMode="External"/><Relationship Id="rId29" Type="http://schemas.openxmlformats.org/officeDocument/2006/relationships/hyperlink" Target="&#1603;&#1588;&#1608;&#1601;_&#1575;&#1604;&#1593;&#1605;&#1604;&#1575;&#1569;_&#1605;&#1583;&#1602;&#1602;&#1577;.xlsx" TargetMode="External"/><Relationship Id="rId30" Type="http://schemas.openxmlformats.org/officeDocument/2006/relationships/hyperlink" Target="&#1603;&#1588;&#1608;&#1601;_&#1575;&#1604;&#1593;&#1605;&#1604;&#1575;&#1569;_&#1605;&#1583;&#1602;&#1602;&#1577;.xlsx" TargetMode="External"/><Relationship Id="rId31" Type="http://schemas.openxmlformats.org/officeDocument/2006/relationships/hyperlink" Target="&#1603;&#1588;&#1608;&#1601;_&#1575;&#1604;&#1593;&#1605;&#1604;&#1575;&#1569;_&#1605;&#1583;&#1602;&#1602;&#1577;.xlsx" TargetMode="External"/><Relationship Id="rId32" Type="http://schemas.openxmlformats.org/officeDocument/2006/relationships/hyperlink" Target="&#1603;&#1588;&#1608;&#1601;_&#1575;&#1604;&#1593;&#1605;&#1604;&#1575;&#1569;_&#1605;&#1583;&#1602;&#1602;&#1577;.xlsx" TargetMode="External"/><Relationship Id="rId33" Type="http://schemas.openxmlformats.org/officeDocument/2006/relationships/hyperlink" Target="&#1603;&#1588;&#1608;&#1601;_&#1575;&#1604;&#1593;&#1605;&#1604;&#1575;&#1569;_&#1605;&#1583;&#1602;&#1602;&#1577;.xlsx" TargetMode="External"/><Relationship Id="rId34" Type="http://schemas.openxmlformats.org/officeDocument/2006/relationships/hyperlink" Target="&#1603;&#1588;&#1608;&#1601;_&#1575;&#1604;&#1593;&#1605;&#1604;&#1575;&#1569;_&#1605;&#1583;&#1602;&#1602;&#1577;.xlsx" TargetMode="External"/><Relationship Id="rId35" Type="http://schemas.openxmlformats.org/officeDocument/2006/relationships/hyperlink" Target="&#1603;&#1588;&#1608;&#1601;_&#1575;&#1604;&#1593;&#1605;&#1604;&#1575;&#1569;_&#1605;&#1583;&#1602;&#1602;&#1577;.xlsx" TargetMode="External"/><Relationship Id="rId36" Type="http://schemas.openxmlformats.org/officeDocument/2006/relationships/hyperlink" Target="&#1603;&#1588;&#1608;&#1601;_&#1575;&#1604;&#1593;&#1605;&#1604;&#1575;&#1569;_&#1605;&#1583;&#1602;&#1602;&#1577;.xlsx" TargetMode="External"/><Relationship Id="rId37" Type="http://schemas.openxmlformats.org/officeDocument/2006/relationships/hyperlink" Target="&#1603;&#1588;&#1608;&#1601;_&#1575;&#1604;&#1593;&#1605;&#1604;&#1575;&#1569;_&#1605;&#1583;&#1602;&#1602;&#1577;.xlsx" TargetMode="External"/><Relationship Id="rId38" Type="http://schemas.openxmlformats.org/officeDocument/2006/relationships/hyperlink" Target="&#1603;&#1588;&#1608;&#1601;_&#1575;&#1604;&#1593;&#1605;&#1604;&#1575;&#1569;_&#1605;&#1583;&#1602;&#1602;&#1577;.xlsx" TargetMode="External"/><Relationship Id="rId39" Type="http://schemas.openxmlformats.org/officeDocument/2006/relationships/hyperlink" Target="&#1603;&#1588;&#1608;&#1601;_&#1575;&#1604;&#1593;&#1605;&#1604;&#1575;&#1569;_&#1605;&#1583;&#1602;&#1602;&#1577;.xlsx" TargetMode="External"/><Relationship Id="rId40" Type="http://schemas.openxmlformats.org/officeDocument/2006/relationships/hyperlink" Target="&#1603;&#1588;&#1608;&#1601;_&#1575;&#1604;&#1593;&#1605;&#1604;&#1575;&#1569;_&#1605;&#1583;&#1602;&#1602;&#1577;.xlsx" TargetMode="External"/><Relationship Id="rId41" Type="http://schemas.openxmlformats.org/officeDocument/2006/relationships/hyperlink" Target="&#1603;&#1588;&#1608;&#1601;_&#1575;&#1604;&#1593;&#1605;&#1604;&#1575;&#1569;_&#1605;&#1583;&#1602;&#1602;&#1577;.xlsx" TargetMode="External"/><Relationship Id="rId42" Type="http://schemas.openxmlformats.org/officeDocument/2006/relationships/hyperlink" Target="&#1603;&#1588;&#1608;&#1601;_&#1575;&#1604;&#1593;&#1605;&#1604;&#1575;&#1569;_&#1605;&#1583;&#1602;&#1602;&#1577;.xlsx" TargetMode="External"/><Relationship Id="rId43" Type="http://schemas.openxmlformats.org/officeDocument/2006/relationships/hyperlink" Target="&#1603;&#1588;&#1608;&#1601;_&#1575;&#1604;&#1593;&#1605;&#1604;&#1575;&#1569;_&#1605;&#1583;&#1602;&#1602;&#1577;.xlsx" TargetMode="External"/><Relationship Id="rId44" Type="http://schemas.openxmlformats.org/officeDocument/2006/relationships/hyperlink" Target="&#1603;&#1588;&#1608;&#1601;_&#1575;&#1604;&#1593;&#1605;&#1604;&#1575;&#1569;_&#1605;&#1583;&#1602;&#1602;&#1577;.xlsx" TargetMode="External"/><Relationship Id="rId45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hyperlink" Target="&#1603;&#1588;&#1608;&#1601;_&#1575;&#1604;&#1593;&#1605;&#1604;&#1575;&#1569;_&#1605;&#1583;&#1602;&#1602;&#1577;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K52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2.35" hidden="false" customHeight="false" outlineLevel="0" collapsed="false">
      <c r="B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I4" s="3" t="s">
        <v>7</v>
      </c>
    </row>
    <row r="5" customFormat="false" ht="30" hidden="false" customHeight="true" outlineLevel="0" collapsed="false">
      <c r="B5" s="4" t="n">
        <f aca="false">COUNTA(B9:B51)</f>
        <v>43</v>
      </c>
      <c r="D5" s="5" t="n">
        <f aca="false">SUMIFS('سجل الحركات'!J4:J323,'سجل الحركات'!E4:E323,"بضاعة")</f>
        <v>265724.21</v>
      </c>
      <c r="E5" s="5" t="n">
        <f aca="false">E52</f>
        <v>214533</v>
      </c>
      <c r="F5" s="5" t="n">
        <f aca="false">F52</f>
        <v>52221.21</v>
      </c>
      <c r="G5" s="4" t="n">
        <f aca="false">COUNTIF(K9:K51,"مستحق لنا")</f>
        <v>24</v>
      </c>
      <c r="I5" s="4" t="n">
        <f aca="false">COUNTA('ملاحظات التدقيق'!B5:B1000)</f>
        <v>48</v>
      </c>
    </row>
    <row r="8" customFormat="false" ht="30" hidden="false" customHeight="true" outlineLevel="0" collapsed="false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</row>
    <row r="9" customFormat="false" ht="15" hidden="false" customHeight="false" outlineLevel="0" collapsed="false">
      <c r="A9" s="7" t="n">
        <v>1</v>
      </c>
      <c r="B9" s="8" t="s">
        <v>19</v>
      </c>
      <c r="C9" s="7" t="n">
        <f aca="false">COUNTA('محمد زبون'!D7:D1000)</f>
        <v>12</v>
      </c>
      <c r="D9" s="9" t="n">
        <f aca="false">'محمد زبون'!F4</f>
        <v>498</v>
      </c>
      <c r="E9" s="9" t="n">
        <f aca="false">'محمد زبون'!G4</f>
        <v>498</v>
      </c>
      <c r="F9" s="10" t="n">
        <f aca="false">'محمد زبون'!H4</f>
        <v>0</v>
      </c>
      <c r="G9" s="9" t="n">
        <f aca="false">'محمد زبون'!I4</f>
        <v>0</v>
      </c>
      <c r="H9" s="11" t="n">
        <f aca="false">'محمد زبون'!D4</f>
        <v>46311</v>
      </c>
      <c r="I9" s="11" t="n">
        <f aca="false">'محمد زبون'!E4</f>
        <v>46324</v>
      </c>
      <c r="J9" s="11" t="n">
        <f aca="false">'محمد زبون'!J4</f>
        <v>46324</v>
      </c>
      <c r="K9" s="7" t="str">
        <f aca="false">'محمد زبون'!K4</f>
        <v>مسدد</v>
      </c>
    </row>
    <row r="10" customFormat="false" ht="15" hidden="false" customHeight="false" outlineLevel="0" collapsed="false">
      <c r="A10" s="7" t="n">
        <v>2</v>
      </c>
      <c r="B10" s="8" t="s">
        <v>20</v>
      </c>
      <c r="C10" s="7" t="n">
        <f aca="false">COUNTA(فضل!D7:D1000)</f>
        <v>2</v>
      </c>
      <c r="D10" s="9" t="n">
        <f aca="false">فضل!F4</f>
        <v>90</v>
      </c>
      <c r="E10" s="9" t="n">
        <f aca="false">فضل!G4</f>
        <v>90</v>
      </c>
      <c r="F10" s="10" t="n">
        <f aca="false">فضل!H4</f>
        <v>0</v>
      </c>
      <c r="G10" s="9" t="n">
        <f aca="false">فضل!I4</f>
        <v>0</v>
      </c>
      <c r="H10" s="11" t="n">
        <f aca="false">فضل!D4</f>
        <v>46321</v>
      </c>
      <c r="I10" s="11" t="n">
        <f aca="false">فضل!E4</f>
        <v>46324</v>
      </c>
      <c r="J10" s="11" t="n">
        <f aca="false">فضل!J4</f>
        <v>46324</v>
      </c>
      <c r="K10" s="7" t="str">
        <f aca="false">فضل!K4</f>
        <v>مسدد</v>
      </c>
    </row>
    <row r="11" customFormat="false" ht="15" hidden="false" customHeight="false" outlineLevel="0" collapsed="false">
      <c r="A11" s="7" t="n">
        <v>3</v>
      </c>
      <c r="B11" s="8" t="s">
        <v>21</v>
      </c>
      <c r="C11" s="7" t="n">
        <f aca="false">COUNTA('قصي جابر'!D7:D1000)</f>
        <v>9</v>
      </c>
      <c r="D11" s="9" t="n">
        <f aca="false">'قصي جابر'!F4</f>
        <v>10070</v>
      </c>
      <c r="E11" s="9" t="n">
        <f aca="false">'قصي جابر'!G4</f>
        <v>5450</v>
      </c>
      <c r="F11" s="10" t="n">
        <f aca="false">'قصي جابر'!H4</f>
        <v>4620</v>
      </c>
      <c r="G11" s="9" t="n">
        <f aca="false">'قصي جابر'!I4</f>
        <v>0</v>
      </c>
      <c r="H11" s="11" t="n">
        <f aca="false">'قصي جابر'!D4</f>
        <v>46297</v>
      </c>
      <c r="I11" s="11" t="n">
        <f aca="false">'قصي جابر'!E4</f>
        <v>46325</v>
      </c>
      <c r="J11" s="11" t="n">
        <f aca="false">'قصي جابر'!J4</f>
        <v>46325</v>
      </c>
      <c r="K11" s="7" t="str">
        <f aca="false">'قصي جابر'!K4</f>
        <v>مستحق لنا</v>
      </c>
    </row>
    <row r="12" customFormat="false" ht="15" hidden="false" customHeight="false" outlineLevel="0" collapsed="false">
      <c r="A12" s="7" t="n">
        <v>4</v>
      </c>
      <c r="B12" s="8" t="s">
        <v>22</v>
      </c>
      <c r="C12" s="7" t="n">
        <f aca="false">COUNTA('مصنع امداد'!D7:D1000)</f>
        <v>5</v>
      </c>
      <c r="D12" s="9" t="n">
        <f aca="false">'مصنع امداد'!F4</f>
        <v>2432.75</v>
      </c>
      <c r="E12" s="9" t="n">
        <f aca="false">'مصنع امداد'!G4</f>
        <v>1132.75</v>
      </c>
      <c r="F12" s="10" t="n">
        <f aca="false">'مصنع امداد'!H4</f>
        <v>1300</v>
      </c>
      <c r="G12" s="9" t="n">
        <f aca="false">'مصنع امداد'!I4</f>
        <v>147.75</v>
      </c>
      <c r="H12" s="11" t="n">
        <f aca="false">'مصنع امداد'!D4</f>
        <v>46298</v>
      </c>
      <c r="I12" s="11" t="n">
        <f aca="false">'مصنع امداد'!E4</f>
        <v>46320</v>
      </c>
      <c r="J12" s="11" t="n">
        <f aca="false">'مصنع امداد'!J4</f>
        <v>46300</v>
      </c>
      <c r="K12" s="7" t="str">
        <f aca="false">'مصنع امداد'!K4</f>
        <v>مستحق لنا</v>
      </c>
    </row>
    <row r="13" customFormat="false" ht="15" hidden="false" customHeight="false" outlineLevel="0" collapsed="false">
      <c r="A13" s="7" t="n">
        <v>5</v>
      </c>
      <c r="B13" s="8" t="s">
        <v>23</v>
      </c>
      <c r="C13" s="7" t="n">
        <f aca="false">COUNTA(هارون!D7:D1000)</f>
        <v>2</v>
      </c>
      <c r="D13" s="9" t="n">
        <f aca="false">هارون!F4</f>
        <v>5400</v>
      </c>
      <c r="E13" s="9" t="n">
        <f aca="false">هارون!G4</f>
        <v>4000</v>
      </c>
      <c r="F13" s="10" t="n">
        <f aca="false">هارون!H4</f>
        <v>1400</v>
      </c>
      <c r="G13" s="9" t="n">
        <f aca="false">هارون!I4</f>
        <v>0</v>
      </c>
      <c r="H13" s="11" t="n">
        <f aca="false">هارون!D4</f>
        <v>46320</v>
      </c>
      <c r="I13" s="11" t="n">
        <f aca="false">هارون!E4</f>
        <v>46321</v>
      </c>
      <c r="J13" s="11" t="n">
        <f aca="false">هارون!J4</f>
        <v>46321</v>
      </c>
      <c r="K13" s="7" t="str">
        <f aca="false">هارون!K4</f>
        <v>مستحق لنا</v>
      </c>
    </row>
    <row r="14" customFormat="false" ht="15" hidden="false" customHeight="false" outlineLevel="0" collapsed="false">
      <c r="A14" s="7" t="n">
        <v>6</v>
      </c>
      <c r="B14" s="8" t="s">
        <v>24</v>
      </c>
      <c r="C14" s="7" t="n">
        <f aca="false">COUNTA(مجني!D7:D1000)</f>
        <v>2</v>
      </c>
      <c r="D14" s="9" t="n">
        <f aca="false">مجني!F4</f>
        <v>4508</v>
      </c>
      <c r="E14" s="9" t="n">
        <f aca="false">مجني!G4</f>
        <v>4508</v>
      </c>
      <c r="F14" s="10" t="n">
        <f aca="false">مجني!H4</f>
        <v>0</v>
      </c>
      <c r="G14" s="9" t="n">
        <f aca="false">مجني!I4</f>
        <v>588</v>
      </c>
      <c r="H14" s="11" t="n">
        <f aca="false">مجني!D4</f>
        <v>46297</v>
      </c>
      <c r="I14" s="11" t="n">
        <f aca="false">مجني!E4</f>
        <v>46300</v>
      </c>
      <c r="J14" s="11" t="n">
        <f aca="false">مجني!J4</f>
        <v>46300</v>
      </c>
      <c r="K14" s="7" t="str">
        <f aca="false">مجني!K4</f>
        <v>مسدد</v>
      </c>
    </row>
    <row r="15" customFormat="false" ht="15" hidden="false" customHeight="false" outlineLevel="0" collapsed="false">
      <c r="A15" s="7" t="n">
        <v>7</v>
      </c>
      <c r="B15" s="8" t="s">
        <v>25</v>
      </c>
      <c r="C15" s="7" t="n">
        <f aca="false">COUNTA(علاء!D7:D1000)</f>
        <v>11</v>
      </c>
      <c r="D15" s="9" t="n">
        <f aca="false">علاء!F4</f>
        <v>3481</v>
      </c>
      <c r="E15" s="9" t="n">
        <f aca="false">علاء!G4</f>
        <v>2375</v>
      </c>
      <c r="F15" s="10" t="n">
        <f aca="false">علاء!H4</f>
        <v>1106</v>
      </c>
      <c r="G15" s="9" t="n">
        <f aca="false">علاء!I4</f>
        <v>0</v>
      </c>
      <c r="H15" s="11" t="n">
        <f aca="false">علاء!D4</f>
        <v>46308</v>
      </c>
      <c r="I15" s="11" t="n">
        <f aca="false">علاء!E4</f>
        <v>46325</v>
      </c>
      <c r="J15" s="11" t="n">
        <f aca="false">علاء!J4</f>
        <v>46320</v>
      </c>
      <c r="K15" s="7" t="str">
        <f aca="false">علاء!K4</f>
        <v>مستحق لنا</v>
      </c>
    </row>
    <row r="16" customFormat="false" ht="15" hidden="false" customHeight="false" outlineLevel="0" collapsed="false">
      <c r="A16" s="7" t="n">
        <v>8</v>
      </c>
      <c r="B16" s="8" t="s">
        <v>26</v>
      </c>
      <c r="C16" s="7" t="n">
        <f aca="false">COUNTA('مامون بنغالي'!D7:D1000)</f>
        <v>2</v>
      </c>
      <c r="D16" s="9" t="n">
        <f aca="false">'مامون بنغالي'!F4</f>
        <v>2600</v>
      </c>
      <c r="E16" s="9" t="n">
        <f aca="false">'مامون بنغالي'!G4</f>
        <v>2600</v>
      </c>
      <c r="F16" s="10" t="n">
        <f aca="false">'مامون بنغالي'!H4</f>
        <v>0</v>
      </c>
      <c r="G16" s="9" t="n">
        <f aca="false">'مامون بنغالي'!I4</f>
        <v>0</v>
      </c>
      <c r="H16" s="11" t="n">
        <f aca="false">'مامون بنغالي'!D4</f>
        <v>46317</v>
      </c>
      <c r="I16" s="11" t="n">
        <f aca="false">'مامون بنغالي'!E4</f>
        <v>46320</v>
      </c>
      <c r="J16" s="11" t="n">
        <f aca="false">'مامون بنغالي'!J4</f>
        <v>46320</v>
      </c>
      <c r="K16" s="7" t="str">
        <f aca="false">'مامون بنغالي'!K4</f>
        <v>مسدد</v>
      </c>
    </row>
    <row r="17" customFormat="false" ht="15" hidden="false" customHeight="false" outlineLevel="0" collapsed="false">
      <c r="A17" s="7" t="n">
        <v>9</v>
      </c>
      <c r="B17" s="8" t="s">
        <v>27</v>
      </c>
      <c r="C17" s="7" t="n">
        <f aca="false">COUNTA('عرب بركات'!D7:D1000)</f>
        <v>2</v>
      </c>
      <c r="D17" s="9" t="n">
        <f aca="false">'عرب بركات'!F4</f>
        <v>6560.75</v>
      </c>
      <c r="E17" s="9" t="n">
        <f aca="false">'عرب بركات'!G4</f>
        <v>0</v>
      </c>
      <c r="F17" s="10" t="n">
        <f aca="false">'عرب بركات'!H4</f>
        <v>6560.75</v>
      </c>
      <c r="G17" s="9" t="n">
        <f aca="false">'عرب بركات'!I4</f>
        <v>855.75</v>
      </c>
      <c r="H17" s="11" t="n">
        <f aca="false">'عرب بركات'!D4</f>
        <v>46317</v>
      </c>
      <c r="I17" s="11" t="n">
        <f aca="false">'عرب بركات'!E4</f>
        <v>46321</v>
      </c>
      <c r="J17" s="11" t="str">
        <f aca="false">'عرب بركات'!J4</f>
        <v/>
      </c>
      <c r="K17" s="7" t="str">
        <f aca="false">'عرب بركات'!K4</f>
        <v>مستحق لنا</v>
      </c>
    </row>
    <row r="18" customFormat="false" ht="15" hidden="false" customHeight="false" outlineLevel="0" collapsed="false">
      <c r="A18" s="7" t="n">
        <v>10</v>
      </c>
      <c r="B18" s="8" t="s">
        <v>28</v>
      </c>
      <c r="C18" s="7" t="n">
        <f aca="false">COUNTA('ابو احمد السوري'!D7:D1000)</f>
        <v>12</v>
      </c>
      <c r="D18" s="9" t="n">
        <f aca="false">'ابو احمد السوري'!F4</f>
        <v>1271</v>
      </c>
      <c r="E18" s="9" t="n">
        <f aca="false">'ابو احمد السوري'!G4</f>
        <v>1270</v>
      </c>
      <c r="F18" s="10" t="n">
        <f aca="false">'ابو احمد السوري'!H4</f>
        <v>1</v>
      </c>
      <c r="G18" s="9" t="n">
        <f aca="false">'ابو احمد السوري'!I4</f>
        <v>0</v>
      </c>
      <c r="H18" s="11" t="n">
        <f aca="false">'ابو احمد السوري'!D4</f>
        <v>46298</v>
      </c>
      <c r="I18" s="11" t="n">
        <f aca="false">'ابو احمد السوري'!E4</f>
        <v>46316</v>
      </c>
      <c r="J18" s="11" t="n">
        <f aca="false">'ابو احمد السوري'!J4</f>
        <v>46316</v>
      </c>
      <c r="K18" s="7" t="str">
        <f aca="false">'ابو احمد السوري'!K4</f>
        <v>مستحق لنا</v>
      </c>
    </row>
    <row r="19" customFormat="false" ht="15" hidden="false" customHeight="false" outlineLevel="0" collapsed="false">
      <c r="A19" s="7" t="n">
        <v>11</v>
      </c>
      <c r="B19" s="8" t="s">
        <v>29</v>
      </c>
      <c r="C19" s="7" t="n">
        <f aca="false">COUNTA('هشام ناجي'!D7:D1000)</f>
        <v>8</v>
      </c>
      <c r="D19" s="9" t="n">
        <f aca="false">'هشام ناجي'!F4</f>
        <v>7846</v>
      </c>
      <c r="E19" s="9" t="n">
        <f aca="false">'هشام ناجي'!G4</f>
        <v>7821</v>
      </c>
      <c r="F19" s="10" t="n">
        <f aca="false">'هشام ناجي'!H4</f>
        <v>25</v>
      </c>
      <c r="G19" s="9" t="n">
        <f aca="false">'هشام ناجي'!I4</f>
        <v>0</v>
      </c>
      <c r="H19" s="11" t="n">
        <f aca="false">'هشام ناجي'!D4</f>
        <v>46309</v>
      </c>
      <c r="I19" s="11" t="n">
        <f aca="false">'هشام ناجي'!E4</f>
        <v>46319</v>
      </c>
      <c r="J19" s="11" t="n">
        <f aca="false">'هشام ناجي'!J4</f>
        <v>46319</v>
      </c>
      <c r="K19" s="7" t="str">
        <f aca="false">'هشام ناجي'!K4</f>
        <v>مستحق لنا</v>
      </c>
    </row>
    <row r="20" customFormat="false" ht="15" hidden="false" customHeight="false" outlineLevel="0" collapsed="false">
      <c r="A20" s="7" t="n">
        <v>12</v>
      </c>
      <c r="B20" s="8" t="s">
        <v>30</v>
      </c>
      <c r="C20" s="7" t="n">
        <f aca="false">COUNTA('عصام المصري'!D7:D1000)</f>
        <v>7</v>
      </c>
      <c r="D20" s="9" t="n">
        <f aca="false">'عصام المصري'!F4</f>
        <v>1739</v>
      </c>
      <c r="E20" s="9" t="n">
        <f aca="false">'عصام المصري'!G4</f>
        <v>690</v>
      </c>
      <c r="F20" s="10" t="n">
        <f aca="false">'عصام المصري'!H4</f>
        <v>1049</v>
      </c>
      <c r="G20" s="9" t="n">
        <f aca="false">'عصام المصري'!I4</f>
        <v>54</v>
      </c>
      <c r="H20" s="11" t="n">
        <f aca="false">'عصام المصري'!D4</f>
        <v>46307</v>
      </c>
      <c r="I20" s="11" t="n">
        <f aca="false">'عصام المصري'!E4</f>
        <v>46325</v>
      </c>
      <c r="J20" s="11" t="n">
        <f aca="false">'عصام المصري'!J4</f>
        <v>46311</v>
      </c>
      <c r="K20" s="7" t="str">
        <f aca="false">'عصام المصري'!K4</f>
        <v>مستحق لنا</v>
      </c>
    </row>
    <row r="21" customFormat="false" ht="15" hidden="false" customHeight="false" outlineLevel="0" collapsed="false">
      <c r="A21" s="7" t="n">
        <v>13</v>
      </c>
      <c r="B21" s="8" t="s">
        <v>31</v>
      </c>
      <c r="C21" s="7" t="n">
        <f aca="false">COUNTA(الحساني!D7:D1000)</f>
        <v>2</v>
      </c>
      <c r="D21" s="9" t="n">
        <f aca="false">الحساني!F4</f>
        <v>6626.3</v>
      </c>
      <c r="E21" s="9" t="n">
        <f aca="false">الحساني!G4</f>
        <v>6626.3</v>
      </c>
      <c r="F21" s="10" t="n">
        <f aca="false">الحساني!H4</f>
        <v>0</v>
      </c>
      <c r="G21" s="9" t="n">
        <f aca="false">الحساني!I4</f>
        <v>864.3</v>
      </c>
      <c r="H21" s="11" t="n">
        <f aca="false">الحساني!D4</f>
        <v>46314</v>
      </c>
      <c r="I21" s="11" t="n">
        <f aca="false">الحساني!E4</f>
        <v>46315</v>
      </c>
      <c r="J21" s="11" t="n">
        <f aca="false">الحساني!J4</f>
        <v>46315</v>
      </c>
      <c r="K21" s="7" t="str">
        <f aca="false">الحساني!K4</f>
        <v>مسدد</v>
      </c>
    </row>
    <row r="22" customFormat="false" ht="15" hidden="false" customHeight="false" outlineLevel="0" collapsed="false">
      <c r="A22" s="7" t="n">
        <v>14</v>
      </c>
      <c r="B22" s="8" t="s">
        <v>32</v>
      </c>
      <c r="C22" s="7" t="n">
        <f aca="false">COUNTA('سليم يمني'!D7:D1000)</f>
        <v>2</v>
      </c>
      <c r="D22" s="9" t="n">
        <f aca="false">'سليم يمني'!F4</f>
        <v>300</v>
      </c>
      <c r="E22" s="9" t="n">
        <f aca="false">'سليم يمني'!G4</f>
        <v>300</v>
      </c>
      <c r="F22" s="10" t="n">
        <f aca="false">'سليم يمني'!H4</f>
        <v>0</v>
      </c>
      <c r="G22" s="9" t="n">
        <f aca="false">'سليم يمني'!I4</f>
        <v>0</v>
      </c>
      <c r="H22" s="11" t="n">
        <f aca="false">'سليم يمني'!D4</f>
        <v>46315</v>
      </c>
      <c r="I22" s="11" t="n">
        <f aca="false">'سليم يمني'!E4</f>
        <v>46322</v>
      </c>
      <c r="J22" s="11" t="n">
        <f aca="false">'سليم يمني'!J4</f>
        <v>46322</v>
      </c>
      <c r="K22" s="7" t="str">
        <f aca="false">'سليم يمني'!K4</f>
        <v>مسدد</v>
      </c>
    </row>
    <row r="23" customFormat="false" ht="15" hidden="false" customHeight="false" outlineLevel="0" collapsed="false">
      <c r="A23" s="7" t="n">
        <v>15</v>
      </c>
      <c r="B23" s="8" t="s">
        <v>33</v>
      </c>
      <c r="C23" s="7" t="n">
        <f aca="false">COUNTA('ناصر اكرم'!D7:D1000)</f>
        <v>7</v>
      </c>
      <c r="D23" s="9" t="n">
        <f aca="false">'ناصر اكرم'!F4</f>
        <v>2190</v>
      </c>
      <c r="E23" s="9" t="n">
        <f aca="false">'ناصر اكرم'!G4</f>
        <v>2190</v>
      </c>
      <c r="F23" s="10" t="n">
        <f aca="false">'ناصر اكرم'!H4</f>
        <v>0</v>
      </c>
      <c r="G23" s="9" t="n">
        <f aca="false">'ناصر اكرم'!I4</f>
        <v>0</v>
      </c>
      <c r="H23" s="11" t="n">
        <f aca="false">'ناصر اكرم'!D4</f>
        <v>46314</v>
      </c>
      <c r="I23" s="11" t="n">
        <f aca="false">'ناصر اكرم'!E4</f>
        <v>46322</v>
      </c>
      <c r="J23" s="11" t="n">
        <f aca="false">'ناصر اكرم'!J4</f>
        <v>46322</v>
      </c>
      <c r="K23" s="7" t="str">
        <f aca="false">'ناصر اكرم'!K4</f>
        <v>مسدد</v>
      </c>
    </row>
    <row r="24" customFormat="false" ht="15" hidden="false" customHeight="false" outlineLevel="0" collapsed="false">
      <c r="A24" s="7" t="n">
        <v>16</v>
      </c>
      <c r="B24" s="8" t="s">
        <v>34</v>
      </c>
      <c r="C24" s="7" t="n">
        <f aca="false">COUNTA('مدحت تركي'!D7:D1000)</f>
        <v>1</v>
      </c>
      <c r="D24" s="9" t="n">
        <f aca="false">'مدحت تركي'!F4</f>
        <v>1400</v>
      </c>
      <c r="E24" s="9" t="n">
        <f aca="false">'مدحت تركي'!G4</f>
        <v>0</v>
      </c>
      <c r="F24" s="10" t="n">
        <f aca="false">'مدحت تركي'!H4</f>
        <v>1400</v>
      </c>
      <c r="G24" s="9" t="n">
        <f aca="false">'مدحت تركي'!I4</f>
        <v>0</v>
      </c>
      <c r="H24" s="11" t="n">
        <f aca="false">'مدحت تركي'!D4</f>
        <v>46318</v>
      </c>
      <c r="I24" s="11" t="n">
        <f aca="false">'مدحت تركي'!E4</f>
        <v>46318</v>
      </c>
      <c r="J24" s="11" t="str">
        <f aca="false">'مدحت تركي'!J4</f>
        <v/>
      </c>
      <c r="K24" s="7" t="str">
        <f aca="false">'مدحت تركي'!K4</f>
        <v>مستحق لنا</v>
      </c>
    </row>
    <row r="25" customFormat="false" ht="15" hidden="false" customHeight="false" outlineLevel="0" collapsed="false">
      <c r="A25" s="7" t="n">
        <v>17</v>
      </c>
      <c r="B25" s="8" t="s">
        <v>35</v>
      </c>
      <c r="C25" s="7" t="n">
        <f aca="false">COUNTA('امين بنغالي'!D7:D1000)</f>
        <v>12</v>
      </c>
      <c r="D25" s="9" t="n">
        <f aca="false">'امين بنغالي'!F4</f>
        <v>7880</v>
      </c>
      <c r="E25" s="9" t="n">
        <f aca="false">'امين بنغالي'!G4</f>
        <v>5425</v>
      </c>
      <c r="F25" s="10" t="n">
        <f aca="false">'امين بنغالي'!H4</f>
        <v>2455</v>
      </c>
      <c r="G25" s="9" t="n">
        <f aca="false">'امين بنغالي'!I4</f>
        <v>0</v>
      </c>
      <c r="H25" s="11" t="n">
        <f aca="false">'امين بنغالي'!D4</f>
        <v>46314</v>
      </c>
      <c r="I25" s="11" t="n">
        <f aca="false">'امين بنغالي'!E4</f>
        <v>46325</v>
      </c>
      <c r="J25" s="11" t="n">
        <f aca="false">'امين بنغالي'!J4</f>
        <v>46325</v>
      </c>
      <c r="K25" s="7" t="str">
        <f aca="false">'امين بنغالي'!K4</f>
        <v>مستحق لنا</v>
      </c>
    </row>
    <row r="26" customFormat="false" ht="15" hidden="false" customHeight="false" outlineLevel="0" collapsed="false">
      <c r="A26" s="7" t="n">
        <v>18</v>
      </c>
      <c r="B26" s="8" t="s">
        <v>36</v>
      </c>
      <c r="C26" s="7" t="n">
        <f aca="false">COUNTA('محمود الساعي'!D7:D1000)</f>
        <v>4</v>
      </c>
      <c r="D26" s="9" t="n">
        <f aca="false">'محمود الساعي'!F4</f>
        <v>4275</v>
      </c>
      <c r="E26" s="9" t="n">
        <f aca="false">'محمود الساعي'!G4</f>
        <v>4275</v>
      </c>
      <c r="F26" s="10" t="n">
        <f aca="false">'محمود الساعي'!H4</f>
        <v>0</v>
      </c>
      <c r="G26" s="9" t="n">
        <f aca="false">'محمود الساعي'!I4</f>
        <v>0</v>
      </c>
      <c r="H26" s="11" t="n">
        <f aca="false">'محمود الساعي'!D4</f>
        <v>46316</v>
      </c>
      <c r="I26" s="11" t="n">
        <f aca="false">'محمود الساعي'!E4</f>
        <v>46323</v>
      </c>
      <c r="J26" s="11" t="n">
        <f aca="false">'محمود الساعي'!J4</f>
        <v>46323</v>
      </c>
      <c r="K26" s="7" t="str">
        <f aca="false">'محمود الساعي'!K4</f>
        <v>مسدد</v>
      </c>
    </row>
    <row r="27" customFormat="false" ht="15" hidden="false" customHeight="false" outlineLevel="0" collapsed="false">
      <c r="A27" s="7" t="n">
        <v>19</v>
      </c>
      <c r="B27" s="8" t="s">
        <v>37</v>
      </c>
      <c r="C27" s="7" t="n">
        <f aca="false">COUNTA('سليمان اليمني'!D7:D1000)</f>
        <v>2</v>
      </c>
      <c r="D27" s="9" t="n">
        <f aca="false">'سليمان اليمني'!F4</f>
        <v>160</v>
      </c>
      <c r="E27" s="9" t="n">
        <f aca="false">'سليمان اليمني'!G4</f>
        <v>160</v>
      </c>
      <c r="F27" s="10" t="n">
        <f aca="false">'سليمان اليمني'!H4</f>
        <v>0</v>
      </c>
      <c r="G27" s="9" t="n">
        <f aca="false">'سليمان اليمني'!I4</f>
        <v>0</v>
      </c>
      <c r="H27" s="11" t="n">
        <f aca="false">'سليمان اليمني'!D4</f>
        <v>46309</v>
      </c>
      <c r="I27" s="11" t="n">
        <f aca="false">'سليمان اليمني'!E4</f>
        <v>46311</v>
      </c>
      <c r="J27" s="11" t="n">
        <f aca="false">'سليمان اليمني'!J4</f>
        <v>46311</v>
      </c>
      <c r="K27" s="7" t="str">
        <f aca="false">'سليمان اليمني'!K4</f>
        <v>مسدد</v>
      </c>
    </row>
    <row r="28" customFormat="false" ht="15" hidden="false" customHeight="false" outlineLevel="0" collapsed="false">
      <c r="A28" s="7" t="n">
        <v>20</v>
      </c>
      <c r="B28" s="8" t="s">
        <v>38</v>
      </c>
      <c r="C28" s="7" t="n">
        <f aca="false">COUNTA(كامل!D7:D1000)</f>
        <v>1</v>
      </c>
      <c r="D28" s="9" t="n">
        <f aca="false">كامل!F4</f>
        <v>568.1</v>
      </c>
      <c r="E28" s="9" t="n">
        <f aca="false">كامل!G4</f>
        <v>0</v>
      </c>
      <c r="F28" s="10" t="n">
        <f aca="false">كامل!H4</f>
        <v>568.1</v>
      </c>
      <c r="G28" s="9" t="n">
        <f aca="false">كامل!I4</f>
        <v>74.1</v>
      </c>
      <c r="H28" s="11" t="n">
        <f aca="false">كامل!D4</f>
        <v>46313</v>
      </c>
      <c r="I28" s="11" t="n">
        <f aca="false">كامل!E4</f>
        <v>46313</v>
      </c>
      <c r="J28" s="11" t="str">
        <f aca="false">كامل!J4</f>
        <v/>
      </c>
      <c r="K28" s="7" t="str">
        <f aca="false">كامل!K4</f>
        <v>مستحق لنا</v>
      </c>
    </row>
    <row r="29" customFormat="false" ht="15" hidden="false" customHeight="false" outlineLevel="0" collapsed="false">
      <c r="A29" s="7" t="n">
        <v>21</v>
      </c>
      <c r="B29" s="8" t="s">
        <v>39</v>
      </c>
      <c r="C29" s="7" t="n">
        <f aca="false">COUNTA(امجد!D7:D1000)</f>
        <v>3</v>
      </c>
      <c r="D29" s="9" t="n">
        <f aca="false">امجد!F4</f>
        <v>75</v>
      </c>
      <c r="E29" s="9" t="n">
        <f aca="false">امجد!G4</f>
        <v>75</v>
      </c>
      <c r="F29" s="10" t="n">
        <f aca="false">امجد!H4</f>
        <v>0</v>
      </c>
      <c r="G29" s="9" t="n">
        <f aca="false">امجد!I4</f>
        <v>0</v>
      </c>
      <c r="H29" s="11" t="n">
        <f aca="false">امجد!D4</f>
        <v>46322</v>
      </c>
      <c r="I29" s="11" t="n">
        <f aca="false">امجد!E4</f>
        <v>46323</v>
      </c>
      <c r="J29" s="11" t="n">
        <f aca="false">امجد!J4</f>
        <v>46323</v>
      </c>
      <c r="K29" s="7" t="str">
        <f aca="false">امجد!K4</f>
        <v>مسدد</v>
      </c>
    </row>
    <row r="30" customFormat="false" ht="15" hidden="false" customHeight="false" outlineLevel="0" collapsed="false">
      <c r="A30" s="7" t="n">
        <v>22</v>
      </c>
      <c r="B30" s="8" t="s">
        <v>40</v>
      </c>
      <c r="C30" s="7" t="n">
        <f aca="false">COUNTA('الكعبي كاش'!D7:D1000)</f>
        <v>10</v>
      </c>
      <c r="D30" s="9" t="n">
        <f aca="false">'الكعبي كاش'!F4</f>
        <v>10430</v>
      </c>
      <c r="E30" s="9" t="n">
        <f aca="false">'الكعبي كاش'!G4</f>
        <v>6760</v>
      </c>
      <c r="F30" s="10" t="n">
        <f aca="false">'الكعبي كاش'!H4</f>
        <v>3670</v>
      </c>
      <c r="G30" s="9" t="n">
        <f aca="false">'الكعبي كاش'!I4</f>
        <v>0</v>
      </c>
      <c r="H30" s="11" t="n">
        <f aca="false">'الكعبي كاش'!D4</f>
        <v>46298</v>
      </c>
      <c r="I30" s="11" t="n">
        <f aca="false">'الكعبي كاش'!E4</f>
        <v>46317</v>
      </c>
      <c r="J30" s="11" t="n">
        <f aca="false">'الكعبي كاش'!J4</f>
        <v>46308</v>
      </c>
      <c r="K30" s="7" t="str">
        <f aca="false">'الكعبي كاش'!K4</f>
        <v>مستحق لنا</v>
      </c>
    </row>
    <row r="31" customFormat="false" ht="15" hidden="false" customHeight="false" outlineLevel="0" collapsed="false">
      <c r="A31" s="7" t="n">
        <v>23</v>
      </c>
      <c r="B31" s="8" t="s">
        <v>41</v>
      </c>
      <c r="C31" s="7" t="n">
        <f aca="false">COUNTA('الكعبي حوالة'!D7:D1000)</f>
        <v>8</v>
      </c>
      <c r="D31" s="9" t="n">
        <f aca="false">'الكعبي حوالة'!F4</f>
        <v>7636</v>
      </c>
      <c r="E31" s="9" t="n">
        <f aca="false">'الكعبي حوالة'!G4</f>
        <v>0</v>
      </c>
      <c r="F31" s="10" t="n">
        <f aca="false">'الكعبي حوالة'!H4</f>
        <v>7636</v>
      </c>
      <c r="G31" s="9" t="n">
        <f aca="false">'الكعبي حوالة'!I4</f>
        <v>996</v>
      </c>
      <c r="H31" s="11" t="n">
        <f aca="false">'الكعبي حوالة'!D4</f>
        <v>46307</v>
      </c>
      <c r="I31" s="11" t="n">
        <f aca="false">'الكعبي حوالة'!E4</f>
        <v>46309</v>
      </c>
      <c r="J31" s="11" t="str">
        <f aca="false">'الكعبي حوالة'!J4</f>
        <v/>
      </c>
      <c r="K31" s="7" t="str">
        <f aca="false">'الكعبي حوالة'!K4</f>
        <v>مستحق لنا</v>
      </c>
    </row>
    <row r="32" customFormat="false" ht="15" hidden="false" customHeight="false" outlineLevel="0" collapsed="false">
      <c r="A32" s="7" t="n">
        <v>24</v>
      </c>
      <c r="B32" s="8" t="s">
        <v>42</v>
      </c>
      <c r="C32" s="7" t="n">
        <f aca="false">COUNTA('محمد عادل'!D7:D1000)</f>
        <v>11</v>
      </c>
      <c r="D32" s="9" t="n">
        <f aca="false">'محمد عادل'!F4</f>
        <v>10835.55</v>
      </c>
      <c r="E32" s="9" t="n">
        <f aca="false">'محمد عادل'!G4</f>
        <v>10835</v>
      </c>
      <c r="F32" s="10" t="n">
        <f aca="false">'محمد عادل'!H4</f>
        <v>0.55</v>
      </c>
      <c r="G32" s="9" t="n">
        <f aca="false">'محمد عادل'!I4</f>
        <v>547.25</v>
      </c>
      <c r="H32" s="11" t="n">
        <f aca="false">'محمد عادل'!D4</f>
        <v>46307</v>
      </c>
      <c r="I32" s="11" t="n">
        <f aca="false">'محمد عادل'!E4</f>
        <v>46321</v>
      </c>
      <c r="J32" s="11" t="n">
        <f aca="false">'محمد عادل'!J4</f>
        <v>46321</v>
      </c>
      <c r="K32" s="7" t="str">
        <f aca="false">'محمد عادل'!K4</f>
        <v>مستحق لنا</v>
      </c>
    </row>
    <row r="33" customFormat="false" ht="15" hidden="false" customHeight="false" outlineLevel="0" collapsed="false">
      <c r="A33" s="7" t="n">
        <v>25</v>
      </c>
      <c r="B33" s="8" t="s">
        <v>43</v>
      </c>
      <c r="C33" s="7" t="n">
        <f aca="false">COUNTA('فيض الكرم'!D7:D1000)</f>
        <v>4</v>
      </c>
      <c r="D33" s="9" t="n">
        <f aca="false">'فيض الكرم'!F4</f>
        <v>5037</v>
      </c>
      <c r="E33" s="9" t="n">
        <f aca="false">'فيض الكرم'!G4</f>
        <v>5035</v>
      </c>
      <c r="F33" s="10" t="n">
        <f aca="false">'فيض الكرم'!H4</f>
        <v>2</v>
      </c>
      <c r="G33" s="9" t="n">
        <f aca="false">'فيض الكرم'!I4</f>
        <v>657</v>
      </c>
      <c r="H33" s="11" t="n">
        <f aca="false">'فيض الكرم'!D4</f>
        <v>46313</v>
      </c>
      <c r="I33" s="11" t="n">
        <f aca="false">'فيض الكرم'!E4</f>
        <v>46321</v>
      </c>
      <c r="J33" s="11" t="n">
        <f aca="false">'فيض الكرم'!J4</f>
        <v>46321</v>
      </c>
      <c r="K33" s="7" t="str">
        <f aca="false">'فيض الكرم'!K4</f>
        <v>مستحق لنا</v>
      </c>
    </row>
    <row r="34" customFormat="false" ht="15" hidden="false" customHeight="false" outlineLevel="0" collapsed="false">
      <c r="A34" s="7" t="n">
        <v>26</v>
      </c>
      <c r="B34" s="8" t="s">
        <v>44</v>
      </c>
      <c r="C34" s="7" t="n">
        <f aca="false">COUNTA('سامر اليمني'!D7:D1000)</f>
        <v>8</v>
      </c>
      <c r="D34" s="9" t="n">
        <f aca="false">'سامر اليمني'!F4</f>
        <v>720</v>
      </c>
      <c r="E34" s="9" t="n">
        <f aca="false">'سامر اليمني'!G4</f>
        <v>715</v>
      </c>
      <c r="F34" s="10" t="n">
        <f aca="false">'سامر اليمني'!H4</f>
        <v>5</v>
      </c>
      <c r="G34" s="9" t="n">
        <f aca="false">'سامر اليمني'!I4</f>
        <v>0</v>
      </c>
      <c r="H34" s="11" t="n">
        <f aca="false">'سامر اليمني'!D4</f>
        <v>46305</v>
      </c>
      <c r="I34" s="11" t="n">
        <f aca="false">'سامر اليمني'!E4</f>
        <v>46313</v>
      </c>
      <c r="J34" s="11" t="n">
        <f aca="false">'سامر اليمني'!J4</f>
        <v>46313</v>
      </c>
      <c r="K34" s="7" t="str">
        <f aca="false">'سامر اليمني'!K4</f>
        <v>مستحق لنا</v>
      </c>
    </row>
    <row r="35" customFormat="false" ht="15" hidden="false" customHeight="false" outlineLevel="0" collapsed="false">
      <c r="A35" s="7" t="n">
        <v>27</v>
      </c>
      <c r="B35" s="8" t="s">
        <v>45</v>
      </c>
      <c r="C35" s="7" t="n">
        <f aca="false">COUNTA('صلاح الصعيدي'!D7:D1000)</f>
        <v>8</v>
      </c>
      <c r="D35" s="9" t="n">
        <f aca="false">'صلاح الصعيدي'!F4</f>
        <v>285</v>
      </c>
      <c r="E35" s="9" t="n">
        <f aca="false">'صلاح الصعيدي'!G4</f>
        <v>285</v>
      </c>
      <c r="F35" s="10" t="n">
        <f aca="false">'صلاح الصعيدي'!H4</f>
        <v>0</v>
      </c>
      <c r="G35" s="9" t="n">
        <f aca="false">'صلاح الصعيدي'!I4</f>
        <v>0</v>
      </c>
      <c r="H35" s="11" t="n">
        <f aca="false">'صلاح الصعيدي'!D4</f>
        <v>46308</v>
      </c>
      <c r="I35" s="11" t="n">
        <f aca="false">'صلاح الصعيدي'!E4</f>
        <v>46325</v>
      </c>
      <c r="J35" s="11" t="n">
        <f aca="false">'صلاح الصعيدي'!J4</f>
        <v>46325</v>
      </c>
      <c r="K35" s="7" t="str">
        <f aca="false">'صلاح الصعيدي'!K4</f>
        <v>مسدد</v>
      </c>
    </row>
    <row r="36" customFormat="false" ht="15" hidden="false" customHeight="false" outlineLevel="0" collapsed="false">
      <c r="A36" s="7" t="n">
        <v>28</v>
      </c>
      <c r="B36" s="8" t="s">
        <v>46</v>
      </c>
      <c r="C36" s="7" t="n">
        <f aca="false">COUNTA('نور بنغالي'!D7:D1000)</f>
        <v>20</v>
      </c>
      <c r="D36" s="9" t="n">
        <f aca="false">'نور بنغالي'!F4</f>
        <v>4308</v>
      </c>
      <c r="E36" s="9" t="n">
        <f aca="false">'نور بنغالي'!G4</f>
        <v>3540</v>
      </c>
      <c r="F36" s="10" t="n">
        <f aca="false">'نور بنغالي'!H4</f>
        <v>768</v>
      </c>
      <c r="G36" s="9" t="n">
        <f aca="false">'نور بنغالي'!I4</f>
        <v>0</v>
      </c>
      <c r="H36" s="11" t="n">
        <f aca="false">'نور بنغالي'!D4</f>
        <v>46299</v>
      </c>
      <c r="I36" s="11" t="n">
        <f aca="false">'نور بنغالي'!E4</f>
        <v>46325</v>
      </c>
      <c r="J36" s="11" t="n">
        <f aca="false">'نور بنغالي'!J4</f>
        <v>46325</v>
      </c>
      <c r="K36" s="7" t="str">
        <f aca="false">'نور بنغالي'!K4</f>
        <v>مستحق لنا</v>
      </c>
    </row>
    <row r="37" customFormat="false" ht="15" hidden="false" customHeight="false" outlineLevel="0" collapsed="false">
      <c r="A37" s="7" t="n">
        <v>29</v>
      </c>
      <c r="B37" s="8" t="s">
        <v>47</v>
      </c>
      <c r="C37" s="7" t="n">
        <f aca="false">COUNTA('طيبات العصر'!D7:D1000)</f>
        <v>8</v>
      </c>
      <c r="D37" s="9" t="n">
        <f aca="false">'طيبات العصر'!F4</f>
        <v>6728.5</v>
      </c>
      <c r="E37" s="9" t="n">
        <f aca="false">'طيبات العصر'!G4</f>
        <v>6730</v>
      </c>
      <c r="F37" s="10" t="n">
        <f aca="false">'طيبات العصر'!H4</f>
        <v>-1.5</v>
      </c>
      <c r="G37" s="9" t="n">
        <f aca="false">'طيبات العصر'!I4</f>
        <v>850.5</v>
      </c>
      <c r="H37" s="11" t="n">
        <f aca="false">'طيبات العصر'!D4</f>
        <v>46299</v>
      </c>
      <c r="I37" s="11" t="n">
        <f aca="false">'طيبات العصر'!E4</f>
        <v>46316</v>
      </c>
      <c r="J37" s="11" t="n">
        <f aca="false">'طيبات العصر'!J4</f>
        <v>46316</v>
      </c>
      <c r="K37" s="7" t="str">
        <f aca="false">'طيبات العصر'!K4</f>
        <v>رصيد للعميل</v>
      </c>
    </row>
    <row r="38" customFormat="false" ht="15" hidden="false" customHeight="false" outlineLevel="0" collapsed="false">
      <c r="A38" s="7" t="n">
        <v>30</v>
      </c>
      <c r="B38" s="8" t="s">
        <v>48</v>
      </c>
      <c r="C38" s="7" t="n">
        <f aca="false">COUNTA('محيط دلتا'!D7:D1000)</f>
        <v>8</v>
      </c>
      <c r="D38" s="9" t="n">
        <f aca="false">'محيط دلتا'!F4</f>
        <v>4171.36</v>
      </c>
      <c r="E38" s="9" t="n">
        <f aca="false">'محيط دلتا'!G4</f>
        <v>4169</v>
      </c>
      <c r="F38" s="10" t="n">
        <f aca="false">'محيط دلتا'!H4</f>
        <v>2.36</v>
      </c>
      <c r="G38" s="9" t="n">
        <f aca="false">'محيط دلتا'!I4</f>
        <v>361.19</v>
      </c>
      <c r="H38" s="11" t="n">
        <f aca="false">'محيط دلتا'!D4</f>
        <v>46297</v>
      </c>
      <c r="I38" s="11" t="n">
        <f aca="false">'محيط دلتا'!E4</f>
        <v>46309</v>
      </c>
      <c r="J38" s="11" t="n">
        <f aca="false">'محيط دلتا'!J4</f>
        <v>46309</v>
      </c>
      <c r="K38" s="7" t="str">
        <f aca="false">'محيط دلتا'!K4</f>
        <v>مستحق لنا</v>
      </c>
    </row>
    <row r="39" customFormat="false" ht="15" hidden="false" customHeight="false" outlineLevel="0" collapsed="false">
      <c r="A39" s="7" t="n">
        <v>31</v>
      </c>
      <c r="B39" s="8" t="s">
        <v>49</v>
      </c>
      <c r="C39" s="7" t="n">
        <f aca="false">COUNTA(ابوعجاج!D7:D1000)</f>
        <v>6</v>
      </c>
      <c r="D39" s="9" t="n">
        <f aca="false">ابوعجاج!F4</f>
        <v>9508</v>
      </c>
      <c r="E39" s="9" t="n">
        <f aca="false">ابوعجاج!G4</f>
        <v>7308</v>
      </c>
      <c r="F39" s="10" t="n">
        <f aca="false">ابوعجاج!H4</f>
        <v>2200</v>
      </c>
      <c r="G39" s="9" t="n">
        <f aca="false">ابوعجاج!I4</f>
        <v>528</v>
      </c>
      <c r="H39" s="11" t="n">
        <f aca="false">ابوعجاج!D4</f>
        <v>46301</v>
      </c>
      <c r="I39" s="11" t="n">
        <f aca="false">ابوعجاج!E4</f>
        <v>46319</v>
      </c>
      <c r="J39" s="11" t="n">
        <f aca="false">ابوعجاج!J4</f>
        <v>46319</v>
      </c>
      <c r="K39" s="7" t="str">
        <f aca="false">ابوعجاج!K4</f>
        <v>مستحق لنا</v>
      </c>
    </row>
    <row r="40" customFormat="false" ht="15" hidden="false" customHeight="false" outlineLevel="0" collapsed="false">
      <c r="A40" s="7" t="n">
        <v>32</v>
      </c>
      <c r="B40" s="8" t="s">
        <v>50</v>
      </c>
      <c r="C40" s="7" t="n">
        <f aca="false">COUNTA('ماجد بسطة'!D7:D1000)</f>
        <v>8</v>
      </c>
      <c r="D40" s="9" t="n">
        <f aca="false">'ماجد بسطة'!F4</f>
        <v>1224</v>
      </c>
      <c r="E40" s="9" t="n">
        <f aca="false">'ماجد بسطة'!G4</f>
        <v>900</v>
      </c>
      <c r="F40" s="10" t="n">
        <f aca="false">'ماجد بسطة'!H4</f>
        <v>324</v>
      </c>
      <c r="G40" s="9" t="n">
        <f aca="false">'ماجد بسطة'!I4</f>
        <v>0</v>
      </c>
      <c r="H40" s="11" t="n">
        <f aca="false">'ماجد بسطة'!D4</f>
        <v>46314</v>
      </c>
      <c r="I40" s="11" t="n">
        <f aca="false">'ماجد بسطة'!E4</f>
        <v>46321</v>
      </c>
      <c r="J40" s="11" t="n">
        <f aca="false">'ماجد بسطة'!J4</f>
        <v>46321</v>
      </c>
      <c r="K40" s="7" t="str">
        <f aca="false">'ماجد بسطة'!K4</f>
        <v>مستحق لنا</v>
      </c>
    </row>
    <row r="41" customFormat="false" ht="15" hidden="false" customHeight="false" outlineLevel="0" collapsed="false">
      <c r="A41" s="7" t="n">
        <v>33</v>
      </c>
      <c r="B41" s="8" t="s">
        <v>51</v>
      </c>
      <c r="C41" s="7" t="n">
        <f aca="false">COUNTA('سليم بنغالي'!D7:D1000)</f>
        <v>17</v>
      </c>
      <c r="D41" s="9" t="n">
        <f aca="false">'سليم بنغالي'!F4</f>
        <v>11030</v>
      </c>
      <c r="E41" s="9" t="n">
        <f aca="false">'سليم بنغالي'!G4</f>
        <v>11030</v>
      </c>
      <c r="F41" s="10" t="n">
        <f aca="false">'سليم بنغالي'!H4</f>
        <v>0</v>
      </c>
      <c r="G41" s="9" t="n">
        <f aca="false">'سليم بنغالي'!I4</f>
        <v>0</v>
      </c>
      <c r="H41" s="11" t="n">
        <f aca="false">'سليم بنغالي'!D4</f>
        <v>46303</v>
      </c>
      <c r="I41" s="11" t="n">
        <f aca="false">'سليم بنغالي'!E4</f>
        <v>46323</v>
      </c>
      <c r="J41" s="11" t="n">
        <f aca="false">'سليم بنغالي'!J4</f>
        <v>46319</v>
      </c>
      <c r="K41" s="7" t="str">
        <f aca="false">'سليم بنغالي'!K4</f>
        <v>مسدد</v>
      </c>
    </row>
    <row r="42" customFormat="false" ht="15" hidden="false" customHeight="false" outlineLevel="0" collapsed="false">
      <c r="A42" s="7" t="n">
        <v>34</v>
      </c>
      <c r="B42" s="8" t="s">
        <v>52</v>
      </c>
      <c r="C42" s="7" t="n">
        <f aca="false">COUNTA('التخصص الذهبي'!D7:D1000)</f>
        <v>44</v>
      </c>
      <c r="D42" s="9" t="n">
        <f aca="false">'التخصص الذهبي'!F4</f>
        <v>56681.2</v>
      </c>
      <c r="E42" s="9" t="n">
        <f aca="false">'التخصص الذهبي'!G4</f>
        <v>43938</v>
      </c>
      <c r="F42" s="10" t="n">
        <f aca="false">'التخصص الذهبي'!H4</f>
        <v>12743.2</v>
      </c>
      <c r="G42" s="9" t="n">
        <f aca="false">'التخصص الذهبي'!I4</f>
        <v>7393.2</v>
      </c>
      <c r="H42" s="11" t="n">
        <f aca="false">'التخصص الذهبي'!D4</f>
        <v>46308</v>
      </c>
      <c r="I42" s="11" t="n">
        <f aca="false">'التخصص الذهبي'!E4</f>
        <v>46325</v>
      </c>
      <c r="J42" s="11" t="n">
        <f aca="false">'التخصص الذهبي'!J4</f>
        <v>46325</v>
      </c>
      <c r="K42" s="7" t="str">
        <f aca="false">'التخصص الذهبي'!K4</f>
        <v>مستحق لنا</v>
      </c>
    </row>
    <row r="43" customFormat="false" ht="15" hidden="false" customHeight="false" outlineLevel="0" collapsed="false">
      <c r="A43" s="7" t="n">
        <v>35</v>
      </c>
      <c r="B43" s="8" t="s">
        <v>53</v>
      </c>
      <c r="C43" s="7" t="n">
        <f aca="false">COUNTA('عبدالرحمن قدري'!D7:D1000)</f>
        <v>4</v>
      </c>
      <c r="D43" s="9" t="n">
        <f aca="false">'عبدالرحمن قدري'!F4</f>
        <v>7826</v>
      </c>
      <c r="E43" s="9" t="n">
        <f aca="false">'عبدالرحمن قدري'!G4</f>
        <v>7826</v>
      </c>
      <c r="F43" s="10" t="n">
        <f aca="false">'عبدالرحمن قدري'!H4</f>
        <v>0</v>
      </c>
      <c r="G43" s="9" t="n">
        <f aca="false">'عبدالرحمن قدري'!I4</f>
        <v>0</v>
      </c>
      <c r="H43" s="11" t="n">
        <f aca="false">'عبدالرحمن قدري'!D4</f>
        <v>46323</v>
      </c>
      <c r="I43" s="11" t="n">
        <f aca="false">'عبدالرحمن قدري'!E4</f>
        <v>46325</v>
      </c>
      <c r="J43" s="11" t="n">
        <f aca="false">'عبدالرحمن قدري'!J4</f>
        <v>46325</v>
      </c>
      <c r="K43" s="7" t="str">
        <f aca="false">'عبدالرحمن قدري'!K4</f>
        <v>مسدد</v>
      </c>
    </row>
    <row r="44" customFormat="false" ht="15" hidden="false" customHeight="false" outlineLevel="0" collapsed="false">
      <c r="A44" s="7" t="n">
        <v>36</v>
      </c>
      <c r="B44" s="8" t="s">
        <v>54</v>
      </c>
      <c r="C44" s="7" t="n">
        <f aca="false">COUNTA(محسن!D7:D1000)</f>
        <v>2</v>
      </c>
      <c r="D44" s="9" t="n">
        <f aca="false">محسن!F4</f>
        <v>2640</v>
      </c>
      <c r="E44" s="9" t="n">
        <f aca="false">محسن!G4</f>
        <v>2640</v>
      </c>
      <c r="F44" s="10" t="n">
        <f aca="false">محسن!H4</f>
        <v>0</v>
      </c>
      <c r="G44" s="9" t="n">
        <f aca="false">محسن!I4</f>
        <v>0</v>
      </c>
      <c r="H44" s="11" t="n">
        <f aca="false">محسن!D4</f>
        <v>46322</v>
      </c>
      <c r="I44" s="11" t="n">
        <f aca="false">محسن!E4</f>
        <v>46324</v>
      </c>
      <c r="J44" s="11" t="n">
        <f aca="false">محسن!J4</f>
        <v>46324</v>
      </c>
      <c r="K44" s="7" t="str">
        <f aca="false">محسن!K4</f>
        <v>مسدد</v>
      </c>
    </row>
    <row r="45" customFormat="false" ht="15" hidden="false" customHeight="false" outlineLevel="0" collapsed="false">
      <c r="A45" s="7" t="n">
        <v>37</v>
      </c>
      <c r="B45" s="8" t="s">
        <v>55</v>
      </c>
      <c r="C45" s="7" t="n">
        <f aca="false">COUNTA(انعام!D7:D1000)</f>
        <v>1</v>
      </c>
      <c r="D45" s="9" t="n">
        <f aca="false">انعام!F4</f>
        <v>3018.75</v>
      </c>
      <c r="E45" s="9" t="n">
        <f aca="false">انعام!G4</f>
        <v>0</v>
      </c>
      <c r="F45" s="10" t="n">
        <f aca="false">انعام!H4</f>
        <v>3018.75</v>
      </c>
      <c r="G45" s="9" t="n">
        <f aca="false">انعام!I4</f>
        <v>393.75</v>
      </c>
      <c r="H45" s="11" t="n">
        <f aca="false">انعام!D4</f>
        <v>46324</v>
      </c>
      <c r="I45" s="11" t="n">
        <f aca="false">انعام!E4</f>
        <v>46324</v>
      </c>
      <c r="J45" s="11" t="str">
        <f aca="false">انعام!J4</f>
        <v/>
      </c>
      <c r="K45" s="7" t="str">
        <f aca="false">انعام!K4</f>
        <v>مستحق لنا</v>
      </c>
    </row>
    <row r="46" customFormat="false" ht="15" hidden="false" customHeight="false" outlineLevel="0" collapsed="false">
      <c r="A46" s="7" t="n">
        <v>38</v>
      </c>
      <c r="B46" s="8" t="s">
        <v>56</v>
      </c>
      <c r="C46" s="7" t="n">
        <f aca="false">COUNTA('طلال القبيشي'!D7:D1000)</f>
        <v>5</v>
      </c>
      <c r="D46" s="9" t="n">
        <f aca="false">'طلال القبيشي'!F4</f>
        <v>3830</v>
      </c>
      <c r="E46" s="9" t="n">
        <f aca="false">'طلال القبيشي'!G4</f>
        <v>2600</v>
      </c>
      <c r="F46" s="10" t="n">
        <f aca="false">'طلال القبيشي'!H4</f>
        <v>1230</v>
      </c>
      <c r="G46" s="9" t="n">
        <f aca="false">'طلال القبيشي'!I4</f>
        <v>0</v>
      </c>
      <c r="H46" s="11" t="n">
        <f aca="false">'طلال القبيشي'!D4</f>
        <v>46317</v>
      </c>
      <c r="I46" s="11" t="n">
        <f aca="false">'طلال القبيشي'!E4</f>
        <v>46324</v>
      </c>
      <c r="J46" s="11" t="n">
        <f aca="false">'طلال القبيشي'!J4</f>
        <v>46321</v>
      </c>
      <c r="K46" s="7" t="str">
        <f aca="false">'طلال القبيشي'!K4</f>
        <v>مستحق لنا</v>
      </c>
    </row>
    <row r="47" customFormat="false" ht="15" hidden="false" customHeight="false" outlineLevel="0" collapsed="false">
      <c r="A47" s="7" t="n">
        <v>39</v>
      </c>
      <c r="B47" s="8" t="s">
        <v>57</v>
      </c>
      <c r="C47" s="7" t="n">
        <f aca="false">COUNTA('عبدالرحمن زبون'!D7:D1000)</f>
        <v>1</v>
      </c>
      <c r="D47" s="9" t="n">
        <f aca="false">'عبدالرحمن زبون'!F4</f>
        <v>140</v>
      </c>
      <c r="E47" s="9" t="n">
        <f aca="false">'عبدالرحمن زبون'!G4</f>
        <v>0</v>
      </c>
      <c r="F47" s="10" t="n">
        <f aca="false">'عبدالرحمن زبون'!H4</f>
        <v>140</v>
      </c>
      <c r="G47" s="9" t="n">
        <f aca="false">'عبدالرحمن زبون'!I4</f>
        <v>0</v>
      </c>
      <c r="H47" s="11" t="n">
        <f aca="false">'عبدالرحمن زبون'!D4</f>
        <v>46323</v>
      </c>
      <c r="I47" s="11" t="n">
        <f aca="false">'عبدالرحمن زبون'!E4</f>
        <v>46323</v>
      </c>
      <c r="J47" s="11" t="str">
        <f aca="false">'عبدالرحمن زبون'!J4</f>
        <v/>
      </c>
      <c r="K47" s="7" t="str">
        <f aca="false">'عبدالرحمن زبون'!K4</f>
        <v>مستحق لنا</v>
      </c>
    </row>
    <row r="48" customFormat="false" ht="15" hidden="false" customHeight="false" outlineLevel="0" collapsed="false">
      <c r="A48" s="7" t="n">
        <v>40</v>
      </c>
      <c r="B48" s="8" t="s">
        <v>58</v>
      </c>
      <c r="C48" s="7" t="n">
        <f aca="false">COUNTA('متجر منافس'!D7:D1000)</f>
        <v>15</v>
      </c>
      <c r="D48" s="9" t="n">
        <f aca="false">'متجر منافس'!F4</f>
        <v>13390</v>
      </c>
      <c r="E48" s="9" t="n">
        <f aca="false">'متجر منافس'!G4</f>
        <v>13392</v>
      </c>
      <c r="F48" s="10" t="n">
        <f aca="false">'متجر منافس'!H4</f>
        <v>-2</v>
      </c>
      <c r="G48" s="9" t="n">
        <f aca="false">'متجر منافس'!I4</f>
        <v>0</v>
      </c>
      <c r="H48" s="11" t="n">
        <f aca="false">'متجر منافس'!D4</f>
        <v>46302</v>
      </c>
      <c r="I48" s="11" t="n">
        <f aca="false">'متجر منافس'!E4</f>
        <v>46320</v>
      </c>
      <c r="J48" s="11" t="n">
        <f aca="false">'متجر منافس'!J4</f>
        <v>46320</v>
      </c>
      <c r="K48" s="7" t="str">
        <f aca="false">'متجر منافس'!K4</f>
        <v>رصيد للعميل</v>
      </c>
    </row>
    <row r="49" customFormat="false" ht="15" hidden="false" customHeight="false" outlineLevel="0" collapsed="false">
      <c r="A49" s="7" t="n">
        <v>41</v>
      </c>
      <c r="B49" s="8" t="s">
        <v>59</v>
      </c>
      <c r="C49" s="7" t="n">
        <f aca="false">COUNTA('نقاوة بلس'!D7:D1000)</f>
        <v>16</v>
      </c>
      <c r="D49" s="9" t="n">
        <f aca="false">'نقاوة بلس'!F4</f>
        <v>35043.95</v>
      </c>
      <c r="E49" s="9" t="n">
        <f aca="false">'نقاوة بلس'!G4</f>
        <v>35043.95</v>
      </c>
      <c r="F49" s="10" t="n">
        <f aca="false">'نقاوة بلس'!H4</f>
        <v>0</v>
      </c>
      <c r="G49" s="9" t="n">
        <f aca="false">'نقاوة بلس'!I4</f>
        <v>4570.95</v>
      </c>
      <c r="H49" s="11" t="n">
        <f aca="false">'نقاوة بلس'!D4</f>
        <v>46304</v>
      </c>
      <c r="I49" s="11" t="n">
        <f aca="false">'نقاوة بلس'!E4</f>
        <v>46323</v>
      </c>
      <c r="J49" s="11" t="n">
        <f aca="false">'نقاوة بلس'!J4</f>
        <v>46323</v>
      </c>
      <c r="K49" s="7" t="str">
        <f aca="false">'نقاوة بلس'!K4</f>
        <v>مسدد</v>
      </c>
    </row>
    <row r="50" customFormat="false" ht="15" hidden="false" customHeight="false" outlineLevel="0" collapsed="false">
      <c r="A50" s="7" t="n">
        <v>42</v>
      </c>
      <c r="B50" s="8" t="s">
        <v>60</v>
      </c>
      <c r="C50" s="7" t="n">
        <f aca="false">COUNTA('بلال بنغالي'!D7:D1000)</f>
        <v>6</v>
      </c>
      <c r="D50" s="9" t="n">
        <f aca="false">'بلال بنغالي'!F4</f>
        <v>200</v>
      </c>
      <c r="E50" s="9" t="n">
        <f aca="false">'بلال بنغالي'!G4</f>
        <v>200</v>
      </c>
      <c r="F50" s="10" t="n">
        <f aca="false">'بلال بنغالي'!H4</f>
        <v>0</v>
      </c>
      <c r="G50" s="9" t="n">
        <f aca="false">'بلال بنغالي'!I4</f>
        <v>0</v>
      </c>
      <c r="H50" s="11" t="n">
        <f aca="false">'بلال بنغالي'!D4</f>
        <v>46303</v>
      </c>
      <c r="I50" s="11" t="n">
        <f aca="false">'بلال بنغالي'!E4</f>
        <v>46313</v>
      </c>
      <c r="J50" s="11" t="n">
        <f aca="false">'بلال بنغالي'!J4</f>
        <v>46313</v>
      </c>
      <c r="K50" s="7" t="str">
        <f aca="false">'بلال بنغالي'!K4</f>
        <v>مسدد</v>
      </c>
    </row>
    <row r="51" customFormat="false" ht="15" hidden="false" customHeight="false" outlineLevel="0" collapsed="false">
      <c r="A51" s="7" t="n">
        <v>43</v>
      </c>
      <c r="B51" s="8" t="s">
        <v>61</v>
      </c>
      <c r="C51" s="7" t="n">
        <f aca="false">COUNTA(الجيزاني!D7:D1000)</f>
        <v>2</v>
      </c>
      <c r="D51" s="9" t="n">
        <f aca="false">الجيزاني!F4</f>
        <v>2100</v>
      </c>
      <c r="E51" s="9" t="n">
        <f aca="false">الجيزاني!G4</f>
        <v>2100</v>
      </c>
      <c r="F51" s="10" t="n">
        <f aca="false">الجيزاني!H4</f>
        <v>0</v>
      </c>
      <c r="G51" s="9" t="n">
        <f aca="false">الجيزاني!I4</f>
        <v>0</v>
      </c>
      <c r="H51" s="11" t="n">
        <f aca="false">الجيزاني!D4</f>
        <v>46319</v>
      </c>
      <c r="I51" s="11" t="n">
        <f aca="false">الجيزاني!E4</f>
        <v>46323</v>
      </c>
      <c r="J51" s="11" t="n">
        <f aca="false">الجيزاني!J4</f>
        <v>46323</v>
      </c>
      <c r="K51" s="7" t="str">
        <f aca="false">الجيزاني!K4</f>
        <v>مسدد</v>
      </c>
    </row>
    <row r="52" customFormat="false" ht="15" hidden="false" customHeight="false" outlineLevel="0" collapsed="false">
      <c r="B52" s="12" t="s">
        <v>62</v>
      </c>
      <c r="C52" s="13" t="n">
        <f aca="false">SUM(C9:C51)</f>
        <v>320</v>
      </c>
      <c r="D52" s="14" t="n">
        <f aca="false">SUM(D9:D51)</f>
        <v>266754.21</v>
      </c>
      <c r="E52" s="14" t="n">
        <f aca="false">SUM(E9:E51)</f>
        <v>214533</v>
      </c>
      <c r="F52" s="14" t="n">
        <f aca="false">SUM(F9:F51)</f>
        <v>52221.21</v>
      </c>
      <c r="G52" s="14" t="n">
        <f aca="false">SUM(G9:G51)</f>
        <v>18881.74</v>
      </c>
    </row>
  </sheetData>
  <autoFilter ref="A8:K51"/>
  <mergeCells count="2">
    <mergeCell ref="A1:K1"/>
    <mergeCell ref="A2:K2"/>
  </mergeCells>
  <conditionalFormatting sqref="K9:K51">
    <cfRule type="expression" priority="2" aboveAverage="0" equalAverage="0" bottom="0" percent="0" rank="0" text="" dxfId="9">
      <formula>K9="مستحق لنا"</formula>
    </cfRule>
    <cfRule type="expression" priority="3" aboveAverage="0" equalAverage="0" bottom="0" percent="0" rank="0" text="" dxfId="10">
      <formula>K9="مسدد"</formula>
    </cfRule>
  </conditionalFormatting>
  <conditionalFormatting sqref="F9:F51">
    <cfRule type="expression" priority="4" aboveAverage="0" equalAverage="0" bottom="0" percent="0" rank="0" text="" dxfId="11">
      <formula>F9&lt;0</formula>
    </cfRule>
  </conditionalFormatting>
  <hyperlinks>
    <hyperlink ref="B9" r:id="rId1" location="'محمد%20زبون'!A1" display="محمد زبون"/>
    <hyperlink ref="B10" r:id="rId2" location="'فضل'!A1" display="فضل"/>
    <hyperlink ref="B11" r:id="rId3" location="'قصي%20جابر'!A1" display="قصي جابر"/>
    <hyperlink ref="B12" r:id="rId4" location="'مصنع%20امداد'!A1" display="مصنع امداد"/>
    <hyperlink ref="B13" r:id="rId5" location="'هارون'!A1" display="هارون"/>
    <hyperlink ref="B14" r:id="rId6" location="'مجني'!A1" display="ثمار مجني"/>
    <hyperlink ref="B15" r:id="rId7" location="'علاء'!A1" display="علاء"/>
    <hyperlink ref="B16" r:id="rId8" location="'مامون%20بنغالي'!A1" display="مامون بنغالي"/>
    <hyperlink ref="B17" r:id="rId9" location="'عرب%20بركات'!A1" display="عرب بركات"/>
    <hyperlink ref="B18" r:id="rId10" location="'ابو%20احمد%20السوري'!A1" display="أبو احمد السوري"/>
    <hyperlink ref="B19" r:id="rId11" location="'هشام%20ناجي'!A1" display="هشام ناجي"/>
    <hyperlink ref="B20" r:id="rId12" location="'عصام%20المصري'!A1" display="عصام المصري"/>
    <hyperlink ref="B21" r:id="rId13" location="'الحساني'!A1" display="الحساني"/>
    <hyperlink ref="B22" r:id="rId14" location="'سليم%20يمني'!A1" display="سليم يمني"/>
    <hyperlink ref="B23" r:id="rId15" location="'ناصر%20اكرم'!A1" display="ناصر اكرم"/>
    <hyperlink ref="B24" r:id="rId16" location="'مدحت%20تركي'!A1" display="مدحت تركي"/>
    <hyperlink ref="B25" r:id="rId17" location="'امين%20بنغالي'!A1" display="امين بنغالي"/>
    <hyperlink ref="B26" r:id="rId18" location="'محمود%20الساعي'!A1" display="محمود الساعي"/>
    <hyperlink ref="B27" r:id="rId19" location="'سليمان%20اليمني'!A1" display="سليمان اليمني"/>
    <hyperlink ref="B28" r:id="rId20" location="'كامل'!A1" display="كامل"/>
    <hyperlink ref="B29" r:id="rId21" location="'امجد'!A1" display="امجد"/>
    <hyperlink ref="B30" r:id="rId22" location="'الكعبي%20كاش'!A1" display="الكعبي كاش"/>
    <hyperlink ref="B31" r:id="rId23" location="'الكعبي%20حوالة'!A1" display="الكعبي حوالة"/>
    <hyperlink ref="B32" r:id="rId24" location="'محمد%20عادل'!A1" display="محمد عادل"/>
    <hyperlink ref="B33" r:id="rId25" location="'فيض%20الكرم'!A1" display="فيض الكرم"/>
    <hyperlink ref="B34" r:id="rId26" location="'سامر%20اليمني'!A1" display="سامر اليمني"/>
    <hyperlink ref="B35" r:id="rId27" location="'صلاح%20الصعيدي'!A1" display="صلاح الصعيدي"/>
    <hyperlink ref="B36" r:id="rId28" location="'نور%20بنغالي'!A1" display="نور بنغالي"/>
    <hyperlink ref="B37" r:id="rId29" location="'طيبات%20العصر'!A1" display="طيبات العصر"/>
    <hyperlink ref="B38" r:id="rId30" location="'محيط%20دلتا'!A1" display="محيط دلتا"/>
    <hyperlink ref="B39" r:id="rId31" location="'ابوعجاج'!A1" display="أبو عجاج"/>
    <hyperlink ref="B40" r:id="rId32" location="'ماجد%20بسطة'!A1" display="ماجد بسطه"/>
    <hyperlink ref="B41" r:id="rId33" location="'سليم%20بنغالي'!A1" display="سليم بنغالي"/>
    <hyperlink ref="B42" r:id="rId34" location="'التخصص%20الذهبي'!A1" display="التخصص الذهبي"/>
    <hyperlink ref="B43" r:id="rId35" location="'عبدالرحمن%20قدري'!A1" display="عبدالرحمن قدري"/>
    <hyperlink ref="B44" r:id="rId36" location="'محسن'!A1" display="محسن"/>
    <hyperlink ref="B45" r:id="rId37" location="'انعام'!A1" display="انعام"/>
    <hyperlink ref="B46" r:id="rId38" location="'طلال%20القبيشي'!A1" display="طلال القبيشي"/>
    <hyperlink ref="B47" r:id="rId39" location="'عبدالرحمن%20زبون'!A1" display="عبدالرحمن زبون"/>
    <hyperlink ref="B48" r:id="rId40" location="'متجر%20منافس'!A1" display="متجر منافس"/>
    <hyperlink ref="B49" r:id="rId41" location="'نقاوة%20بلس'!A1" display="نقاوة بلس"/>
    <hyperlink ref="B50" r:id="rId42" location="'بلال%20بنغالي'!A1" display="بلال بنغالي"/>
    <hyperlink ref="B51" r:id="rId43" location="'الجيزاني'!A1" display="الجيزاني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K3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1" min="10" style="0" width="13"/>
  </cols>
  <sheetData>
    <row r="1" customFormat="false" ht="17.35" hidden="false" customHeight="true" outlineLevel="0" collapsed="false">
      <c r="A1" s="15" t="s">
        <v>63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1.9" hidden="false" customHeight="false" outlineLevel="0" collapsed="false">
      <c r="A2" s="16" t="s">
        <v>64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15" hidden="false" customHeight="false" outlineLevel="0" collapsed="false">
      <c r="A3" s="6" t="s">
        <v>9</v>
      </c>
      <c r="B3" s="6" t="s">
        <v>65</v>
      </c>
      <c r="C3" s="6" t="s">
        <v>66</v>
      </c>
      <c r="D3" s="6" t="s">
        <v>67</v>
      </c>
      <c r="E3" s="6" t="s">
        <v>68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</row>
    <row r="4" customFormat="false" ht="15" hidden="false" customHeight="false" outlineLevel="0" collapsed="false">
      <c r="A4" s="17" t="s">
        <v>19</v>
      </c>
      <c r="B4" s="11" t="n">
        <f aca="false">'محمد زبون'!C7</f>
        <v>46311</v>
      </c>
      <c r="C4" s="17" t="str">
        <f aca="false">'محمد زبون'!D7</f>
        <v>تفاح سلة</v>
      </c>
      <c r="D4" s="17" t="s">
        <v>75</v>
      </c>
      <c r="E4" s="7" t="s">
        <v>76</v>
      </c>
      <c r="F4" s="18" t="n">
        <f aca="false">IF('محمد زبون'!E7="","",'محمد زبون'!E7)</f>
        <v>1</v>
      </c>
      <c r="G4" s="19" t="n">
        <f aca="false">IF('محمد زبون'!F7="","",'محمد زبون'!F7)</f>
        <v>60</v>
      </c>
      <c r="H4" s="9" t="n">
        <f aca="false">IF(F4="","",ROUND(F4*G4,2))</f>
        <v>60</v>
      </c>
      <c r="I4" s="9" t="n">
        <f aca="false">IF(F4="","",ROUND(H4*IF(N('محمد زبون'!G7)&gt;1,'محمد زبون'!G7-1,0),2))</f>
        <v>0</v>
      </c>
      <c r="J4" s="9" t="n">
        <f aca="false">N('محمد زبون'!H7)</f>
        <v>60</v>
      </c>
      <c r="K4" s="9" t="n">
        <f aca="false">N('محمد زبون'!I7)</f>
        <v>0</v>
      </c>
    </row>
    <row r="5" customFormat="false" ht="15" hidden="false" customHeight="false" outlineLevel="0" collapsed="false">
      <c r="A5" s="17" t="s">
        <v>19</v>
      </c>
      <c r="B5" s="11" t="n">
        <f aca="false">'محمد زبون'!C8</f>
        <v>46311</v>
      </c>
      <c r="C5" s="17" t="str">
        <f aca="false">'محمد زبون'!D8</f>
        <v>رمان وسط</v>
      </c>
      <c r="D5" s="17" t="s">
        <v>77</v>
      </c>
      <c r="E5" s="7" t="s">
        <v>76</v>
      </c>
      <c r="F5" s="18" t="n">
        <f aca="false">IF('محمد زبون'!E8="","",'محمد زبون'!E8)</f>
        <v>1</v>
      </c>
      <c r="G5" s="19" t="n">
        <f aca="false">IF('محمد زبون'!F8="","",'محمد زبون'!F8)</f>
        <v>19</v>
      </c>
      <c r="H5" s="9" t="n">
        <f aca="false">IF(F5="","",ROUND(F5*G5,2))</f>
        <v>19</v>
      </c>
      <c r="I5" s="9" t="n">
        <f aca="false">IF(F5="","",ROUND(H5*IF(N('محمد زبون'!G8)&gt;1,'محمد زبون'!G8-1,0),2))</f>
        <v>0</v>
      </c>
      <c r="J5" s="9" t="n">
        <f aca="false">N('محمد زبون'!H8)</f>
        <v>19</v>
      </c>
      <c r="K5" s="9" t="n">
        <f aca="false">N('محمد زبون'!I8)</f>
        <v>0</v>
      </c>
    </row>
    <row r="6" customFormat="false" ht="15" hidden="false" customHeight="false" outlineLevel="0" collapsed="false">
      <c r="A6" s="17" t="s">
        <v>19</v>
      </c>
      <c r="B6" s="11" t="n">
        <f aca="false">'محمد زبون'!C9</f>
        <v>46312</v>
      </c>
      <c r="C6" s="17" t="str">
        <f aca="false">'محمد زبون'!D9</f>
        <v>سداد</v>
      </c>
      <c r="D6" s="17"/>
      <c r="E6" s="7" t="s">
        <v>78</v>
      </c>
      <c r="F6" s="7" t="str">
        <f aca="false">IF('محمد زبون'!E9="","",'محمد زبون'!E9)</f>
        <v/>
      </c>
      <c r="G6" s="19" t="str">
        <f aca="false">IF('محمد زبون'!F9="","",'محمد زبون'!F9)</f>
        <v/>
      </c>
      <c r="H6" s="9" t="str">
        <f aca="false">IF(F6="","",ROUND(F6*G6,2))</f>
        <v/>
      </c>
      <c r="I6" s="9" t="str">
        <f aca="false">IF(F6="","",ROUND(H6*IF(N('محمد زبون'!G9)&gt;1,'محمد زبون'!G9-1,0),2))</f>
        <v/>
      </c>
      <c r="J6" s="9" t="n">
        <f aca="false">N('محمد زبون'!H9)</f>
        <v>0</v>
      </c>
      <c r="K6" s="9" t="n">
        <f aca="false">N('محمد زبون'!I9)</f>
        <v>79</v>
      </c>
    </row>
    <row r="7" customFormat="false" ht="15" hidden="false" customHeight="false" outlineLevel="0" collapsed="false">
      <c r="A7" s="17" t="s">
        <v>19</v>
      </c>
      <c r="B7" s="11" t="n">
        <f aca="false">'محمد زبون'!C10</f>
        <v>46312</v>
      </c>
      <c r="C7" s="17" t="str">
        <f aca="false">'محمد زبون'!D10</f>
        <v>تفاح سلة</v>
      </c>
      <c r="D7" s="17" t="s">
        <v>75</v>
      </c>
      <c r="E7" s="7" t="s">
        <v>76</v>
      </c>
      <c r="F7" s="18" t="n">
        <f aca="false">IF('محمد زبون'!E10="","",'محمد زبون'!E10)</f>
        <v>1</v>
      </c>
      <c r="G7" s="19" t="n">
        <f aca="false">IF('محمد زبون'!F10="","",'محمد زبون'!F10)</f>
        <v>60</v>
      </c>
      <c r="H7" s="9" t="n">
        <f aca="false">IF(F7="","",ROUND(F7*G7,2))</f>
        <v>60</v>
      </c>
      <c r="I7" s="9" t="n">
        <f aca="false">IF(F7="","",ROUND(H7*IF(N('محمد زبون'!G10)&gt;1,'محمد زبون'!G10-1,0),2))</f>
        <v>0</v>
      </c>
      <c r="J7" s="9" t="n">
        <f aca="false">N('محمد زبون'!H10)</f>
        <v>60</v>
      </c>
      <c r="K7" s="9" t="n">
        <f aca="false">N('محمد زبون'!I10)</f>
        <v>0</v>
      </c>
    </row>
    <row r="8" customFormat="false" ht="15" hidden="false" customHeight="false" outlineLevel="0" collapsed="false">
      <c r="A8" s="17" t="s">
        <v>19</v>
      </c>
      <c r="B8" s="11" t="n">
        <f aca="false">'محمد زبون'!C11</f>
        <v>46312</v>
      </c>
      <c r="C8" s="17" t="str">
        <f aca="false">'محمد زبون'!D11</f>
        <v>رمان وسط</v>
      </c>
      <c r="D8" s="17" t="s">
        <v>77</v>
      </c>
      <c r="E8" s="7" t="s">
        <v>76</v>
      </c>
      <c r="F8" s="18" t="n">
        <f aca="false">IF('محمد زبون'!E11="","",'محمد زبون'!E11)</f>
        <v>1</v>
      </c>
      <c r="G8" s="19" t="n">
        <f aca="false">IF('محمد زبون'!F11="","",'محمد زبون'!F11)</f>
        <v>19</v>
      </c>
      <c r="H8" s="9" t="n">
        <f aca="false">IF(F8="","",ROUND(F8*G8,2))</f>
        <v>19</v>
      </c>
      <c r="I8" s="9" t="n">
        <f aca="false">IF(F8="","",ROUND(H8*IF(N('محمد زبون'!G11)&gt;1,'محمد زبون'!G11-1,0),2))</f>
        <v>0</v>
      </c>
      <c r="J8" s="9" t="n">
        <f aca="false">N('محمد زبون'!H11)</f>
        <v>19</v>
      </c>
      <c r="K8" s="9" t="n">
        <f aca="false">N('محمد زبون'!I11)</f>
        <v>0</v>
      </c>
    </row>
    <row r="9" customFormat="false" ht="15" hidden="false" customHeight="false" outlineLevel="0" collapsed="false">
      <c r="A9" s="17" t="s">
        <v>19</v>
      </c>
      <c r="B9" s="11" t="n">
        <f aca="false">'محمد زبون'!C12</f>
        <v>46313</v>
      </c>
      <c r="C9" s="17" t="str">
        <f aca="false">'محمد زبون'!D12</f>
        <v>سداد</v>
      </c>
      <c r="D9" s="17"/>
      <c r="E9" s="7" t="s">
        <v>78</v>
      </c>
      <c r="F9" s="7" t="str">
        <f aca="false">IF('محمد زبون'!E12="","",'محمد زبون'!E12)</f>
        <v/>
      </c>
      <c r="G9" s="19" t="str">
        <f aca="false">IF('محمد زبون'!F12="","",'محمد زبون'!F12)</f>
        <v/>
      </c>
      <c r="H9" s="9" t="str">
        <f aca="false">IF(F9="","",ROUND(F9*G9,2))</f>
        <v/>
      </c>
      <c r="I9" s="9" t="str">
        <f aca="false">IF(F9="","",ROUND(H9*IF(N('محمد زبون'!G12)&gt;1,'محمد زبون'!G12-1,0),2))</f>
        <v/>
      </c>
      <c r="J9" s="9" t="n">
        <f aca="false">N('محمد زبون'!H12)</f>
        <v>0</v>
      </c>
      <c r="K9" s="9" t="n">
        <f aca="false">N('محمد زبون'!I12)</f>
        <v>79</v>
      </c>
    </row>
    <row r="10" customFormat="false" ht="15" hidden="false" customHeight="false" outlineLevel="0" collapsed="false">
      <c r="A10" s="17" t="s">
        <v>19</v>
      </c>
      <c r="B10" s="11" t="n">
        <f aca="false">'محمد زبون'!C13</f>
        <v>46313</v>
      </c>
      <c r="C10" s="17" t="str">
        <f aca="false">'محمد زبون'!D13</f>
        <v>تفاح سلة</v>
      </c>
      <c r="D10" s="17" t="s">
        <v>75</v>
      </c>
      <c r="E10" s="7" t="s">
        <v>76</v>
      </c>
      <c r="F10" s="18" t="n">
        <f aca="false">IF('محمد زبون'!E13="","",'محمد زبون'!E13)</f>
        <v>2</v>
      </c>
      <c r="G10" s="19" t="n">
        <f aca="false">IF('محمد زبون'!F13="","",'محمد زبون'!F13)</f>
        <v>60</v>
      </c>
      <c r="H10" s="9" t="n">
        <f aca="false">IF(F10="","",ROUND(F10*G10,2))</f>
        <v>120</v>
      </c>
      <c r="I10" s="9" t="n">
        <f aca="false">IF(F10="","",ROUND(H10*IF(N('محمد زبون'!G13)&gt;1,'محمد زبون'!G13-1,0),2))</f>
        <v>0</v>
      </c>
      <c r="J10" s="9" t="n">
        <f aca="false">N('محمد زبون'!H13)</f>
        <v>120</v>
      </c>
      <c r="K10" s="9" t="n">
        <f aca="false">N('محمد زبون'!I13)</f>
        <v>0</v>
      </c>
    </row>
    <row r="11" customFormat="false" ht="15" hidden="false" customHeight="false" outlineLevel="0" collapsed="false">
      <c r="A11" s="17" t="s">
        <v>19</v>
      </c>
      <c r="B11" s="11" t="n">
        <f aca="false">'محمد زبون'!C14</f>
        <v>46314</v>
      </c>
      <c r="C11" s="17" t="str">
        <f aca="false">'محمد زبون'!D14</f>
        <v>سداد</v>
      </c>
      <c r="D11" s="17"/>
      <c r="E11" s="7" t="s">
        <v>78</v>
      </c>
      <c r="F11" s="7" t="str">
        <f aca="false">IF('محمد زبون'!E14="","",'محمد زبون'!E14)</f>
        <v/>
      </c>
      <c r="G11" s="19" t="str">
        <f aca="false">IF('محمد زبون'!F14="","",'محمد زبون'!F14)</f>
        <v/>
      </c>
      <c r="H11" s="9" t="str">
        <f aca="false">IF(F11="","",ROUND(F11*G11,2))</f>
        <v/>
      </c>
      <c r="I11" s="9" t="str">
        <f aca="false">IF(F11="","",ROUND(H11*IF(N('محمد زبون'!G14)&gt;1,'محمد زبون'!G14-1,0),2))</f>
        <v/>
      </c>
      <c r="J11" s="9" t="n">
        <f aca="false">N('محمد زبون'!H14)</f>
        <v>0</v>
      </c>
      <c r="K11" s="9" t="n">
        <f aca="false">N('محمد زبون'!I14)</f>
        <v>120</v>
      </c>
    </row>
    <row r="12" customFormat="false" ht="15" hidden="false" customHeight="false" outlineLevel="0" collapsed="false">
      <c r="A12" s="17" t="s">
        <v>19</v>
      </c>
      <c r="B12" s="11" t="n">
        <f aca="false">'محمد زبون'!C15</f>
        <v>46318</v>
      </c>
      <c r="C12" s="17" t="str">
        <f aca="false">'محمد زبون'!D15</f>
        <v>تفاح سلة</v>
      </c>
      <c r="D12" s="17" t="s">
        <v>75</v>
      </c>
      <c r="E12" s="7" t="s">
        <v>76</v>
      </c>
      <c r="F12" s="18" t="n">
        <f aca="false">IF('محمد زبون'!E15="","",'محمد زبون'!E15)</f>
        <v>3</v>
      </c>
      <c r="G12" s="19" t="n">
        <f aca="false">IF('محمد زبون'!F15="","",'محمد زبون'!F15)</f>
        <v>55</v>
      </c>
      <c r="H12" s="9" t="n">
        <f aca="false">IF(F12="","",ROUND(F12*G12,2))</f>
        <v>165</v>
      </c>
      <c r="I12" s="9" t="n">
        <f aca="false">IF(F12="","",ROUND(H12*IF(N('محمد زبون'!G15)&gt;1,'محمد زبون'!G15-1,0),2))</f>
        <v>0</v>
      </c>
      <c r="J12" s="9" t="n">
        <f aca="false">N('محمد زبون'!H15)</f>
        <v>165</v>
      </c>
      <c r="K12" s="9" t="n">
        <f aca="false">N('محمد زبون'!I15)</f>
        <v>0</v>
      </c>
    </row>
    <row r="13" customFormat="false" ht="15" hidden="false" customHeight="false" outlineLevel="0" collapsed="false">
      <c r="A13" s="17" t="s">
        <v>19</v>
      </c>
      <c r="B13" s="11" t="n">
        <f aca="false">'محمد زبون'!C16</f>
        <v>46320</v>
      </c>
      <c r="C13" s="17" t="str">
        <f aca="false">'محمد زبون'!D16</f>
        <v>سداد</v>
      </c>
      <c r="D13" s="17"/>
      <c r="E13" s="7" t="s">
        <v>78</v>
      </c>
      <c r="F13" s="7" t="str">
        <f aca="false">IF('محمد زبون'!E16="","",'محمد زبون'!E16)</f>
        <v/>
      </c>
      <c r="G13" s="19" t="str">
        <f aca="false">IF('محمد زبون'!F16="","",'محمد زبون'!F16)</f>
        <v/>
      </c>
      <c r="H13" s="9" t="str">
        <f aca="false">IF(F13="","",ROUND(F13*G13,2))</f>
        <v/>
      </c>
      <c r="I13" s="9" t="str">
        <f aca="false">IF(F13="","",ROUND(H13*IF(N('محمد زبون'!G16)&gt;1,'محمد زبون'!G16-1,0),2))</f>
        <v/>
      </c>
      <c r="J13" s="9" t="n">
        <f aca="false">N('محمد زبون'!H16)</f>
        <v>0</v>
      </c>
      <c r="K13" s="9" t="n">
        <f aca="false">N('محمد زبون'!I16)</f>
        <v>165</v>
      </c>
    </row>
    <row r="14" customFormat="false" ht="15" hidden="false" customHeight="false" outlineLevel="0" collapsed="false">
      <c r="A14" s="17" t="s">
        <v>19</v>
      </c>
      <c r="B14" s="11" t="n">
        <f aca="false">'محمد زبون'!C17</f>
        <v>46321</v>
      </c>
      <c r="C14" s="17" t="str">
        <f aca="false">'محمد زبون'!D17</f>
        <v>تفاح سلة</v>
      </c>
      <c r="D14" s="17" t="s">
        <v>75</v>
      </c>
      <c r="E14" s="7" t="s">
        <v>76</v>
      </c>
      <c r="F14" s="18" t="n">
        <f aca="false">IF('محمد زبون'!E17="","",'محمد زبون'!E17)</f>
        <v>1</v>
      </c>
      <c r="G14" s="19" t="n">
        <f aca="false">IF('محمد زبون'!F17="","",'محمد زبون'!F17)</f>
        <v>55</v>
      </c>
      <c r="H14" s="9" t="n">
        <f aca="false">IF(F14="","",ROUND(F14*G14,2))</f>
        <v>55</v>
      </c>
      <c r="I14" s="9" t="n">
        <f aca="false">IF(F14="","",ROUND(H14*IF(N('محمد زبون'!G17)&gt;1,'محمد زبون'!G17-1,0),2))</f>
        <v>0</v>
      </c>
      <c r="J14" s="9" t="n">
        <f aca="false">N('محمد زبون'!H17)</f>
        <v>55</v>
      </c>
      <c r="K14" s="9" t="n">
        <f aca="false">N('محمد زبون'!I17)</f>
        <v>0</v>
      </c>
    </row>
    <row r="15" customFormat="false" ht="15" hidden="false" customHeight="false" outlineLevel="0" collapsed="false">
      <c r="A15" s="17" t="s">
        <v>19</v>
      </c>
      <c r="B15" s="11" t="n">
        <f aca="false">'محمد زبون'!C18</f>
        <v>46324</v>
      </c>
      <c r="C15" s="17" t="str">
        <f aca="false">'محمد زبون'!D18</f>
        <v>سداد</v>
      </c>
      <c r="D15" s="17"/>
      <c r="E15" s="7" t="s">
        <v>78</v>
      </c>
      <c r="F15" s="7" t="str">
        <f aca="false">IF('محمد زبون'!E18="","",'محمد زبون'!E18)</f>
        <v/>
      </c>
      <c r="G15" s="19" t="str">
        <f aca="false">IF('محمد زبون'!F18="","",'محمد زبون'!F18)</f>
        <v/>
      </c>
      <c r="H15" s="9" t="str">
        <f aca="false">IF(F15="","",ROUND(F15*G15,2))</f>
        <v/>
      </c>
      <c r="I15" s="9" t="str">
        <f aca="false">IF(F15="","",ROUND(H15*IF(N('محمد زبون'!G18)&gt;1,'محمد زبون'!G18-1,0),2))</f>
        <v/>
      </c>
      <c r="J15" s="9" t="n">
        <f aca="false">N('محمد زبون'!H18)</f>
        <v>0</v>
      </c>
      <c r="K15" s="9" t="n">
        <f aca="false">N('محمد زبون'!I18)</f>
        <v>55</v>
      </c>
    </row>
    <row r="16" customFormat="false" ht="15" hidden="false" customHeight="false" outlineLevel="0" collapsed="false">
      <c r="A16" s="17" t="s">
        <v>20</v>
      </c>
      <c r="B16" s="11" t="n">
        <f aca="false">فضل!C7</f>
        <v>46321</v>
      </c>
      <c r="C16" s="17" t="str">
        <f aca="false">فضل!D7</f>
        <v>افندي</v>
      </c>
      <c r="D16" s="17" t="s">
        <v>79</v>
      </c>
      <c r="E16" s="7" t="s">
        <v>76</v>
      </c>
      <c r="F16" s="18" t="n">
        <f aca="false">IF(فضل!E7="","",فضل!E7)</f>
        <v>1</v>
      </c>
      <c r="G16" s="19" t="n">
        <f aca="false">IF(فضل!F7="","",فضل!F7)</f>
        <v>90</v>
      </c>
      <c r="H16" s="9" t="n">
        <f aca="false">IF(F16="","",ROUND(F16*G16,2))</f>
        <v>90</v>
      </c>
      <c r="I16" s="9" t="n">
        <f aca="false">IF(F16="","",ROUND(H16*IF(N(فضل!G7)&gt;1,فضل!G7-1,0),2))</f>
        <v>0</v>
      </c>
      <c r="J16" s="9" t="n">
        <f aca="false">N(فضل!H7)</f>
        <v>90</v>
      </c>
      <c r="K16" s="9" t="n">
        <f aca="false">N(فضل!I7)</f>
        <v>0</v>
      </c>
    </row>
    <row r="17" customFormat="false" ht="15" hidden="false" customHeight="false" outlineLevel="0" collapsed="false">
      <c r="A17" s="17" t="s">
        <v>20</v>
      </c>
      <c r="B17" s="11" t="n">
        <f aca="false">فضل!C8</f>
        <v>46324</v>
      </c>
      <c r="C17" s="17" t="str">
        <f aca="false">فضل!D8</f>
        <v>سداد</v>
      </c>
      <c r="D17" s="17"/>
      <c r="E17" s="7" t="s">
        <v>78</v>
      </c>
      <c r="F17" s="7" t="str">
        <f aca="false">IF(فضل!E8="","",فضل!E8)</f>
        <v/>
      </c>
      <c r="G17" s="19" t="str">
        <f aca="false">IF(فضل!F8="","",فضل!F8)</f>
        <v/>
      </c>
      <c r="H17" s="9" t="str">
        <f aca="false">IF(F17="","",ROUND(F17*G17,2))</f>
        <v/>
      </c>
      <c r="I17" s="9" t="str">
        <f aca="false">IF(F17="","",ROUND(H17*IF(N(فضل!G8)&gt;1,فضل!G8-1,0),2))</f>
        <v/>
      </c>
      <c r="J17" s="9" t="n">
        <f aca="false">N(فضل!H8)</f>
        <v>0</v>
      </c>
      <c r="K17" s="9" t="n">
        <f aca="false">N(فضل!I8)</f>
        <v>90</v>
      </c>
    </row>
    <row r="18" customFormat="false" ht="15" hidden="false" customHeight="false" outlineLevel="0" collapsed="false">
      <c r="A18" s="17" t="s">
        <v>21</v>
      </c>
      <c r="B18" s="11" t="n">
        <f aca="false">'قصي جابر'!C7</f>
        <v>46297</v>
      </c>
      <c r="C18" s="17" t="str">
        <f aca="false">'قصي جابر'!D7</f>
        <v>فراولة</v>
      </c>
      <c r="D18" s="17" t="s">
        <v>80</v>
      </c>
      <c r="E18" s="7" t="s">
        <v>76</v>
      </c>
      <c r="F18" s="18" t="n">
        <f aca="false">IF('قصي جابر'!E7="","",'قصي جابر'!E7)</f>
        <v>20</v>
      </c>
      <c r="G18" s="19" t="n">
        <f aca="false">IF('قصي جابر'!F7="","",'قصي جابر'!F7)</f>
        <v>110</v>
      </c>
      <c r="H18" s="9" t="n">
        <f aca="false">IF(F18="","",ROUND(F18*G18,2))</f>
        <v>2200</v>
      </c>
      <c r="I18" s="9" t="n">
        <f aca="false">IF(F18="","",ROUND(H18*IF(N('قصي جابر'!G7)&gt;1,'قصي جابر'!G7-1,0),2))</f>
        <v>0</v>
      </c>
      <c r="J18" s="9" t="n">
        <f aca="false">N('قصي جابر'!H7)</f>
        <v>2200</v>
      </c>
      <c r="K18" s="9" t="n">
        <f aca="false">N('قصي جابر'!I7)</f>
        <v>0</v>
      </c>
    </row>
    <row r="19" customFormat="false" ht="15" hidden="false" customHeight="false" outlineLevel="0" collapsed="false">
      <c r="A19" s="17" t="s">
        <v>21</v>
      </c>
      <c r="B19" s="11" t="n">
        <f aca="false">'قصي جابر'!C8</f>
        <v>46298</v>
      </c>
      <c r="C19" s="17" t="str">
        <f aca="false">'قصي جابر'!D8</f>
        <v>سداد</v>
      </c>
      <c r="D19" s="17"/>
      <c r="E19" s="7" t="s">
        <v>78</v>
      </c>
      <c r="F19" s="7" t="str">
        <f aca="false">IF('قصي جابر'!E8="","",'قصي جابر'!E8)</f>
        <v/>
      </c>
      <c r="G19" s="19" t="str">
        <f aca="false">IF('قصي جابر'!F8="","",'قصي جابر'!F8)</f>
        <v/>
      </c>
      <c r="H19" s="9" t="str">
        <f aca="false">IF(F19="","",ROUND(F19*G19,2))</f>
        <v/>
      </c>
      <c r="I19" s="9" t="str">
        <f aca="false">IF(F19="","",ROUND(H19*IF(N('قصي جابر'!G8)&gt;1,'قصي جابر'!G8-1,0),2))</f>
        <v/>
      </c>
      <c r="J19" s="9" t="n">
        <f aca="false">N('قصي جابر'!H8)</f>
        <v>0</v>
      </c>
      <c r="K19" s="9" t="n">
        <f aca="false">N('قصي جابر'!I8)</f>
        <v>2200</v>
      </c>
    </row>
    <row r="20" customFormat="false" ht="15" hidden="false" customHeight="false" outlineLevel="0" collapsed="false">
      <c r="A20" s="17" t="s">
        <v>21</v>
      </c>
      <c r="B20" s="11" t="n">
        <f aca="false">'قصي جابر'!C9</f>
        <v>46303</v>
      </c>
      <c r="C20" s="17" t="str">
        <f aca="false">'قصي جابر'!D9</f>
        <v>فراولة</v>
      </c>
      <c r="D20" s="17" t="s">
        <v>80</v>
      </c>
      <c r="E20" s="7" t="s">
        <v>76</v>
      </c>
      <c r="F20" s="18" t="n">
        <f aca="false">IF('قصي جابر'!E9="","",'قصي جابر'!E9)</f>
        <v>10</v>
      </c>
      <c r="G20" s="19" t="n">
        <f aca="false">IF('قصي جابر'!F9="","",'قصي جابر'!F9)</f>
        <v>125</v>
      </c>
      <c r="H20" s="9" t="n">
        <f aca="false">IF(F20="","",ROUND(F20*G20,2))</f>
        <v>1250</v>
      </c>
      <c r="I20" s="9" t="n">
        <f aca="false">IF(F20="","",ROUND(H20*IF(N('قصي جابر'!G9)&gt;1,'قصي جابر'!G9-1,0),2))</f>
        <v>0</v>
      </c>
      <c r="J20" s="9" t="n">
        <f aca="false">N('قصي جابر'!H9)</f>
        <v>1250</v>
      </c>
      <c r="K20" s="9" t="n">
        <f aca="false">N('قصي جابر'!I9)</f>
        <v>0</v>
      </c>
    </row>
    <row r="21" customFormat="false" ht="15" hidden="false" customHeight="false" outlineLevel="0" collapsed="false">
      <c r="A21" s="17" t="s">
        <v>21</v>
      </c>
      <c r="B21" s="11" t="n">
        <f aca="false">'قصي جابر'!C10</f>
        <v>46308</v>
      </c>
      <c r="C21" s="17" t="str">
        <f aca="false">'قصي جابر'!D10</f>
        <v>سداد</v>
      </c>
      <c r="D21" s="17"/>
      <c r="E21" s="7" t="s">
        <v>78</v>
      </c>
      <c r="F21" s="7" t="str">
        <f aca="false">IF('قصي جابر'!E10="","",'قصي جابر'!E10)</f>
        <v/>
      </c>
      <c r="G21" s="19" t="str">
        <f aca="false">IF('قصي جابر'!F10="","",'قصي جابر'!F10)</f>
        <v/>
      </c>
      <c r="H21" s="9" t="str">
        <f aca="false">IF(F21="","",ROUND(F21*G21,2))</f>
        <v/>
      </c>
      <c r="I21" s="9" t="str">
        <f aca="false">IF(F21="","",ROUND(H21*IF(N('قصي جابر'!G10)&gt;1,'قصي جابر'!G10-1,0),2))</f>
        <v/>
      </c>
      <c r="J21" s="9" t="n">
        <f aca="false">N('قصي جابر'!H10)</f>
        <v>0</v>
      </c>
      <c r="K21" s="9" t="n">
        <f aca="false">N('قصي جابر'!I10)</f>
        <v>1250</v>
      </c>
    </row>
    <row r="22" customFormat="false" ht="15" hidden="false" customHeight="false" outlineLevel="0" collapsed="false">
      <c r="A22" s="17" t="s">
        <v>21</v>
      </c>
      <c r="B22" s="11" t="n">
        <f aca="false">'قصي جابر'!C11</f>
        <v>46317</v>
      </c>
      <c r="C22" s="17" t="str">
        <f aca="false">'قصي جابر'!D11</f>
        <v>فراولة</v>
      </c>
      <c r="D22" s="17" t="s">
        <v>80</v>
      </c>
      <c r="E22" s="7" t="s">
        <v>76</v>
      </c>
      <c r="F22" s="18" t="n">
        <f aca="false">IF('قصي جابر'!E11="","",'قصي جابر'!E11)</f>
        <v>20</v>
      </c>
      <c r="G22" s="19" t="n">
        <f aca="false">IF('قصي جابر'!F11="","",'قصي جابر'!F11)</f>
        <v>128</v>
      </c>
      <c r="H22" s="9" t="n">
        <f aca="false">IF(F22="","",ROUND(F22*G22,2))</f>
        <v>2560</v>
      </c>
      <c r="I22" s="9" t="n">
        <f aca="false">IF(F22="","",ROUND(H22*IF(N('قصي جابر'!G11)&gt;1,'قصي جابر'!G11-1,0),2))</f>
        <v>0</v>
      </c>
      <c r="J22" s="9" t="n">
        <f aca="false">N('قصي جابر'!H11)</f>
        <v>2560</v>
      </c>
      <c r="K22" s="9" t="n">
        <f aca="false">N('قصي جابر'!I11)</f>
        <v>0</v>
      </c>
    </row>
    <row r="23" customFormat="false" ht="15" hidden="false" customHeight="false" outlineLevel="0" collapsed="false">
      <c r="A23" s="17" t="s">
        <v>21</v>
      </c>
      <c r="B23" s="11" t="n">
        <f aca="false">'قصي جابر'!C12</f>
        <v>46319</v>
      </c>
      <c r="C23" s="17" t="str">
        <f aca="false">'قصي جابر'!D12</f>
        <v>فراولة</v>
      </c>
      <c r="D23" s="17" t="s">
        <v>80</v>
      </c>
      <c r="E23" s="7" t="s">
        <v>76</v>
      </c>
      <c r="F23" s="18" t="n">
        <f aca="false">IF('قصي جابر'!E12="","",'قصي جابر'!E12)</f>
        <v>12</v>
      </c>
      <c r="G23" s="19" t="n">
        <f aca="false">IF('قصي جابر'!F12="","",'قصي جابر'!F12)</f>
        <v>130</v>
      </c>
      <c r="H23" s="9" t="n">
        <f aca="false">IF(F23="","",ROUND(F23*G23,2))</f>
        <v>1560</v>
      </c>
      <c r="I23" s="9" t="n">
        <f aca="false">IF(F23="","",ROUND(H23*IF(N('قصي جابر'!G12)&gt;1,'قصي جابر'!G12-1,0),2))</f>
        <v>0</v>
      </c>
      <c r="J23" s="9" t="n">
        <f aca="false">N('قصي جابر'!H12)</f>
        <v>1560</v>
      </c>
      <c r="K23" s="9" t="n">
        <f aca="false">N('قصي جابر'!I12)</f>
        <v>0</v>
      </c>
    </row>
    <row r="24" customFormat="false" ht="15" hidden="false" customHeight="false" outlineLevel="0" collapsed="false">
      <c r="A24" s="17" t="s">
        <v>21</v>
      </c>
      <c r="B24" s="11" t="n">
        <f aca="false">'قصي جابر'!C13</f>
        <v>46323</v>
      </c>
      <c r="C24" s="17" t="str">
        <f aca="false">'قصي جابر'!D13</f>
        <v>سداد دفعه</v>
      </c>
      <c r="D24" s="17"/>
      <c r="E24" s="7" t="s">
        <v>78</v>
      </c>
      <c r="F24" s="7" t="str">
        <f aca="false">IF('قصي جابر'!E13="","",'قصي جابر'!E13)</f>
        <v/>
      </c>
      <c r="G24" s="19" t="str">
        <f aca="false">IF('قصي جابر'!F13="","",'قصي جابر'!F13)</f>
        <v/>
      </c>
      <c r="H24" s="9" t="str">
        <f aca="false">IF(F24="","",ROUND(F24*G24,2))</f>
        <v/>
      </c>
      <c r="I24" s="9" t="str">
        <f aca="false">IF(F24="","",ROUND(H24*IF(N('قصي جابر'!G13)&gt;1,'قصي جابر'!G13-1,0),2))</f>
        <v/>
      </c>
      <c r="J24" s="9" t="n">
        <f aca="false">N('قصي جابر'!H13)</f>
        <v>0</v>
      </c>
      <c r="K24" s="9" t="n">
        <f aca="false">N('قصي جابر'!I13)</f>
        <v>1000</v>
      </c>
    </row>
    <row r="25" customFormat="false" ht="15" hidden="false" customHeight="false" outlineLevel="0" collapsed="false">
      <c r="A25" s="17" t="s">
        <v>21</v>
      </c>
      <c r="B25" s="11" t="n">
        <f aca="false">'قصي جابر'!C14</f>
        <v>46324</v>
      </c>
      <c r="C25" s="17" t="str">
        <f aca="false">'قصي جابر'!D14</f>
        <v>فراولة</v>
      </c>
      <c r="D25" s="17" t="s">
        <v>80</v>
      </c>
      <c r="E25" s="7" t="s">
        <v>76</v>
      </c>
      <c r="F25" s="18" t="n">
        <f aca="false">IF('قصي جابر'!E14="","",'قصي جابر'!E14)</f>
        <v>20</v>
      </c>
      <c r="G25" s="19" t="n">
        <f aca="false">IF('قصي جابر'!F14="","",'قصي جابر'!F14)</f>
        <v>125</v>
      </c>
      <c r="H25" s="9" t="n">
        <f aca="false">IF(F25="","",ROUND(F25*G25,2))</f>
        <v>2500</v>
      </c>
      <c r="I25" s="9" t="n">
        <f aca="false">IF(F25="","",ROUND(H25*IF(N('قصي جابر'!G14)&gt;1,'قصي جابر'!G14-1,0),2))</f>
        <v>0</v>
      </c>
      <c r="J25" s="9" t="n">
        <f aca="false">N('قصي جابر'!H14)</f>
        <v>2500</v>
      </c>
      <c r="K25" s="9" t="n">
        <f aca="false">N('قصي جابر'!I14)</f>
        <v>0</v>
      </c>
    </row>
    <row r="26" customFormat="false" ht="15" hidden="false" customHeight="false" outlineLevel="0" collapsed="false">
      <c r="A26" s="17" t="s">
        <v>21</v>
      </c>
      <c r="B26" s="11" t="n">
        <f aca="false">'قصي جابر'!C15</f>
        <v>46325</v>
      </c>
      <c r="C26" s="17" t="str">
        <f aca="false">'قصي جابر'!D15</f>
        <v>سداد دفعه</v>
      </c>
      <c r="D26" s="17"/>
      <c r="E26" s="7" t="s">
        <v>78</v>
      </c>
      <c r="F26" s="7" t="str">
        <f aca="false">IF('قصي جابر'!E15="","",'قصي جابر'!E15)</f>
        <v/>
      </c>
      <c r="G26" s="19" t="str">
        <f aca="false">IF('قصي جابر'!F15="","",'قصي جابر'!F15)</f>
        <v/>
      </c>
      <c r="H26" s="9" t="str">
        <f aca="false">IF(F26="","",ROUND(F26*G26,2))</f>
        <v/>
      </c>
      <c r="I26" s="9" t="str">
        <f aca="false">IF(F26="","",ROUND(H26*IF(N('قصي جابر'!G15)&gt;1,'قصي جابر'!G15-1,0),2))</f>
        <v/>
      </c>
      <c r="J26" s="9" t="n">
        <f aca="false">N('قصي جابر'!H15)</f>
        <v>0</v>
      </c>
      <c r="K26" s="9" t="n">
        <f aca="false">N('قصي جابر'!I15)</f>
        <v>1000</v>
      </c>
    </row>
    <row r="27" customFormat="false" ht="15" hidden="false" customHeight="false" outlineLevel="0" collapsed="false">
      <c r="A27" s="17" t="s">
        <v>22</v>
      </c>
      <c r="B27" s="11" t="n">
        <f aca="false">'مصنع امداد'!C7</f>
        <v>46298</v>
      </c>
      <c r="C27" s="17" t="str">
        <f aca="false">'مصنع امداد'!D7</f>
        <v>بخاره تركي</v>
      </c>
      <c r="D27" s="17" t="s">
        <v>81</v>
      </c>
      <c r="E27" s="7" t="s">
        <v>76</v>
      </c>
      <c r="F27" s="18" t="n">
        <f aca="false">IF('مصنع امداد'!E7="","",'مصنع امداد'!E7)</f>
        <v>15</v>
      </c>
      <c r="G27" s="19" t="n">
        <f aca="false">IF('مصنع امداد'!F7="","",'مصنع امداد'!F7)</f>
        <v>21</v>
      </c>
      <c r="H27" s="9" t="n">
        <f aca="false">IF(F27="","",ROUND(F27*G27,2))</f>
        <v>315</v>
      </c>
      <c r="I27" s="9" t="n">
        <f aca="false">IF(F27="","",ROUND(H27*IF(N('مصنع امداد'!G7)&gt;1,'مصنع امداد'!G7-1,0),2))</f>
        <v>47.25</v>
      </c>
      <c r="J27" s="9" t="n">
        <f aca="false">N('مصنع امداد'!H7)</f>
        <v>362.25</v>
      </c>
      <c r="K27" s="9" t="n">
        <f aca="false">N('مصنع امداد'!I7)</f>
        <v>0</v>
      </c>
    </row>
    <row r="28" customFormat="false" ht="15" hidden="false" customHeight="false" outlineLevel="0" collapsed="false">
      <c r="A28" s="17" t="s">
        <v>22</v>
      </c>
      <c r="B28" s="11" t="n">
        <f aca="false">'مصنع امداد'!C8</f>
        <v>46300</v>
      </c>
      <c r="C28" s="17" t="str">
        <f aca="false">'مصنع امداد'!D8</f>
        <v>افوكادو</v>
      </c>
      <c r="D28" s="17" t="s">
        <v>82</v>
      </c>
      <c r="E28" s="7" t="s">
        <v>76</v>
      </c>
      <c r="F28" s="18" t="n">
        <f aca="false">IF('مصنع امداد'!E8="","",'مصنع امداد'!E8)</f>
        <v>20</v>
      </c>
      <c r="G28" s="19" t="n">
        <f aca="false">IF('مصنع امداد'!F8="","",'مصنع امداد'!F8)</f>
        <v>33.5</v>
      </c>
      <c r="H28" s="9" t="n">
        <f aca="false">IF(F28="","",ROUND(F28*G28,2))</f>
        <v>670</v>
      </c>
      <c r="I28" s="9" t="n">
        <f aca="false">IF(F28="","",ROUND(H28*IF(N('مصنع امداد'!G8)&gt;1,'مصنع امداد'!G8-1,0),2))</f>
        <v>100.5</v>
      </c>
      <c r="J28" s="9" t="n">
        <f aca="false">N('مصنع امداد'!H8)</f>
        <v>770.5</v>
      </c>
      <c r="K28" s="9" t="n">
        <f aca="false">N('مصنع امداد'!I8)</f>
        <v>0</v>
      </c>
    </row>
    <row r="29" customFormat="false" ht="15" hidden="false" customHeight="false" outlineLevel="0" collapsed="false">
      <c r="A29" s="17" t="s">
        <v>22</v>
      </c>
      <c r="B29" s="11" t="n">
        <f aca="false">'مصنع امداد'!C9</f>
        <v>46300</v>
      </c>
      <c r="C29" s="17" t="str">
        <f aca="false">'مصنع امداد'!D9</f>
        <v>سداد مقاصه مع جبار البيشي</v>
      </c>
      <c r="D29" s="17"/>
      <c r="E29" s="7" t="s">
        <v>83</v>
      </c>
      <c r="F29" s="7" t="str">
        <f aca="false">IF('مصنع امداد'!E9="","",'مصنع امداد'!E9)</f>
        <v/>
      </c>
      <c r="G29" s="19" t="str">
        <f aca="false">IF('مصنع امداد'!F9="","",'مصنع امداد'!F9)</f>
        <v/>
      </c>
      <c r="H29" s="9" t="str">
        <f aca="false">IF(F29="","",ROUND(F29*G29,2))</f>
        <v/>
      </c>
      <c r="I29" s="9" t="str">
        <f aca="false">IF(F29="","",ROUND(H29*IF(N('مصنع امداد'!G9)&gt;1,'مصنع امداد'!G9-1,0),2))</f>
        <v/>
      </c>
      <c r="J29" s="9" t="n">
        <f aca="false">N('مصنع امداد'!H9)</f>
        <v>0</v>
      </c>
      <c r="K29" s="9" t="n">
        <f aca="false">N('مصنع امداد'!I9)</f>
        <v>362.25</v>
      </c>
    </row>
    <row r="30" customFormat="false" ht="15" hidden="false" customHeight="false" outlineLevel="0" collapsed="false">
      <c r="A30" s="17" t="s">
        <v>22</v>
      </c>
      <c r="B30" s="11" t="n">
        <f aca="false">'مصنع امداد'!C10</f>
        <v>46300</v>
      </c>
      <c r="C30" s="17" t="str">
        <f aca="false">'مصنع امداد'!D10</f>
        <v>سداد مقاصه مع جبار البيشي</v>
      </c>
      <c r="D30" s="17"/>
      <c r="E30" s="7" t="s">
        <v>83</v>
      </c>
      <c r="F30" s="7" t="str">
        <f aca="false">IF('مصنع امداد'!E10="","",'مصنع امداد'!E10)</f>
        <v/>
      </c>
      <c r="G30" s="19" t="str">
        <f aca="false">IF('مصنع امداد'!F10="","",'مصنع امداد'!F10)</f>
        <v/>
      </c>
      <c r="H30" s="9" t="str">
        <f aca="false">IF(F30="","",ROUND(F30*G30,2))</f>
        <v/>
      </c>
      <c r="I30" s="9" t="str">
        <f aca="false">IF(F30="","",ROUND(H30*IF(N('مصنع امداد'!G10)&gt;1,'مصنع امداد'!G10-1,0),2))</f>
        <v/>
      </c>
      <c r="J30" s="9" t="n">
        <f aca="false">N('مصنع امداد'!H10)</f>
        <v>0</v>
      </c>
      <c r="K30" s="9" t="n">
        <f aca="false">N('مصنع امداد'!I10)</f>
        <v>770.5</v>
      </c>
    </row>
    <row r="31" customFormat="false" ht="15" hidden="false" customHeight="false" outlineLevel="0" collapsed="false">
      <c r="A31" s="17" t="s">
        <v>22</v>
      </c>
      <c r="B31" s="11" t="n">
        <f aca="false">'مصنع امداد'!C11</f>
        <v>46320</v>
      </c>
      <c r="C31" s="17" t="str">
        <f aca="false">'مصنع امداد'!D11</f>
        <v>فراولة</v>
      </c>
      <c r="D31" s="17" t="s">
        <v>80</v>
      </c>
      <c r="E31" s="7" t="s">
        <v>76</v>
      </c>
      <c r="F31" s="18" t="n">
        <f aca="false">IF('مصنع امداد'!E11="","",'مصنع امداد'!E11)</f>
        <v>10</v>
      </c>
      <c r="G31" s="19" t="n">
        <f aca="false">IF('مصنع امداد'!F11="","",'مصنع امداد'!F11)</f>
        <v>130</v>
      </c>
      <c r="H31" s="9" t="n">
        <f aca="false">IF(F31="","",ROUND(F31*G31,2))</f>
        <v>1300</v>
      </c>
      <c r="I31" s="9" t="n">
        <f aca="false">IF(F31="","",ROUND(H31*IF(N('مصنع امداد'!G11)&gt;1,'مصنع امداد'!G11-1,0),2))</f>
        <v>0</v>
      </c>
      <c r="J31" s="9" t="n">
        <f aca="false">N('مصنع امداد'!H11)</f>
        <v>1300</v>
      </c>
      <c r="K31" s="9" t="n">
        <f aca="false">N('مصنع امداد'!I11)</f>
        <v>0</v>
      </c>
    </row>
    <row r="32" customFormat="false" ht="15" hidden="false" customHeight="false" outlineLevel="0" collapsed="false">
      <c r="A32" s="17" t="s">
        <v>23</v>
      </c>
      <c r="B32" s="11" t="n">
        <f aca="false">هارون!C7</f>
        <v>46320</v>
      </c>
      <c r="C32" s="17" t="str">
        <f aca="false">هارون!D7</f>
        <v>فراولة</v>
      </c>
      <c r="D32" s="17" t="s">
        <v>80</v>
      </c>
      <c r="E32" s="7" t="s">
        <v>76</v>
      </c>
      <c r="F32" s="18" t="n">
        <f aca="false">IF(هارون!E7="","",هارون!E7)</f>
        <v>40</v>
      </c>
      <c r="G32" s="19" t="n">
        <f aca="false">IF(هارون!F7="","",هارون!F7)</f>
        <v>135</v>
      </c>
      <c r="H32" s="9" t="n">
        <f aca="false">IF(F32="","",ROUND(F32*G32,2))</f>
        <v>5400</v>
      </c>
      <c r="I32" s="9" t="n">
        <f aca="false">IF(F32="","",ROUND(H32*IF(N(هارون!G7)&gt;1,هارون!G7-1,0),2))</f>
        <v>0</v>
      </c>
      <c r="J32" s="9" t="n">
        <f aca="false">N(هارون!H7)</f>
        <v>5400</v>
      </c>
      <c r="K32" s="9" t="n">
        <f aca="false">N(هارون!I7)</f>
        <v>0</v>
      </c>
    </row>
    <row r="33" customFormat="false" ht="15" hidden="false" customHeight="false" outlineLevel="0" collapsed="false">
      <c r="A33" s="17" t="s">
        <v>23</v>
      </c>
      <c r="B33" s="11" t="n">
        <f aca="false">هارون!C8</f>
        <v>46321</v>
      </c>
      <c r="C33" s="17" t="str">
        <f aca="false">هارون!D8</f>
        <v>سداد دفعه</v>
      </c>
      <c r="D33" s="17"/>
      <c r="E33" s="7" t="s">
        <v>78</v>
      </c>
      <c r="F33" s="7" t="str">
        <f aca="false">IF(هارون!E8="","",هارون!E8)</f>
        <v/>
      </c>
      <c r="G33" s="19" t="str">
        <f aca="false">IF(هارون!F8="","",هارون!F8)</f>
        <v/>
      </c>
      <c r="H33" s="9" t="str">
        <f aca="false">IF(F33="","",ROUND(F33*G33,2))</f>
        <v/>
      </c>
      <c r="I33" s="9" t="str">
        <f aca="false">IF(F33="","",ROUND(H33*IF(N(هارون!G8)&gt;1,هارون!G8-1,0),2))</f>
        <v/>
      </c>
      <c r="J33" s="9" t="n">
        <f aca="false">N(هارون!H8)</f>
        <v>0</v>
      </c>
      <c r="K33" s="9" t="n">
        <f aca="false">N(هارون!I8)</f>
        <v>4000</v>
      </c>
    </row>
    <row r="34" customFormat="false" ht="15" hidden="false" customHeight="false" outlineLevel="0" collapsed="false">
      <c r="A34" s="17" t="s">
        <v>24</v>
      </c>
      <c r="B34" s="11" t="n">
        <f aca="false">مجني!C7</f>
        <v>46297</v>
      </c>
      <c r="C34" s="17" t="str">
        <f aca="false">مجني!D7</f>
        <v>فراولة</v>
      </c>
      <c r="D34" s="17" t="s">
        <v>80</v>
      </c>
      <c r="E34" s="7" t="s">
        <v>76</v>
      </c>
      <c r="F34" s="18" t="n">
        <f aca="false">IF(مجني!E7="","",مجني!E7)</f>
        <v>40</v>
      </c>
      <c r="G34" s="19" t="n">
        <f aca="false">IF(مجني!F7="","",مجني!F7)</f>
        <v>98</v>
      </c>
      <c r="H34" s="9" t="n">
        <f aca="false">IF(F34="","",ROUND(F34*G34,2))</f>
        <v>3920</v>
      </c>
      <c r="I34" s="9" t="n">
        <f aca="false">IF(F34="","",ROUND(H34*IF(N(مجني!G7)&gt;1,مجني!G7-1,0),2))</f>
        <v>588</v>
      </c>
      <c r="J34" s="9" t="n">
        <f aca="false">N(مجني!H7)</f>
        <v>4508</v>
      </c>
      <c r="K34" s="9" t="n">
        <f aca="false">N(مجني!I7)</f>
        <v>0</v>
      </c>
    </row>
    <row r="35" customFormat="false" ht="15" hidden="false" customHeight="false" outlineLevel="0" collapsed="false">
      <c r="A35" s="17" t="s">
        <v>24</v>
      </c>
      <c r="B35" s="11" t="n">
        <f aca="false">مجني!C8</f>
        <v>46300</v>
      </c>
      <c r="C35" s="17" t="str">
        <f aca="false">مجني!D8</f>
        <v>مقاصة مع جبار البيشي</v>
      </c>
      <c r="D35" s="17"/>
      <c r="E35" s="7" t="s">
        <v>83</v>
      </c>
      <c r="F35" s="7" t="str">
        <f aca="false">IF(مجني!E8="","",مجني!E8)</f>
        <v/>
      </c>
      <c r="G35" s="19" t="str">
        <f aca="false">IF(مجني!F8="","",مجني!F8)</f>
        <v/>
      </c>
      <c r="H35" s="9" t="str">
        <f aca="false">IF(F35="","",ROUND(F35*G35,2))</f>
        <v/>
      </c>
      <c r="I35" s="9" t="str">
        <f aca="false">IF(F35="","",ROUND(H35*IF(N(مجني!G8)&gt;1,مجني!G8-1,0),2))</f>
        <v/>
      </c>
      <c r="J35" s="9" t="n">
        <f aca="false">N(مجني!H8)</f>
        <v>0</v>
      </c>
      <c r="K35" s="9" t="n">
        <f aca="false">N(مجني!I8)</f>
        <v>4508</v>
      </c>
    </row>
    <row r="36" customFormat="false" ht="15" hidden="false" customHeight="false" outlineLevel="0" collapsed="false">
      <c r="A36" s="17" t="s">
        <v>25</v>
      </c>
      <c r="B36" s="11" t="n">
        <f aca="false">علاء!C7</f>
        <v>46308</v>
      </c>
      <c r="C36" s="17" t="str">
        <f aca="false">علاء!D7</f>
        <v>رمان وسط</v>
      </c>
      <c r="D36" s="17" t="s">
        <v>77</v>
      </c>
      <c r="E36" s="7" t="s">
        <v>76</v>
      </c>
      <c r="F36" s="18" t="n">
        <f aca="false">IF(علاء!E7="","",علاء!E7)</f>
        <v>20</v>
      </c>
      <c r="G36" s="19" t="n">
        <f aca="false">IF(علاء!F7="","",علاء!F7)</f>
        <v>18</v>
      </c>
      <c r="H36" s="9" t="n">
        <f aca="false">IF(F36="","",ROUND(F36*G36,2))</f>
        <v>360</v>
      </c>
      <c r="I36" s="9" t="n">
        <f aca="false">IF(F36="","",ROUND(H36*IF(N(علاء!G7)&gt;1,علاء!G7-1,0),2))</f>
        <v>0</v>
      </c>
      <c r="J36" s="9" t="n">
        <f aca="false">N(علاء!H7)</f>
        <v>360</v>
      </c>
      <c r="K36" s="9" t="n">
        <f aca="false">N(علاء!I7)</f>
        <v>0</v>
      </c>
    </row>
    <row r="37" customFormat="false" ht="15" hidden="false" customHeight="false" outlineLevel="0" collapsed="false">
      <c r="A37" s="17" t="s">
        <v>25</v>
      </c>
      <c r="B37" s="11" t="n">
        <f aca="false">علاء!C8</f>
        <v>46309</v>
      </c>
      <c r="C37" s="17" t="str">
        <f aca="false">علاء!D8</f>
        <v>سداد</v>
      </c>
      <c r="D37" s="17"/>
      <c r="E37" s="7" t="s">
        <v>78</v>
      </c>
      <c r="F37" s="7" t="str">
        <f aca="false">IF(علاء!E8="","",علاء!E8)</f>
        <v/>
      </c>
      <c r="G37" s="19" t="str">
        <f aca="false">IF(علاء!F8="","",علاء!F8)</f>
        <v/>
      </c>
      <c r="H37" s="9" t="str">
        <f aca="false">IF(F37="","",ROUND(F37*G37,2))</f>
        <v/>
      </c>
      <c r="I37" s="9" t="str">
        <f aca="false">IF(F37="","",ROUND(H37*IF(N(علاء!G8)&gt;1,علاء!G8-1,0),2))</f>
        <v/>
      </c>
      <c r="J37" s="9" t="n">
        <f aca="false">N(علاء!H8)</f>
        <v>0</v>
      </c>
      <c r="K37" s="9" t="n">
        <f aca="false">N(علاء!I8)</f>
        <v>360</v>
      </c>
    </row>
    <row r="38" customFormat="false" ht="15" hidden="false" customHeight="false" outlineLevel="0" collapsed="false">
      <c r="A38" s="17" t="s">
        <v>25</v>
      </c>
      <c r="B38" s="11" t="n">
        <f aca="false">علاء!C9</f>
        <v>46311</v>
      </c>
      <c r="C38" s="17" t="str">
        <f aca="false">علاء!D9</f>
        <v>تفاح سلة</v>
      </c>
      <c r="D38" s="17" t="s">
        <v>75</v>
      </c>
      <c r="E38" s="7" t="s">
        <v>76</v>
      </c>
      <c r="F38" s="18" t="n">
        <f aca="false">IF(علاء!E9="","",علاء!E9)</f>
        <v>10</v>
      </c>
      <c r="G38" s="19" t="n">
        <f aca="false">IF(علاء!F9="","",علاء!F9)</f>
        <v>59</v>
      </c>
      <c r="H38" s="9" t="n">
        <f aca="false">IF(F38="","",ROUND(F38*G38,2))</f>
        <v>590</v>
      </c>
      <c r="I38" s="9" t="n">
        <f aca="false">IF(F38="","",ROUND(H38*IF(N(علاء!G9)&gt;1,علاء!G9-1,0),2))</f>
        <v>0</v>
      </c>
      <c r="J38" s="9" t="n">
        <f aca="false">N(علاء!H9)</f>
        <v>590</v>
      </c>
      <c r="K38" s="9" t="n">
        <f aca="false">N(علاء!I9)</f>
        <v>0</v>
      </c>
    </row>
    <row r="39" customFormat="false" ht="15" hidden="false" customHeight="false" outlineLevel="0" collapsed="false">
      <c r="A39" s="17" t="s">
        <v>25</v>
      </c>
      <c r="B39" s="11" t="n">
        <f aca="false">علاء!C10</f>
        <v>46313</v>
      </c>
      <c r="C39" s="17" t="str">
        <f aca="false">علاء!D10</f>
        <v>سداد</v>
      </c>
      <c r="D39" s="17"/>
      <c r="E39" s="7" t="s">
        <v>78</v>
      </c>
      <c r="F39" s="7" t="str">
        <f aca="false">IF(علاء!E10="","",علاء!E10)</f>
        <v/>
      </c>
      <c r="G39" s="19" t="str">
        <f aca="false">IF(علاء!F10="","",علاء!F10)</f>
        <v/>
      </c>
      <c r="H39" s="9" t="str">
        <f aca="false">IF(F39="","",ROUND(F39*G39,2))</f>
        <v/>
      </c>
      <c r="I39" s="9" t="str">
        <f aca="false">IF(F39="","",ROUND(H39*IF(N(علاء!G10)&gt;1,علاء!G10-1,0),2))</f>
        <v/>
      </c>
      <c r="J39" s="9" t="n">
        <f aca="false">N(علاء!H10)</f>
        <v>0</v>
      </c>
      <c r="K39" s="9" t="n">
        <f aca="false">N(علاء!I10)</f>
        <v>590</v>
      </c>
    </row>
    <row r="40" customFormat="false" ht="15" hidden="false" customHeight="false" outlineLevel="0" collapsed="false">
      <c r="A40" s="17" t="s">
        <v>25</v>
      </c>
      <c r="B40" s="11" t="n">
        <f aca="false">علاء!C11</f>
        <v>46315</v>
      </c>
      <c r="C40" s="17" t="str">
        <f aca="false">علاء!D11</f>
        <v>رمان وسط</v>
      </c>
      <c r="D40" s="17" t="s">
        <v>77</v>
      </c>
      <c r="E40" s="7" t="s">
        <v>76</v>
      </c>
      <c r="F40" s="18" t="n">
        <f aca="false">IF(علاء!E11="","",علاء!E11)</f>
        <v>40</v>
      </c>
      <c r="G40" s="19" t="n">
        <f aca="false">IF(علاء!F11="","",علاء!F11)</f>
        <v>19</v>
      </c>
      <c r="H40" s="9" t="n">
        <f aca="false">IF(F40="","",ROUND(F40*G40,2))</f>
        <v>760</v>
      </c>
      <c r="I40" s="9" t="n">
        <f aca="false">IF(F40="","",ROUND(H40*IF(N(علاء!G11)&gt;1,علاء!G11-1,0),2))</f>
        <v>0</v>
      </c>
      <c r="J40" s="9" t="n">
        <f aca="false">N(علاء!H11)</f>
        <v>760</v>
      </c>
      <c r="K40" s="9" t="n">
        <f aca="false">N(علاء!I11)</f>
        <v>0</v>
      </c>
    </row>
    <row r="41" customFormat="false" ht="15" hidden="false" customHeight="false" outlineLevel="0" collapsed="false">
      <c r="A41" s="17" t="s">
        <v>25</v>
      </c>
      <c r="B41" s="11" t="n">
        <f aca="false">علاء!C12</f>
        <v>46316</v>
      </c>
      <c r="C41" s="17" t="str">
        <f aca="false">علاء!D12</f>
        <v>رمان وسط</v>
      </c>
      <c r="D41" s="17" t="s">
        <v>77</v>
      </c>
      <c r="E41" s="7" t="s">
        <v>76</v>
      </c>
      <c r="F41" s="18" t="n">
        <f aca="false">IF(علاء!E12="","",علاء!E12)</f>
        <v>35</v>
      </c>
      <c r="G41" s="19" t="n">
        <f aca="false">IF(علاء!F12="","",علاء!F12)</f>
        <v>19</v>
      </c>
      <c r="H41" s="9" t="n">
        <f aca="false">IF(F41="","",ROUND(F41*G41,2))</f>
        <v>665</v>
      </c>
      <c r="I41" s="9" t="n">
        <f aca="false">IF(F41="","",ROUND(H41*IF(N(علاء!G12)&gt;1,علاء!G12-1,0),2))</f>
        <v>0</v>
      </c>
      <c r="J41" s="9" t="n">
        <f aca="false">N(علاء!H12)</f>
        <v>665</v>
      </c>
      <c r="K41" s="9" t="n">
        <f aca="false">N(علاء!I12)</f>
        <v>0</v>
      </c>
    </row>
    <row r="42" customFormat="false" ht="15" hidden="false" customHeight="false" outlineLevel="0" collapsed="false">
      <c r="A42" s="17" t="s">
        <v>25</v>
      </c>
      <c r="B42" s="11" t="n">
        <f aca="false">علاء!C13</f>
        <v>46316</v>
      </c>
      <c r="C42" s="17" t="str">
        <f aca="false">علاء!D13</f>
        <v>سداد دفعه</v>
      </c>
      <c r="D42" s="17"/>
      <c r="E42" s="7" t="s">
        <v>78</v>
      </c>
      <c r="F42" s="7" t="str">
        <f aca="false">IF(علاء!E13="","",علاء!E13)</f>
        <v/>
      </c>
      <c r="G42" s="19" t="str">
        <f aca="false">IF(علاء!F13="","",علاء!F13)</f>
        <v/>
      </c>
      <c r="H42" s="9" t="str">
        <f aca="false">IF(F42="","",ROUND(F42*G42,2))</f>
        <v/>
      </c>
      <c r="I42" s="9" t="str">
        <f aca="false">IF(F42="","",ROUND(H42*IF(N(علاء!G13)&gt;1,علاء!G13-1,0),2))</f>
        <v/>
      </c>
      <c r="J42" s="9" t="n">
        <f aca="false">N(علاء!H13)</f>
        <v>0</v>
      </c>
      <c r="K42" s="9" t="n">
        <f aca="false">N(علاء!I13)</f>
        <v>560</v>
      </c>
    </row>
    <row r="43" customFormat="false" ht="15" hidden="false" customHeight="false" outlineLevel="0" collapsed="false">
      <c r="A43" s="17" t="s">
        <v>25</v>
      </c>
      <c r="B43" s="11" t="n">
        <f aca="false">علاء!C14</f>
        <v>46319</v>
      </c>
      <c r="C43" s="17" t="str">
        <f aca="false">علاء!D14</f>
        <v>سداد دفعه</v>
      </c>
      <c r="D43" s="17"/>
      <c r="E43" s="7" t="s">
        <v>78</v>
      </c>
      <c r="F43" s="7" t="str">
        <f aca="false">IF(علاء!E14="","",علاء!E14)</f>
        <v/>
      </c>
      <c r="G43" s="19" t="str">
        <f aca="false">IF(علاء!F14="","",علاء!F14)</f>
        <v/>
      </c>
      <c r="H43" s="9" t="str">
        <f aca="false">IF(F43="","",ROUND(F43*G43,2))</f>
        <v/>
      </c>
      <c r="I43" s="9" t="str">
        <f aca="false">IF(F43="","",ROUND(H43*IF(N(علاء!G14)&gt;1,علاء!G14-1,0),2))</f>
        <v/>
      </c>
      <c r="J43" s="9" t="n">
        <f aca="false">N(علاء!H14)</f>
        <v>0</v>
      </c>
      <c r="K43" s="9" t="n">
        <f aca="false">N(علاء!I14)</f>
        <v>300</v>
      </c>
    </row>
    <row r="44" customFormat="false" ht="15" hidden="false" customHeight="false" outlineLevel="0" collapsed="false">
      <c r="A44" s="17" t="s">
        <v>25</v>
      </c>
      <c r="B44" s="11" t="n">
        <f aca="false">علاء!C15</f>
        <v>46320</v>
      </c>
      <c r="C44" s="17" t="str">
        <f aca="false">علاء!D15</f>
        <v>سداد دفعه</v>
      </c>
      <c r="D44" s="17"/>
      <c r="E44" s="7" t="s">
        <v>78</v>
      </c>
      <c r="F44" s="7" t="str">
        <f aca="false">IF(علاء!E15="","",علاء!E15)</f>
        <v/>
      </c>
      <c r="G44" s="19" t="str">
        <f aca="false">IF(علاء!F15="","",علاء!F15)</f>
        <v/>
      </c>
      <c r="H44" s="9" t="str">
        <f aca="false">IF(F44="","",ROUND(F44*G44,2))</f>
        <v/>
      </c>
      <c r="I44" s="9" t="str">
        <f aca="false">IF(F44="","",ROUND(H44*IF(N(علاء!G15)&gt;1,علاء!G15-1,0),2))</f>
        <v/>
      </c>
      <c r="J44" s="9" t="n">
        <f aca="false">N(علاء!H15)</f>
        <v>0</v>
      </c>
      <c r="K44" s="9" t="n">
        <f aca="false">N(علاء!I15)</f>
        <v>565</v>
      </c>
    </row>
    <row r="45" customFormat="false" ht="15" hidden="false" customHeight="false" outlineLevel="0" collapsed="false">
      <c r="A45" s="17" t="s">
        <v>25</v>
      </c>
      <c r="B45" s="11" t="n">
        <f aca="false">علاء!C16</f>
        <v>46324</v>
      </c>
      <c r="C45" s="17" t="str">
        <f aca="false">علاء!D16</f>
        <v>كيوي</v>
      </c>
      <c r="D45" s="17" t="s">
        <v>84</v>
      </c>
      <c r="E45" s="7" t="s">
        <v>76</v>
      </c>
      <c r="F45" s="18" t="n">
        <f aca="false">IF(علاء!E16="","",علاء!E16)</f>
        <v>8</v>
      </c>
      <c r="G45" s="19" t="n">
        <f aca="false">IF(علاء!F16="","",علاء!F16)</f>
        <v>42</v>
      </c>
      <c r="H45" s="9" t="n">
        <f aca="false">IF(F45="","",ROUND(F45*G45,2))</f>
        <v>336</v>
      </c>
      <c r="I45" s="9" t="n">
        <f aca="false">IF(F45="","",ROUND(H45*IF(N(علاء!G16)&gt;1,علاء!G16-1,0),2))</f>
        <v>0</v>
      </c>
      <c r="J45" s="9" t="n">
        <f aca="false">N(علاء!H16)</f>
        <v>336</v>
      </c>
      <c r="K45" s="9" t="n">
        <f aca="false">N(علاء!I16)</f>
        <v>0</v>
      </c>
    </row>
    <row r="46" customFormat="false" ht="15" hidden="false" customHeight="false" outlineLevel="0" collapsed="false">
      <c r="A46" s="17" t="s">
        <v>25</v>
      </c>
      <c r="B46" s="11" t="n">
        <f aca="false">علاء!C17</f>
        <v>46325</v>
      </c>
      <c r="C46" s="17" t="str">
        <f aca="false">علاء!D17</f>
        <v>تفاح سلة</v>
      </c>
      <c r="D46" s="17" t="s">
        <v>75</v>
      </c>
      <c r="E46" s="7" t="s">
        <v>76</v>
      </c>
      <c r="F46" s="18" t="n">
        <f aca="false">IF(علاء!E17="","",علاء!E17)</f>
        <v>14</v>
      </c>
      <c r="G46" s="19" t="n">
        <f aca="false">IF(علاء!F17="","",علاء!F17)</f>
        <v>55</v>
      </c>
      <c r="H46" s="9" t="n">
        <f aca="false">IF(F46="","",ROUND(F46*G46,2))</f>
        <v>770</v>
      </c>
      <c r="I46" s="9" t="n">
        <f aca="false">IF(F46="","",ROUND(H46*IF(N(علاء!G17)&gt;1,علاء!G17-1,0),2))</f>
        <v>0</v>
      </c>
      <c r="J46" s="9" t="n">
        <f aca="false">N(علاء!H17)</f>
        <v>770</v>
      </c>
      <c r="K46" s="9" t="n">
        <f aca="false">N(علاء!I17)</f>
        <v>0</v>
      </c>
    </row>
    <row r="47" customFormat="false" ht="15" hidden="false" customHeight="false" outlineLevel="0" collapsed="false">
      <c r="A47" s="17" t="s">
        <v>26</v>
      </c>
      <c r="B47" s="11" t="n">
        <f aca="false">'مامون بنغالي'!C7</f>
        <v>46317</v>
      </c>
      <c r="C47" s="17" t="str">
        <f aca="false">'مامون بنغالي'!D7</f>
        <v>فراولة</v>
      </c>
      <c r="D47" s="17" t="s">
        <v>80</v>
      </c>
      <c r="E47" s="7" t="s">
        <v>76</v>
      </c>
      <c r="F47" s="18" t="n">
        <f aca="false">IF('مامون بنغالي'!E7="","",'مامون بنغالي'!E7)</f>
        <v>20</v>
      </c>
      <c r="G47" s="19" t="n">
        <f aca="false">IF('مامون بنغالي'!F7="","",'مامون بنغالي'!F7)</f>
        <v>130</v>
      </c>
      <c r="H47" s="9" t="n">
        <f aca="false">IF(F47="","",ROUND(F47*G47,2))</f>
        <v>2600</v>
      </c>
      <c r="I47" s="9" t="n">
        <f aca="false">IF(F47="","",ROUND(H47*IF(N('مامون بنغالي'!G7)&gt;1,'مامون بنغالي'!G7-1,0),2))</f>
        <v>0</v>
      </c>
      <c r="J47" s="9" t="n">
        <f aca="false">N('مامون بنغالي'!H7)</f>
        <v>2600</v>
      </c>
      <c r="K47" s="9" t="n">
        <f aca="false">N('مامون بنغالي'!I7)</f>
        <v>0</v>
      </c>
    </row>
    <row r="48" customFormat="false" ht="15" hidden="false" customHeight="false" outlineLevel="0" collapsed="false">
      <c r="A48" s="17" t="s">
        <v>26</v>
      </c>
      <c r="B48" s="11" t="n">
        <f aca="false">'مامون بنغالي'!C8</f>
        <v>46320</v>
      </c>
      <c r="C48" s="17" t="str">
        <f aca="false">'مامون بنغالي'!D8</f>
        <v>سداد</v>
      </c>
      <c r="D48" s="17"/>
      <c r="E48" s="7" t="s">
        <v>78</v>
      </c>
      <c r="F48" s="7" t="str">
        <f aca="false">IF('مامون بنغالي'!E8="","",'مامون بنغالي'!E8)</f>
        <v/>
      </c>
      <c r="G48" s="19" t="str">
        <f aca="false">IF('مامون بنغالي'!F8="","",'مامون بنغالي'!F8)</f>
        <v/>
      </c>
      <c r="H48" s="9" t="str">
        <f aca="false">IF(F48="","",ROUND(F48*G48,2))</f>
        <v/>
      </c>
      <c r="I48" s="9" t="str">
        <f aca="false">IF(F48="","",ROUND(H48*IF(N('مامون بنغالي'!G8)&gt;1,'مامون بنغالي'!G8-1,0),2))</f>
        <v/>
      </c>
      <c r="J48" s="9" t="n">
        <f aca="false">N('مامون بنغالي'!H8)</f>
        <v>0</v>
      </c>
      <c r="K48" s="9" t="n">
        <f aca="false">N('مامون بنغالي'!I8)</f>
        <v>2600</v>
      </c>
    </row>
    <row r="49" customFormat="false" ht="15" hidden="false" customHeight="false" outlineLevel="0" collapsed="false">
      <c r="A49" s="17" t="s">
        <v>27</v>
      </c>
      <c r="B49" s="11" t="n">
        <f aca="false">'عرب بركات'!C7</f>
        <v>46317</v>
      </c>
      <c r="C49" s="17" t="str">
        <f aca="false">'عرب بركات'!D7</f>
        <v>كاكا لبناني</v>
      </c>
      <c r="D49" s="17" t="s">
        <v>85</v>
      </c>
      <c r="E49" s="7" t="s">
        <v>76</v>
      </c>
      <c r="F49" s="18" t="n">
        <f aca="false">IF('عرب بركات'!E7="","",'عرب بركات'!E7)</f>
        <v>105</v>
      </c>
      <c r="G49" s="19" t="n">
        <f aca="false">IF('عرب بركات'!F7="","",'عرب بركات'!F7)</f>
        <v>17</v>
      </c>
      <c r="H49" s="9" t="n">
        <f aca="false">IF(F49="","",ROUND(F49*G49,2))</f>
        <v>1785</v>
      </c>
      <c r="I49" s="9" t="n">
        <f aca="false">IF(F49="","",ROUND(H49*IF(N('عرب بركات'!G7)&gt;1,'عرب بركات'!G7-1,0),2))</f>
        <v>267.75</v>
      </c>
      <c r="J49" s="9" t="n">
        <f aca="false">N('عرب بركات'!H7)</f>
        <v>2052.75</v>
      </c>
      <c r="K49" s="9" t="n">
        <f aca="false">N('عرب بركات'!I7)</f>
        <v>0</v>
      </c>
    </row>
    <row r="50" customFormat="false" ht="15" hidden="false" customHeight="false" outlineLevel="0" collapsed="false">
      <c r="A50" s="17" t="s">
        <v>27</v>
      </c>
      <c r="B50" s="11" t="n">
        <f aca="false">'عرب بركات'!C8</f>
        <v>46321</v>
      </c>
      <c r="C50" s="17" t="str">
        <f aca="false">'عرب بركات'!D8</f>
        <v>افندي</v>
      </c>
      <c r="D50" s="17" t="s">
        <v>79</v>
      </c>
      <c r="E50" s="7" t="s">
        <v>76</v>
      </c>
      <c r="F50" s="18" t="n">
        <f aca="false">IF('عرب بركات'!E8="","",'عرب بركات'!E8)</f>
        <v>49</v>
      </c>
      <c r="G50" s="19" t="n">
        <f aca="false">IF('عرب بركات'!F8="","",'عرب بركات'!F8)</f>
        <v>80</v>
      </c>
      <c r="H50" s="9" t="n">
        <f aca="false">IF(F50="","",ROUND(F50*G50,2))</f>
        <v>3920</v>
      </c>
      <c r="I50" s="9" t="n">
        <f aca="false">IF(F50="","",ROUND(H50*IF(N('عرب بركات'!G8)&gt;1,'عرب بركات'!G8-1,0),2))</f>
        <v>588</v>
      </c>
      <c r="J50" s="9" t="n">
        <f aca="false">N('عرب بركات'!H8)</f>
        <v>4508</v>
      </c>
      <c r="K50" s="9" t="n">
        <f aca="false">N('عرب بركات'!I8)</f>
        <v>0</v>
      </c>
    </row>
    <row r="51" customFormat="false" ht="15" hidden="false" customHeight="false" outlineLevel="0" collapsed="false">
      <c r="A51" s="17" t="s">
        <v>28</v>
      </c>
      <c r="B51" s="11" t="n">
        <f aca="false">'ابو احمد السوري'!C7</f>
        <v>46298</v>
      </c>
      <c r="C51" s="17" t="str">
        <f aca="false">'ابو احمد السوري'!D7</f>
        <v>بخارة تركي</v>
      </c>
      <c r="D51" s="17" t="s">
        <v>86</v>
      </c>
      <c r="E51" s="7" t="s">
        <v>76</v>
      </c>
      <c r="F51" s="18" t="n">
        <f aca="false">IF('ابو احمد السوري'!E7="","",'ابو احمد السوري'!E7)</f>
        <v>10</v>
      </c>
      <c r="G51" s="19" t="n">
        <f aca="false">IF('ابو احمد السوري'!F7="","",'ابو احمد السوري'!F7)</f>
        <v>25</v>
      </c>
      <c r="H51" s="9" t="n">
        <f aca="false">IF(F51="","",ROUND(F51*G51,2))</f>
        <v>250</v>
      </c>
      <c r="I51" s="9" t="n">
        <f aca="false">IF(F51="","",ROUND(H51*IF(N('ابو احمد السوري'!G7)&gt;1,'ابو احمد السوري'!G7-1,0),2))</f>
        <v>0</v>
      </c>
      <c r="J51" s="9" t="n">
        <f aca="false">N('ابو احمد السوري'!H7)</f>
        <v>250</v>
      </c>
      <c r="K51" s="9" t="n">
        <f aca="false">N('ابو احمد السوري'!I7)</f>
        <v>0</v>
      </c>
    </row>
    <row r="52" customFormat="false" ht="15" hidden="false" customHeight="false" outlineLevel="0" collapsed="false">
      <c r="A52" s="17" t="s">
        <v>28</v>
      </c>
      <c r="B52" s="11" t="n">
        <f aca="false">'ابو احمد السوري'!C8</f>
        <v>46298</v>
      </c>
      <c r="C52" s="17" t="str">
        <f aca="false">'ابو احمد السوري'!D8</f>
        <v>رمان مصري</v>
      </c>
      <c r="D52" s="17" t="s">
        <v>87</v>
      </c>
      <c r="E52" s="7" t="s">
        <v>76</v>
      </c>
      <c r="F52" s="18" t="n">
        <f aca="false">IF('ابو احمد السوري'!E8="","",'ابو احمد السوري'!E8)</f>
        <v>5</v>
      </c>
      <c r="G52" s="19" t="n">
        <f aca="false">IF('ابو احمد السوري'!F8="","",'ابو احمد السوري'!F8)</f>
        <v>12</v>
      </c>
      <c r="H52" s="9" t="n">
        <f aca="false">IF(F52="","",ROUND(F52*G52,2))</f>
        <v>60</v>
      </c>
      <c r="I52" s="9" t="n">
        <f aca="false">IF(F52="","",ROUND(H52*IF(N('ابو احمد السوري'!G8)&gt;1,'ابو احمد السوري'!G8-1,0),2))</f>
        <v>0</v>
      </c>
      <c r="J52" s="9" t="n">
        <f aca="false">N('ابو احمد السوري'!H8)</f>
        <v>60</v>
      </c>
      <c r="K52" s="9" t="n">
        <f aca="false">N('ابو احمد السوري'!I8)</f>
        <v>0</v>
      </c>
    </row>
    <row r="53" customFormat="false" ht="15" hidden="false" customHeight="false" outlineLevel="0" collapsed="false">
      <c r="A53" s="17" t="s">
        <v>28</v>
      </c>
      <c r="B53" s="11" t="n">
        <f aca="false">'ابو احمد السوري'!C9</f>
        <v>46305</v>
      </c>
      <c r="C53" s="17" t="str">
        <f aca="false">'ابو احمد السوري'!D9</f>
        <v>بخارة صحن</v>
      </c>
      <c r="D53" s="17" t="s">
        <v>88</v>
      </c>
      <c r="E53" s="7" t="s">
        <v>76</v>
      </c>
      <c r="F53" s="18" t="n">
        <f aca="false">IF('ابو احمد السوري'!E9="","",'ابو احمد السوري'!E9)</f>
        <v>16</v>
      </c>
      <c r="G53" s="19" t="n">
        <f aca="false">IF('ابو احمد السوري'!F9="","",'ابو احمد السوري'!F9)</f>
        <v>10</v>
      </c>
      <c r="H53" s="9" t="n">
        <f aca="false">IF(F53="","",ROUND(F53*G53,2))</f>
        <v>160</v>
      </c>
      <c r="I53" s="9" t="n">
        <f aca="false">IF(F53="","",ROUND(H53*IF(N('ابو احمد السوري'!G9)&gt;1,'ابو احمد السوري'!G9-1,0),2))</f>
        <v>0</v>
      </c>
      <c r="J53" s="9" t="n">
        <f aca="false">N('ابو احمد السوري'!H9)</f>
        <v>160</v>
      </c>
      <c r="K53" s="9" t="n">
        <f aca="false">N('ابو احمد السوري'!I9)</f>
        <v>0</v>
      </c>
    </row>
    <row r="54" customFormat="false" ht="15" hidden="false" customHeight="false" outlineLevel="0" collapsed="false">
      <c r="A54" s="17" t="s">
        <v>28</v>
      </c>
      <c r="B54" s="11" t="n">
        <f aca="false">'ابو احمد السوري'!C10</f>
        <v>46305</v>
      </c>
      <c r="C54" s="17" t="str">
        <f aca="false">'ابو احمد السوري'!D10</f>
        <v>عنب مشكل</v>
      </c>
      <c r="D54" s="17" t="s">
        <v>89</v>
      </c>
      <c r="E54" s="7" t="s">
        <v>76</v>
      </c>
      <c r="F54" s="18" t="n">
        <f aca="false">IF('ابو احمد السوري'!E10="","",'ابو احمد السوري'!E10)</f>
        <v>16</v>
      </c>
      <c r="G54" s="19" t="n">
        <f aca="false">IF('ابو احمد السوري'!F10="","",'ابو احمد السوري'!F10)</f>
        <v>11</v>
      </c>
      <c r="H54" s="9" t="n">
        <f aca="false">IF(F54="","",ROUND(F54*G54,2))</f>
        <v>176</v>
      </c>
      <c r="I54" s="9" t="n">
        <f aca="false">IF(F54="","",ROUND(H54*IF(N('ابو احمد السوري'!G10)&gt;1,'ابو احمد السوري'!G10-1,0),2))</f>
        <v>0</v>
      </c>
      <c r="J54" s="9" t="n">
        <f aca="false">N('ابو احمد السوري'!H10)</f>
        <v>176</v>
      </c>
      <c r="K54" s="9" t="n">
        <f aca="false">N('ابو احمد السوري'!I10)</f>
        <v>0</v>
      </c>
    </row>
    <row r="55" customFormat="false" ht="15" hidden="false" customHeight="false" outlineLevel="0" collapsed="false">
      <c r="A55" s="17" t="s">
        <v>28</v>
      </c>
      <c r="B55" s="11" t="n">
        <f aca="false">'ابو احمد السوري'!C11</f>
        <v>46305</v>
      </c>
      <c r="C55" s="17" t="str">
        <f aca="false">'ابو احمد السوري'!D11</f>
        <v>كمثري عكاظ</v>
      </c>
      <c r="D55" s="17" t="s">
        <v>90</v>
      </c>
      <c r="E55" s="7" t="s">
        <v>76</v>
      </c>
      <c r="F55" s="18" t="n">
        <f aca="false">IF('ابو احمد السوري'!E11="","",'ابو احمد السوري'!E11)</f>
        <v>16</v>
      </c>
      <c r="G55" s="19" t="n">
        <f aca="false">IF('ابو احمد السوري'!F11="","",'ابو احمد السوري'!F11)</f>
        <v>7.5</v>
      </c>
      <c r="H55" s="9" t="n">
        <f aca="false">IF(F55="","",ROUND(F55*G55,2))</f>
        <v>120</v>
      </c>
      <c r="I55" s="9" t="n">
        <f aca="false">IF(F55="","",ROUND(H55*IF(N('ابو احمد السوري'!G11)&gt;1,'ابو احمد السوري'!G11-1,0),2))</f>
        <v>0</v>
      </c>
      <c r="J55" s="9" t="n">
        <f aca="false">N('ابو احمد السوري'!H11)</f>
        <v>120</v>
      </c>
      <c r="K55" s="9" t="n">
        <f aca="false">N('ابو احمد السوري'!I11)</f>
        <v>0</v>
      </c>
    </row>
    <row r="56" customFormat="false" ht="15" hidden="false" customHeight="false" outlineLevel="0" collapsed="false">
      <c r="A56" s="17" t="s">
        <v>28</v>
      </c>
      <c r="B56" s="11" t="n">
        <f aca="false">'ابو احمد السوري'!C12</f>
        <v>46305</v>
      </c>
      <c r="C56" s="17" t="str">
        <f aca="false">'ابو احمد السوري'!D12</f>
        <v>رمان وسط</v>
      </c>
      <c r="D56" s="17" t="s">
        <v>77</v>
      </c>
      <c r="E56" s="7" t="s">
        <v>76</v>
      </c>
      <c r="F56" s="18" t="n">
        <f aca="false">IF('ابو احمد السوري'!E12="","",'ابو احمد السوري'!E12)</f>
        <v>5</v>
      </c>
      <c r="G56" s="19" t="n">
        <f aca="false">IF('ابو احمد السوري'!F12="","",'ابو احمد السوري'!F12)</f>
        <v>19</v>
      </c>
      <c r="H56" s="9" t="n">
        <f aca="false">IF(F56="","",ROUND(F56*G56,2))</f>
        <v>95</v>
      </c>
      <c r="I56" s="9" t="n">
        <f aca="false">IF(F56="","",ROUND(H56*IF(N('ابو احمد السوري'!G12)&gt;1,'ابو احمد السوري'!G12-1,0),2))</f>
        <v>0</v>
      </c>
      <c r="J56" s="9" t="n">
        <f aca="false">N('ابو احمد السوري'!H12)</f>
        <v>95</v>
      </c>
      <c r="K56" s="9" t="n">
        <f aca="false">N('ابو احمد السوري'!I12)</f>
        <v>0</v>
      </c>
    </row>
    <row r="57" customFormat="false" ht="15" hidden="false" customHeight="false" outlineLevel="0" collapsed="false">
      <c r="A57" s="17" t="s">
        <v>28</v>
      </c>
      <c r="B57" s="11" t="n">
        <f aca="false">'ابو احمد السوري'!C13</f>
        <v>46305</v>
      </c>
      <c r="C57" s="17" t="str">
        <f aca="false">'ابو احمد السوري'!D13</f>
        <v>فراولة</v>
      </c>
      <c r="D57" s="17" t="s">
        <v>80</v>
      </c>
      <c r="E57" s="7" t="s">
        <v>76</v>
      </c>
      <c r="F57" s="18" t="n">
        <f aca="false">IF('ابو احمد السوري'!E13="","",'ابو احمد السوري'!E13)</f>
        <v>1</v>
      </c>
      <c r="G57" s="19" t="n">
        <f aca="false">IF('ابو احمد السوري'!F13="","",'ابو احمد السوري'!F13)</f>
        <v>120</v>
      </c>
      <c r="H57" s="9" t="n">
        <f aca="false">IF(F57="","",ROUND(F57*G57,2))</f>
        <v>120</v>
      </c>
      <c r="I57" s="9" t="n">
        <f aca="false">IF(F57="","",ROUND(H57*IF(N('ابو احمد السوري'!G13)&gt;1,'ابو احمد السوري'!G13-1,0),2))</f>
        <v>0</v>
      </c>
      <c r="J57" s="9" t="n">
        <f aca="false">N('ابو احمد السوري'!H13)</f>
        <v>120</v>
      </c>
      <c r="K57" s="9" t="n">
        <f aca="false">N('ابو احمد السوري'!I13)</f>
        <v>0</v>
      </c>
    </row>
    <row r="58" customFormat="false" ht="15" hidden="false" customHeight="false" outlineLevel="0" collapsed="false">
      <c r="A58" s="17" t="s">
        <v>28</v>
      </c>
      <c r="B58" s="11" t="n">
        <f aca="false">'ابو احمد السوري'!C14</f>
        <v>46305</v>
      </c>
      <c r="C58" s="17" t="str">
        <f aca="false">'ابو احمد السوري'!D14</f>
        <v>سداد دفعه</v>
      </c>
      <c r="D58" s="17"/>
      <c r="E58" s="7" t="s">
        <v>78</v>
      </c>
      <c r="F58" s="7" t="str">
        <f aca="false">IF('ابو احمد السوري'!E14="","",'ابو احمد السوري'!E14)</f>
        <v/>
      </c>
      <c r="G58" s="19" t="str">
        <f aca="false">IF('ابو احمد السوري'!F14="","",'ابو احمد السوري'!F14)</f>
        <v/>
      </c>
      <c r="H58" s="9" t="str">
        <f aca="false">IF(F58="","",ROUND(F58*G58,2))</f>
        <v/>
      </c>
      <c r="I58" s="9" t="str">
        <f aca="false">IF(F58="","",ROUND(H58*IF(N('ابو احمد السوري'!G14)&gt;1,'ابو احمد السوري'!G14-1,0),2))</f>
        <v/>
      </c>
      <c r="J58" s="9" t="n">
        <f aca="false">N('ابو احمد السوري'!H14)</f>
        <v>0</v>
      </c>
      <c r="K58" s="9" t="n">
        <f aca="false">N('ابو احمد السوري'!I14)</f>
        <v>310</v>
      </c>
    </row>
    <row r="59" customFormat="false" ht="15" hidden="false" customHeight="false" outlineLevel="0" collapsed="false">
      <c r="A59" s="17" t="s">
        <v>28</v>
      </c>
      <c r="B59" s="11" t="n">
        <f aca="false">'ابو احمد السوري'!C15</f>
        <v>46312</v>
      </c>
      <c r="C59" s="17" t="str">
        <f aca="false">'ابو احمد السوري'!D15</f>
        <v>رمان مصري</v>
      </c>
      <c r="D59" s="17" t="s">
        <v>87</v>
      </c>
      <c r="E59" s="7" t="s">
        <v>76</v>
      </c>
      <c r="F59" s="18" t="n">
        <f aca="false">IF('ابو احمد السوري'!E15="","",'ابو احمد السوري'!E15)</f>
        <v>10</v>
      </c>
      <c r="G59" s="19" t="n">
        <f aca="false">IF('ابو احمد السوري'!F15="","",'ابو احمد السوري'!F15)</f>
        <v>14</v>
      </c>
      <c r="H59" s="9" t="n">
        <f aca="false">IF(F59="","",ROUND(F59*G59,2))</f>
        <v>140</v>
      </c>
      <c r="I59" s="9" t="n">
        <f aca="false">IF(F59="","",ROUND(H59*IF(N('ابو احمد السوري'!G15)&gt;1,'ابو احمد السوري'!G15-1,0),2))</f>
        <v>0</v>
      </c>
      <c r="J59" s="9" t="n">
        <f aca="false">N('ابو احمد السوري'!H15)</f>
        <v>140</v>
      </c>
      <c r="K59" s="9" t="n">
        <f aca="false">N('ابو احمد السوري'!I15)</f>
        <v>0</v>
      </c>
    </row>
    <row r="60" customFormat="false" ht="15" hidden="false" customHeight="false" outlineLevel="0" collapsed="false">
      <c r="A60" s="17" t="s">
        <v>28</v>
      </c>
      <c r="B60" s="11" t="n">
        <f aca="false">'ابو احمد السوري'!C16</f>
        <v>46312</v>
      </c>
      <c r="C60" s="17" t="str">
        <f aca="false">'ابو احمد السوري'!D16</f>
        <v>تفاح سوري</v>
      </c>
      <c r="D60" s="17" t="s">
        <v>91</v>
      </c>
      <c r="E60" s="7" t="s">
        <v>76</v>
      </c>
      <c r="F60" s="18" t="n">
        <f aca="false">IF('ابو احمد السوري'!E16="","",'ابو احمد السوري'!E16)</f>
        <v>10</v>
      </c>
      <c r="G60" s="19" t="n">
        <f aca="false">IF('ابو احمد السوري'!F16="","",'ابو احمد السوري'!F16)</f>
        <v>10</v>
      </c>
      <c r="H60" s="9" t="n">
        <f aca="false">IF(F60="","",ROUND(F60*G60,2))</f>
        <v>100</v>
      </c>
      <c r="I60" s="9" t="n">
        <f aca="false">IF(F60="","",ROUND(H60*IF(N('ابو احمد السوري'!G16)&gt;1,'ابو احمد السوري'!G16-1,0),2))</f>
        <v>0</v>
      </c>
      <c r="J60" s="9" t="n">
        <f aca="false">N('ابو احمد السوري'!H16)</f>
        <v>100</v>
      </c>
      <c r="K60" s="9" t="n">
        <f aca="false">N('ابو احمد السوري'!I16)</f>
        <v>0</v>
      </c>
    </row>
    <row r="61" customFormat="false" ht="15" hidden="false" customHeight="false" outlineLevel="0" collapsed="false">
      <c r="A61" s="17" t="s">
        <v>28</v>
      </c>
      <c r="B61" s="11" t="n">
        <f aca="false">'ابو احمد السوري'!C17</f>
        <v>46312</v>
      </c>
      <c r="C61" s="17" t="str">
        <f aca="false">'ابو احمد السوري'!D17</f>
        <v>بطاطا</v>
      </c>
      <c r="D61" s="17" t="s">
        <v>92</v>
      </c>
      <c r="E61" s="7" t="s">
        <v>76</v>
      </c>
      <c r="F61" s="18" t="n">
        <f aca="false">IF('ابو احمد السوري'!E17="","",'ابو احمد السوري'!E17)</f>
        <v>5</v>
      </c>
      <c r="G61" s="19" t="n">
        <f aca="false">IF('ابو احمد السوري'!F17="","",'ابو احمد السوري'!F17)</f>
        <v>10</v>
      </c>
      <c r="H61" s="9" t="n">
        <f aca="false">IF(F61="","",ROUND(F61*G61,2))</f>
        <v>50</v>
      </c>
      <c r="I61" s="9" t="n">
        <f aca="false">IF(F61="","",ROUND(H61*IF(N('ابو احمد السوري'!G17)&gt;1,'ابو احمد السوري'!G17-1,0),2))</f>
        <v>0</v>
      </c>
      <c r="J61" s="9" t="n">
        <f aca="false">N('ابو احمد السوري'!H17)</f>
        <v>50</v>
      </c>
      <c r="K61" s="9" t="n">
        <f aca="false">N('ابو احمد السوري'!I17)</f>
        <v>0</v>
      </c>
    </row>
    <row r="62" customFormat="false" ht="15" hidden="false" customHeight="false" outlineLevel="0" collapsed="false">
      <c r="A62" s="17" t="s">
        <v>28</v>
      </c>
      <c r="B62" s="11" t="n">
        <f aca="false">'ابو احمد السوري'!C18</f>
        <v>46316</v>
      </c>
      <c r="C62" s="17" t="str">
        <f aca="false">'ابو احمد السوري'!D18</f>
        <v>سداد دفعه</v>
      </c>
      <c r="D62" s="17"/>
      <c r="E62" s="7" t="s">
        <v>78</v>
      </c>
      <c r="F62" s="7" t="str">
        <f aca="false">IF('ابو احمد السوري'!E18="","",'ابو احمد السوري'!E18)</f>
        <v/>
      </c>
      <c r="G62" s="19" t="str">
        <f aca="false">IF('ابو احمد السوري'!F18="","",'ابو احمد السوري'!F18)</f>
        <v/>
      </c>
      <c r="H62" s="9" t="str">
        <f aca="false">IF(F62="","",ROUND(F62*G62,2))</f>
        <v/>
      </c>
      <c r="I62" s="9" t="str">
        <f aca="false">IF(F62="","",ROUND(H62*IF(N('ابو احمد السوري'!G18)&gt;1,'ابو احمد السوري'!G18-1,0),2))</f>
        <v/>
      </c>
      <c r="J62" s="9" t="n">
        <f aca="false">N('ابو احمد السوري'!H18)</f>
        <v>0</v>
      </c>
      <c r="K62" s="9" t="n">
        <f aca="false">N('ابو احمد السوري'!I18)</f>
        <v>960</v>
      </c>
    </row>
    <row r="63" customFormat="false" ht="15" hidden="false" customHeight="false" outlineLevel="0" collapsed="false">
      <c r="A63" s="17" t="s">
        <v>29</v>
      </c>
      <c r="B63" s="11" t="n">
        <f aca="false">'هشام ناجي'!C7</f>
        <v>46309</v>
      </c>
      <c r="C63" s="17" t="str">
        <f aca="false">'هشام ناجي'!D7</f>
        <v>فراولة</v>
      </c>
      <c r="D63" s="17" t="s">
        <v>80</v>
      </c>
      <c r="E63" s="7" t="s">
        <v>76</v>
      </c>
      <c r="F63" s="18" t="n">
        <f aca="false">IF('هشام ناجي'!E7="","",'هشام ناجي'!E7)</f>
        <v>25</v>
      </c>
      <c r="G63" s="19" t="n">
        <f aca="false">IF('هشام ناجي'!F7="","",'هشام ناجي'!F7)</f>
        <v>123</v>
      </c>
      <c r="H63" s="9" t="n">
        <f aca="false">IF(F63="","",ROUND(F63*G63,2))</f>
        <v>3075</v>
      </c>
      <c r="I63" s="9" t="n">
        <f aca="false">IF(F63="","",ROUND(H63*IF(N('هشام ناجي'!G7)&gt;1,'هشام ناجي'!G7-1,0),2))</f>
        <v>0</v>
      </c>
      <c r="J63" s="9" t="n">
        <f aca="false">N('هشام ناجي'!H7)</f>
        <v>3075</v>
      </c>
      <c r="K63" s="9" t="n">
        <f aca="false">N('هشام ناجي'!I7)</f>
        <v>0</v>
      </c>
    </row>
    <row r="64" customFormat="false" ht="15" hidden="false" customHeight="false" outlineLevel="0" collapsed="false">
      <c r="A64" s="17" t="s">
        <v>29</v>
      </c>
      <c r="B64" s="11" t="n">
        <f aca="false">'هشام ناجي'!C8</f>
        <v>46309</v>
      </c>
      <c r="C64" s="17" t="str">
        <f aca="false">'هشام ناجي'!D8</f>
        <v>سداد</v>
      </c>
      <c r="D64" s="17"/>
      <c r="E64" s="7" t="s">
        <v>78</v>
      </c>
      <c r="F64" s="7" t="str">
        <f aca="false">IF('هشام ناجي'!E8="","",'هشام ناجي'!E8)</f>
        <v/>
      </c>
      <c r="G64" s="19" t="str">
        <f aca="false">IF('هشام ناجي'!F8="","",'هشام ناجي'!F8)</f>
        <v/>
      </c>
      <c r="H64" s="9" t="str">
        <f aca="false">IF(F64="","",ROUND(F64*G64,2))</f>
        <v/>
      </c>
      <c r="I64" s="9" t="str">
        <f aca="false">IF(F64="","",ROUND(H64*IF(N('هشام ناجي'!G8)&gt;1,'هشام ناجي'!G8-1,0),2))</f>
        <v/>
      </c>
      <c r="J64" s="9" t="n">
        <f aca="false">N('هشام ناجي'!H8)</f>
        <v>0</v>
      </c>
      <c r="K64" s="9" t="n">
        <f aca="false">N('هشام ناجي'!I8)</f>
        <v>3050</v>
      </c>
    </row>
    <row r="65" customFormat="false" ht="15" hidden="false" customHeight="false" outlineLevel="0" collapsed="false">
      <c r="A65" s="17" t="s">
        <v>29</v>
      </c>
      <c r="B65" s="11" t="n">
        <f aca="false">'هشام ناجي'!C9</f>
        <v>46311</v>
      </c>
      <c r="C65" s="17" t="str">
        <f aca="false">'هشام ناجي'!D9</f>
        <v>فراولة</v>
      </c>
      <c r="D65" s="17" t="s">
        <v>80</v>
      </c>
      <c r="E65" s="7" t="s">
        <v>76</v>
      </c>
      <c r="F65" s="18" t="n">
        <f aca="false">IF('هشام ناجي'!E9="","",'هشام ناجي'!E9)</f>
        <v>15</v>
      </c>
      <c r="G65" s="19" t="n">
        <f aca="false">IF('هشام ناجي'!F9="","",'هشام ناجي'!F9)</f>
        <v>125</v>
      </c>
      <c r="H65" s="9" t="n">
        <f aca="false">IF(F65="","",ROUND(F65*G65,2))</f>
        <v>1875</v>
      </c>
      <c r="I65" s="9" t="n">
        <f aca="false">IF(F65="","",ROUND(H65*IF(N('هشام ناجي'!G9)&gt;1,'هشام ناجي'!G9-1,0),2))</f>
        <v>0</v>
      </c>
      <c r="J65" s="9" t="n">
        <f aca="false">N('هشام ناجي'!H9)</f>
        <v>1875</v>
      </c>
      <c r="K65" s="9" t="n">
        <f aca="false">N('هشام ناجي'!I9)</f>
        <v>0</v>
      </c>
    </row>
    <row r="66" customFormat="false" ht="15" hidden="false" customHeight="false" outlineLevel="0" collapsed="false">
      <c r="A66" s="17" t="s">
        <v>29</v>
      </c>
      <c r="B66" s="11" t="n">
        <f aca="false">'هشام ناجي'!C10</f>
        <v>46311</v>
      </c>
      <c r="C66" s="17" t="str">
        <f aca="false">'هشام ناجي'!D10</f>
        <v>سداد</v>
      </c>
      <c r="D66" s="17"/>
      <c r="E66" s="7" t="s">
        <v>78</v>
      </c>
      <c r="F66" s="7" t="str">
        <f aca="false">IF('هشام ناجي'!E10="","",'هشام ناجي'!E10)</f>
        <v/>
      </c>
      <c r="G66" s="19" t="str">
        <f aca="false">IF('هشام ناجي'!F10="","",'هشام ناجي'!F10)</f>
        <v/>
      </c>
      <c r="H66" s="9" t="str">
        <f aca="false">IF(F66="","",ROUND(F66*G66,2))</f>
        <v/>
      </c>
      <c r="I66" s="9" t="str">
        <f aca="false">IF(F66="","",ROUND(H66*IF(N('هشام ناجي'!G10)&gt;1,'هشام ناجي'!G10-1,0),2))</f>
        <v/>
      </c>
      <c r="J66" s="9" t="n">
        <f aca="false">N('هشام ناجي'!H10)</f>
        <v>0</v>
      </c>
      <c r="K66" s="9" t="n">
        <f aca="false">N('هشام ناجي'!I10)</f>
        <v>1875</v>
      </c>
    </row>
    <row r="67" customFormat="false" ht="15" hidden="false" customHeight="false" outlineLevel="0" collapsed="false">
      <c r="A67" s="17" t="s">
        <v>29</v>
      </c>
      <c r="B67" s="11" t="n">
        <f aca="false">'هشام ناجي'!C11</f>
        <v>46317</v>
      </c>
      <c r="C67" s="17" t="str">
        <f aca="false">'هشام ناجي'!D11</f>
        <v>فراولة</v>
      </c>
      <c r="D67" s="17" t="s">
        <v>80</v>
      </c>
      <c r="E67" s="7" t="s">
        <v>76</v>
      </c>
      <c r="F67" s="18" t="n">
        <f aca="false">IF('هشام ناجي'!E11="","",'هشام ناجي'!E11)</f>
        <v>14</v>
      </c>
      <c r="G67" s="19" t="n">
        <f aca="false">IF('هشام ناجي'!F11="","",'هشام ناجي'!F11)</f>
        <v>128</v>
      </c>
      <c r="H67" s="9" t="n">
        <f aca="false">IF(F67="","",ROUND(F67*G67,2))</f>
        <v>1792</v>
      </c>
      <c r="I67" s="9" t="n">
        <f aca="false">IF(F67="","",ROUND(H67*IF(N('هشام ناجي'!G11)&gt;1,'هشام ناجي'!G11-1,0),2))</f>
        <v>0</v>
      </c>
      <c r="J67" s="9" t="n">
        <f aca="false">N('هشام ناجي'!H11)</f>
        <v>1792</v>
      </c>
      <c r="K67" s="9" t="n">
        <f aca="false">N('هشام ناجي'!I11)</f>
        <v>0</v>
      </c>
    </row>
    <row r="68" customFormat="false" ht="15" hidden="false" customHeight="false" outlineLevel="0" collapsed="false">
      <c r="A68" s="17" t="s">
        <v>29</v>
      </c>
      <c r="B68" s="11" t="n">
        <f aca="false">'هشام ناجي'!C12</f>
        <v>46317</v>
      </c>
      <c r="C68" s="17" t="str">
        <f aca="false">'هشام ناجي'!D12</f>
        <v>سداد</v>
      </c>
      <c r="D68" s="17"/>
      <c r="E68" s="7" t="s">
        <v>78</v>
      </c>
      <c r="F68" s="7" t="str">
        <f aca="false">IF('هشام ناجي'!E12="","",'هشام ناجي'!E12)</f>
        <v/>
      </c>
      <c r="G68" s="19" t="str">
        <f aca="false">IF('هشام ناجي'!F12="","",'هشام ناجي'!F12)</f>
        <v/>
      </c>
      <c r="H68" s="9" t="str">
        <f aca="false">IF(F68="","",ROUND(F68*G68,2))</f>
        <v/>
      </c>
      <c r="I68" s="9" t="str">
        <f aca="false">IF(F68="","",ROUND(H68*IF(N('هشام ناجي'!G12)&gt;1,'هشام ناجي'!G12-1,0),2))</f>
        <v/>
      </c>
      <c r="J68" s="9" t="n">
        <f aca="false">N('هشام ناجي'!H12)</f>
        <v>0</v>
      </c>
      <c r="K68" s="9" t="n">
        <f aca="false">N('هشام ناجي'!I12)</f>
        <v>1792</v>
      </c>
    </row>
    <row r="69" customFormat="false" ht="15" hidden="false" customHeight="false" outlineLevel="0" collapsed="false">
      <c r="A69" s="17" t="s">
        <v>29</v>
      </c>
      <c r="B69" s="11" t="n">
        <f aca="false">'هشام ناجي'!C13</f>
        <v>46319</v>
      </c>
      <c r="C69" s="17" t="str">
        <f aca="false">'هشام ناجي'!D13</f>
        <v>فراولة</v>
      </c>
      <c r="D69" s="17" t="s">
        <v>80</v>
      </c>
      <c r="E69" s="7" t="s">
        <v>76</v>
      </c>
      <c r="F69" s="18" t="n">
        <f aca="false">IF('هشام ناجي'!E13="","",'هشام ناجي'!E13)</f>
        <v>8</v>
      </c>
      <c r="G69" s="19" t="n">
        <f aca="false">IF('هشام ناجي'!F13="","",'هشام ناجي'!F13)</f>
        <v>138</v>
      </c>
      <c r="H69" s="9" t="n">
        <f aca="false">IF(F69="","",ROUND(F69*G69,2))</f>
        <v>1104</v>
      </c>
      <c r="I69" s="9" t="n">
        <f aca="false">IF(F69="","",ROUND(H69*IF(N('هشام ناجي'!G13)&gt;1,'هشام ناجي'!G13-1,0),2))</f>
        <v>0</v>
      </c>
      <c r="J69" s="9" t="n">
        <f aca="false">N('هشام ناجي'!H13)</f>
        <v>1104</v>
      </c>
      <c r="K69" s="9" t="n">
        <f aca="false">N('هشام ناجي'!I13)</f>
        <v>0</v>
      </c>
    </row>
    <row r="70" customFormat="false" ht="15" hidden="false" customHeight="false" outlineLevel="0" collapsed="false">
      <c r="A70" s="17" t="s">
        <v>29</v>
      </c>
      <c r="B70" s="11" t="n">
        <f aca="false">'هشام ناجي'!C14</f>
        <v>46319</v>
      </c>
      <c r="C70" s="17" t="str">
        <f aca="false">'هشام ناجي'!D14</f>
        <v>سداد</v>
      </c>
      <c r="D70" s="17"/>
      <c r="E70" s="7" t="s">
        <v>78</v>
      </c>
      <c r="F70" s="7" t="str">
        <f aca="false">IF('هشام ناجي'!E14="","",'هشام ناجي'!E14)</f>
        <v/>
      </c>
      <c r="G70" s="19" t="str">
        <f aca="false">IF('هشام ناجي'!F14="","",'هشام ناجي'!F14)</f>
        <v/>
      </c>
      <c r="H70" s="9" t="str">
        <f aca="false">IF(F70="","",ROUND(F70*G70,2))</f>
        <v/>
      </c>
      <c r="I70" s="9" t="str">
        <f aca="false">IF(F70="","",ROUND(H70*IF(N('هشام ناجي'!G14)&gt;1,'هشام ناجي'!G14-1,0),2))</f>
        <v/>
      </c>
      <c r="J70" s="9" t="n">
        <f aca="false">N('هشام ناجي'!H14)</f>
        <v>0</v>
      </c>
      <c r="K70" s="9" t="n">
        <f aca="false">N('هشام ناجي'!I14)</f>
        <v>1104</v>
      </c>
    </row>
    <row r="71" customFormat="false" ht="15" hidden="false" customHeight="false" outlineLevel="0" collapsed="false">
      <c r="A71" s="17" t="s">
        <v>30</v>
      </c>
      <c r="B71" s="11" t="n">
        <f aca="false">'عصام المصري'!C7</f>
        <v>46307</v>
      </c>
      <c r="C71" s="17" t="str">
        <f aca="false">'عصام المصري'!D7</f>
        <v>تفاح احمر</v>
      </c>
      <c r="D71" s="17" t="s">
        <v>93</v>
      </c>
      <c r="E71" s="7" t="s">
        <v>76</v>
      </c>
      <c r="F71" s="18" t="n">
        <f aca="false">IF('عصام المصري'!E7="","",'عصام المصري'!E7)</f>
        <v>20</v>
      </c>
      <c r="G71" s="19" t="n">
        <f aca="false">IF('عصام المصري'!F7="","",'عصام المصري'!F7)</f>
        <v>9.5</v>
      </c>
      <c r="H71" s="9" t="n">
        <f aca="false">IF(F71="","",ROUND(F71*G71,2))</f>
        <v>190</v>
      </c>
      <c r="I71" s="9" t="n">
        <f aca="false">IF(F71="","",ROUND(H71*IF(N('عصام المصري'!G7)&gt;1,'عصام المصري'!G7-1,0),2))</f>
        <v>0</v>
      </c>
      <c r="J71" s="9" t="n">
        <f aca="false">N('عصام المصري'!H7)</f>
        <v>190</v>
      </c>
      <c r="K71" s="9" t="n">
        <f aca="false">N('عصام المصري'!I7)</f>
        <v>0</v>
      </c>
    </row>
    <row r="72" customFormat="false" ht="15" hidden="false" customHeight="false" outlineLevel="0" collapsed="false">
      <c r="A72" s="17" t="s">
        <v>30</v>
      </c>
      <c r="B72" s="11" t="n">
        <f aca="false">'عصام المصري'!C8</f>
        <v>46307</v>
      </c>
      <c r="C72" s="17" t="str">
        <f aca="false">'عصام المصري'!D8</f>
        <v>تفاح ابيض</v>
      </c>
      <c r="D72" s="17" t="s">
        <v>94</v>
      </c>
      <c r="E72" s="7" t="s">
        <v>76</v>
      </c>
      <c r="F72" s="18" t="n">
        <f aca="false">IF('عصام المصري'!E8="","",'عصام المصري'!E8)</f>
        <v>10</v>
      </c>
      <c r="G72" s="19" t="n">
        <f aca="false">IF('عصام المصري'!F8="","",'عصام المصري'!F8)</f>
        <v>9.5</v>
      </c>
      <c r="H72" s="9" t="n">
        <f aca="false">IF(F72="","",ROUND(F72*G72,2))</f>
        <v>95</v>
      </c>
      <c r="I72" s="9" t="n">
        <f aca="false">IF(F72="","",ROUND(H72*IF(N('عصام المصري'!G8)&gt;1,'عصام المصري'!G8-1,0),2))</f>
        <v>0</v>
      </c>
      <c r="J72" s="9" t="n">
        <f aca="false">N('عصام المصري'!H8)</f>
        <v>95</v>
      </c>
      <c r="K72" s="9" t="n">
        <f aca="false">N('عصام المصري'!I8)</f>
        <v>0</v>
      </c>
    </row>
    <row r="73" customFormat="false" ht="15" hidden="false" customHeight="false" outlineLevel="0" collapsed="false">
      <c r="A73" s="17" t="s">
        <v>30</v>
      </c>
      <c r="B73" s="11" t="n">
        <f aca="false">'عصام المصري'!C9</f>
        <v>46308</v>
      </c>
      <c r="C73" s="17" t="str">
        <f aca="false">'عصام المصري'!D9</f>
        <v>تفاح احمر</v>
      </c>
      <c r="D73" s="17" t="s">
        <v>93</v>
      </c>
      <c r="E73" s="7" t="s">
        <v>76</v>
      </c>
      <c r="F73" s="18" t="n">
        <f aca="false">IF('عصام المصري'!E9="","",'عصام المصري'!E9)</f>
        <v>15</v>
      </c>
      <c r="G73" s="19" t="n">
        <f aca="false">IF('عصام المصري'!F9="","",'عصام المصري'!F9)</f>
        <v>8</v>
      </c>
      <c r="H73" s="9" t="n">
        <f aca="false">IF(F73="","",ROUND(F73*G73,2))</f>
        <v>120</v>
      </c>
      <c r="I73" s="9" t="n">
        <f aca="false">IF(F73="","",ROUND(H73*IF(N('عصام المصري'!G9)&gt;1,'عصام المصري'!G9-1,0),2))</f>
        <v>18</v>
      </c>
      <c r="J73" s="9" t="n">
        <f aca="false">N('عصام المصري'!H9)</f>
        <v>138</v>
      </c>
      <c r="K73" s="9" t="n">
        <f aca="false">N('عصام المصري'!I9)</f>
        <v>0</v>
      </c>
    </row>
    <row r="74" customFormat="false" ht="15" hidden="false" customHeight="false" outlineLevel="0" collapsed="false">
      <c r="A74" s="17" t="s">
        <v>30</v>
      </c>
      <c r="B74" s="11" t="n">
        <f aca="false">'عصام المصري'!C10</f>
        <v>46309</v>
      </c>
      <c r="C74" s="17" t="str">
        <f aca="false">'عصام المصري'!D10</f>
        <v>تفاح احمر</v>
      </c>
      <c r="D74" s="17" t="s">
        <v>93</v>
      </c>
      <c r="E74" s="7" t="s">
        <v>76</v>
      </c>
      <c r="F74" s="18" t="n">
        <f aca="false">IF('عصام المصري'!E10="","",'عصام المصري'!E10)</f>
        <v>20</v>
      </c>
      <c r="G74" s="19" t="n">
        <f aca="false">IF('عصام المصري'!F10="","",'عصام المصري'!F10)</f>
        <v>8</v>
      </c>
      <c r="H74" s="9" t="n">
        <f aca="false">IF(F74="","",ROUND(F74*G74,2))</f>
        <v>160</v>
      </c>
      <c r="I74" s="9" t="n">
        <f aca="false">IF(F74="","",ROUND(H74*IF(N('عصام المصري'!G10)&gt;1,'عصام المصري'!G10-1,0),2))</f>
        <v>24</v>
      </c>
      <c r="J74" s="9" t="n">
        <f aca="false">N('عصام المصري'!H10)</f>
        <v>184</v>
      </c>
      <c r="K74" s="9" t="n">
        <f aca="false">N('عصام المصري'!I10)</f>
        <v>0</v>
      </c>
    </row>
    <row r="75" customFormat="false" ht="15" hidden="false" customHeight="false" outlineLevel="0" collapsed="false">
      <c r="A75" s="17" t="s">
        <v>30</v>
      </c>
      <c r="B75" s="11" t="n">
        <f aca="false">'عصام المصري'!C11</f>
        <v>46309</v>
      </c>
      <c r="C75" s="17" t="str">
        <f aca="false">'عصام المصري'!D11</f>
        <v>تفاح اخضر</v>
      </c>
      <c r="D75" s="17" t="s">
        <v>95</v>
      </c>
      <c r="E75" s="7" t="s">
        <v>76</v>
      </c>
      <c r="F75" s="18" t="n">
        <f aca="false">IF('عصام المصري'!E11="","",'عصام المصري'!E11)</f>
        <v>10</v>
      </c>
      <c r="G75" s="19" t="n">
        <f aca="false">IF('عصام المصري'!F11="","",'عصام المصري'!F11)</f>
        <v>8</v>
      </c>
      <c r="H75" s="9" t="n">
        <f aca="false">IF(F75="","",ROUND(F75*G75,2))</f>
        <v>80</v>
      </c>
      <c r="I75" s="9" t="n">
        <f aca="false">IF(F75="","",ROUND(H75*IF(N('عصام المصري'!G11)&gt;1,'عصام المصري'!G11-1,0),2))</f>
        <v>12</v>
      </c>
      <c r="J75" s="9" t="n">
        <f aca="false">N('عصام المصري'!H11)</f>
        <v>92</v>
      </c>
      <c r="K75" s="9" t="n">
        <f aca="false">N('عصام المصري'!I11)</f>
        <v>0</v>
      </c>
    </row>
    <row r="76" customFormat="false" ht="15" hidden="false" customHeight="false" outlineLevel="0" collapsed="false">
      <c r="A76" s="17" t="s">
        <v>30</v>
      </c>
      <c r="B76" s="11" t="n">
        <f aca="false">'عصام المصري'!C12</f>
        <v>46311</v>
      </c>
      <c r="C76" s="17" t="str">
        <f aca="false">'عصام المصري'!D12</f>
        <v>سداد نقدي و تم خصم 10 ريال</v>
      </c>
      <c r="D76" s="17"/>
      <c r="E76" s="7" t="s">
        <v>96</v>
      </c>
      <c r="F76" s="7" t="str">
        <f aca="false">IF('عصام المصري'!E12="","",'عصام المصري'!E12)</f>
        <v/>
      </c>
      <c r="G76" s="19" t="str">
        <f aca="false">IF('عصام المصري'!F12="","",'عصام المصري'!F12)</f>
        <v/>
      </c>
      <c r="H76" s="9" t="str">
        <f aca="false">IF(F76="","",ROUND(F76*G76,2))</f>
        <v/>
      </c>
      <c r="I76" s="9" t="str">
        <f aca="false">IF(F76="","",ROUND(H76*IF(N('عصام المصري'!G12)&gt;1,'عصام المصري'!G12-1,0),2))</f>
        <v/>
      </c>
      <c r="J76" s="9" t="n">
        <f aca="false">N('عصام المصري'!H12)</f>
        <v>0</v>
      </c>
      <c r="K76" s="9" t="n">
        <f aca="false">N('عصام المصري'!I12)</f>
        <v>690</v>
      </c>
    </row>
    <row r="77" customFormat="false" ht="15" hidden="false" customHeight="false" outlineLevel="0" collapsed="false">
      <c r="A77" s="17" t="s">
        <v>30</v>
      </c>
      <c r="B77" s="11" t="n">
        <f aca="false">'عصام المصري'!C13</f>
        <v>46325</v>
      </c>
      <c r="C77" s="17" t="str">
        <f aca="false">'عصام المصري'!D13</f>
        <v>تفاح سلة</v>
      </c>
      <c r="D77" s="17" t="s">
        <v>75</v>
      </c>
      <c r="E77" s="7" t="s">
        <v>76</v>
      </c>
      <c r="F77" s="18" t="n">
        <f aca="false">IF('عصام المصري'!E13="","",'عصام المصري'!E13)</f>
        <v>20</v>
      </c>
      <c r="G77" s="19" t="n">
        <f aca="false">IF('عصام المصري'!F13="","",'عصام المصري'!F13)</f>
        <v>52</v>
      </c>
      <c r="H77" s="9" t="n">
        <f aca="false">IF(F77="","",ROUND(F77*G77,2))</f>
        <v>1040</v>
      </c>
      <c r="I77" s="9" t="n">
        <f aca="false">IF(F77="","",ROUND(H77*IF(N('عصام المصري'!G13)&gt;1,'عصام المصري'!G13-1,0),2))</f>
        <v>0</v>
      </c>
      <c r="J77" s="9" t="n">
        <f aca="false">N('عصام المصري'!H13)</f>
        <v>1040</v>
      </c>
      <c r="K77" s="9" t="n">
        <f aca="false">N('عصام المصري'!I13)</f>
        <v>0</v>
      </c>
    </row>
    <row r="78" customFormat="false" ht="15" hidden="false" customHeight="false" outlineLevel="0" collapsed="false">
      <c r="A78" s="17" t="s">
        <v>31</v>
      </c>
      <c r="B78" s="11" t="n">
        <f aca="false">الحساني!C7</f>
        <v>46314</v>
      </c>
      <c r="C78" s="17" t="str">
        <f aca="false">الحساني!D7</f>
        <v>عنب تركي</v>
      </c>
      <c r="D78" s="17" t="s">
        <v>97</v>
      </c>
      <c r="E78" s="7" t="s">
        <v>76</v>
      </c>
      <c r="F78" s="18" t="n">
        <f aca="false">IF(الحساني!E7="","",الحساني!E7)</f>
        <v>86</v>
      </c>
      <c r="G78" s="19" t="n">
        <f aca="false">IF(الحساني!F7="","",الحساني!F7)</f>
        <v>67</v>
      </c>
      <c r="H78" s="9" t="n">
        <f aca="false">IF(F78="","",ROUND(F78*G78,2))</f>
        <v>5762</v>
      </c>
      <c r="I78" s="9" t="n">
        <f aca="false">IF(F78="","",ROUND(H78*IF(N(الحساني!G7)&gt;1,الحساني!G7-1,0),2))</f>
        <v>864.3</v>
      </c>
      <c r="J78" s="9" t="n">
        <f aca="false">N(الحساني!H7)</f>
        <v>6626.3</v>
      </c>
      <c r="K78" s="9" t="n">
        <f aca="false">N(الحساني!I7)</f>
        <v>0</v>
      </c>
    </row>
    <row r="79" customFormat="false" ht="15" hidden="false" customHeight="false" outlineLevel="0" collapsed="false">
      <c r="A79" s="17" t="s">
        <v>31</v>
      </c>
      <c r="B79" s="11" t="n">
        <f aca="false">الحساني!C8</f>
        <v>46315</v>
      </c>
      <c r="C79" s="17" t="str">
        <f aca="false">الحساني!D8</f>
        <v>حوالة ل جبار البيشي</v>
      </c>
      <c r="D79" s="17"/>
      <c r="E79" s="7" t="s">
        <v>98</v>
      </c>
      <c r="F79" s="7" t="str">
        <f aca="false">IF(الحساني!E8="","",الحساني!E8)</f>
        <v/>
      </c>
      <c r="G79" s="19" t="str">
        <f aca="false">IF(الحساني!F8="","",الحساني!F8)</f>
        <v/>
      </c>
      <c r="H79" s="9" t="str">
        <f aca="false">IF(F79="","",ROUND(F79*G79,2))</f>
        <v/>
      </c>
      <c r="I79" s="9" t="str">
        <f aca="false">IF(F79="","",ROUND(H79*IF(N(الحساني!G8)&gt;1,الحساني!G8-1,0),2))</f>
        <v/>
      </c>
      <c r="J79" s="9" t="n">
        <f aca="false">N(الحساني!H8)</f>
        <v>0</v>
      </c>
      <c r="K79" s="9" t="n">
        <f aca="false">N(الحساني!I8)</f>
        <v>6626.3</v>
      </c>
    </row>
    <row r="80" customFormat="false" ht="15" hidden="false" customHeight="false" outlineLevel="0" collapsed="false">
      <c r="A80" s="17" t="s">
        <v>32</v>
      </c>
      <c r="B80" s="11" t="n">
        <f aca="false">'سليم يمني'!C7</f>
        <v>46315</v>
      </c>
      <c r="C80" s="17" t="str">
        <f aca="false">'سليم يمني'!D7</f>
        <v>عنب لبناني</v>
      </c>
      <c r="D80" s="17" t="s">
        <v>99</v>
      </c>
      <c r="E80" s="7" t="s">
        <v>76</v>
      </c>
      <c r="F80" s="18" t="n">
        <f aca="false">IF('سليم يمني'!E7="","",'سليم يمني'!E7)</f>
        <v>12</v>
      </c>
      <c r="G80" s="19" t="n">
        <f aca="false">IF('سليم يمني'!F7="","",'سليم يمني'!F7)</f>
        <v>25</v>
      </c>
      <c r="H80" s="9" t="n">
        <f aca="false">IF(F80="","",ROUND(F80*G80,2))</f>
        <v>300</v>
      </c>
      <c r="I80" s="9" t="n">
        <f aca="false">IF(F80="","",ROUND(H80*IF(N('سليم يمني'!G7)&gt;1,'سليم يمني'!G7-1,0),2))</f>
        <v>0</v>
      </c>
      <c r="J80" s="9" t="n">
        <f aca="false">N('سليم يمني'!H7)</f>
        <v>300</v>
      </c>
      <c r="K80" s="9" t="n">
        <f aca="false">N('سليم يمني'!I7)</f>
        <v>0</v>
      </c>
    </row>
    <row r="81" customFormat="false" ht="15" hidden="false" customHeight="false" outlineLevel="0" collapsed="false">
      <c r="A81" s="17" t="s">
        <v>32</v>
      </c>
      <c r="B81" s="11" t="n">
        <f aca="false">'سليم يمني'!C8</f>
        <v>46322</v>
      </c>
      <c r="C81" s="17" t="str">
        <f aca="false">'سليم يمني'!D8</f>
        <v>سداد</v>
      </c>
      <c r="D81" s="17"/>
      <c r="E81" s="7" t="s">
        <v>78</v>
      </c>
      <c r="F81" s="7" t="str">
        <f aca="false">IF('سليم يمني'!E8="","",'سليم يمني'!E8)</f>
        <v/>
      </c>
      <c r="G81" s="19" t="str">
        <f aca="false">IF('سليم يمني'!F8="","",'سليم يمني'!F8)</f>
        <v/>
      </c>
      <c r="H81" s="9" t="str">
        <f aca="false">IF(F81="","",ROUND(F81*G81,2))</f>
        <v/>
      </c>
      <c r="I81" s="9" t="str">
        <f aca="false">IF(F81="","",ROUND(H81*IF(N('سليم يمني'!G8)&gt;1,'سليم يمني'!G8-1,0),2))</f>
        <v/>
      </c>
      <c r="J81" s="9" t="n">
        <f aca="false">N('سليم يمني'!H8)</f>
        <v>0</v>
      </c>
      <c r="K81" s="9" t="n">
        <f aca="false">N('سليم يمني'!I8)</f>
        <v>300</v>
      </c>
    </row>
    <row r="82" customFormat="false" ht="15" hidden="false" customHeight="false" outlineLevel="0" collapsed="false">
      <c r="A82" s="17" t="s">
        <v>33</v>
      </c>
      <c r="B82" s="11" t="n">
        <f aca="false">'ناصر اكرم'!C7</f>
        <v>46314</v>
      </c>
      <c r="C82" s="17" t="str">
        <f aca="false">'ناصر اكرم'!D7</f>
        <v>كاكا</v>
      </c>
      <c r="D82" s="17" t="s">
        <v>85</v>
      </c>
      <c r="E82" s="7" t="s">
        <v>76</v>
      </c>
      <c r="F82" s="18" t="n">
        <f aca="false">IF('ناصر اكرم'!E7="","",'ناصر اكرم'!E7)</f>
        <v>20</v>
      </c>
      <c r="G82" s="19" t="n">
        <f aca="false">IF('ناصر اكرم'!F7="","",'ناصر اكرم'!F7)</f>
        <v>20</v>
      </c>
      <c r="H82" s="9" t="n">
        <f aca="false">IF(F82="","",ROUND(F82*G82,2))</f>
        <v>400</v>
      </c>
      <c r="I82" s="9" t="n">
        <f aca="false">IF(F82="","",ROUND(H82*IF(N('ناصر اكرم'!G7)&gt;1,'ناصر اكرم'!G7-1,0),2))</f>
        <v>0</v>
      </c>
      <c r="J82" s="9" t="n">
        <f aca="false">N('ناصر اكرم'!H7)</f>
        <v>400</v>
      </c>
      <c r="K82" s="9" t="n">
        <f aca="false">N('ناصر اكرم'!I7)</f>
        <v>0</v>
      </c>
    </row>
    <row r="83" customFormat="false" ht="15" hidden="false" customHeight="false" outlineLevel="0" collapsed="false">
      <c r="A83" s="17" t="s">
        <v>33</v>
      </c>
      <c r="B83" s="11" t="n">
        <f aca="false">'ناصر اكرم'!C8</f>
        <v>46315</v>
      </c>
      <c r="C83" s="17" t="str">
        <f aca="false">'ناصر اكرم'!D8</f>
        <v>سداد</v>
      </c>
      <c r="D83" s="17"/>
      <c r="E83" s="7" t="s">
        <v>78</v>
      </c>
      <c r="F83" s="7" t="str">
        <f aca="false">IF('ناصر اكرم'!E8="","",'ناصر اكرم'!E8)</f>
        <v/>
      </c>
      <c r="G83" s="19" t="str">
        <f aca="false">IF('ناصر اكرم'!F8="","",'ناصر اكرم'!F8)</f>
        <v/>
      </c>
      <c r="H83" s="9" t="str">
        <f aca="false">IF(F83="","",ROUND(F83*G83,2))</f>
        <v/>
      </c>
      <c r="I83" s="9" t="str">
        <f aca="false">IF(F83="","",ROUND(H83*IF(N('ناصر اكرم'!G8)&gt;1,'ناصر اكرم'!G8-1,0),2))</f>
        <v/>
      </c>
      <c r="J83" s="9" t="n">
        <f aca="false">N('ناصر اكرم'!H8)</f>
        <v>0</v>
      </c>
      <c r="K83" s="9" t="n">
        <f aca="false">N('ناصر اكرم'!I8)</f>
        <v>400</v>
      </c>
    </row>
    <row r="84" customFormat="false" ht="15" hidden="false" customHeight="false" outlineLevel="0" collapsed="false">
      <c r="A84" s="17" t="s">
        <v>33</v>
      </c>
      <c r="B84" s="11" t="n">
        <f aca="false">'ناصر اكرم'!C9</f>
        <v>46316</v>
      </c>
      <c r="C84" s="17" t="str">
        <f aca="false">'ناصر اكرم'!D9</f>
        <v>كاكا</v>
      </c>
      <c r="D84" s="17" t="s">
        <v>85</v>
      </c>
      <c r="E84" s="7" t="s">
        <v>76</v>
      </c>
      <c r="F84" s="18" t="n">
        <f aca="false">IF('ناصر اكرم'!E9="","",'ناصر اكرم'!E9)</f>
        <v>30</v>
      </c>
      <c r="G84" s="19" t="n">
        <f aca="false">IF('ناصر اكرم'!F9="","",'ناصر اكرم'!F9)</f>
        <v>21</v>
      </c>
      <c r="H84" s="9" t="n">
        <f aca="false">IF(F84="","",ROUND(F84*G84,2))</f>
        <v>630</v>
      </c>
      <c r="I84" s="9" t="n">
        <f aca="false">IF(F84="","",ROUND(H84*IF(N('ناصر اكرم'!G9)&gt;1,'ناصر اكرم'!G9-1,0),2))</f>
        <v>0</v>
      </c>
      <c r="J84" s="9" t="n">
        <f aca="false">N('ناصر اكرم'!H9)</f>
        <v>630</v>
      </c>
      <c r="K84" s="9" t="n">
        <f aca="false">N('ناصر اكرم'!I9)</f>
        <v>0</v>
      </c>
    </row>
    <row r="85" customFormat="false" ht="15" hidden="false" customHeight="false" outlineLevel="0" collapsed="false">
      <c r="A85" s="17" t="s">
        <v>33</v>
      </c>
      <c r="B85" s="11" t="n">
        <f aca="false">'ناصر اكرم'!C10</f>
        <v>46318</v>
      </c>
      <c r="C85" s="17" t="str">
        <f aca="false">'ناصر اكرم'!D10</f>
        <v>كاكا</v>
      </c>
      <c r="D85" s="17" t="s">
        <v>85</v>
      </c>
      <c r="E85" s="7" t="s">
        <v>76</v>
      </c>
      <c r="F85" s="18" t="n">
        <f aca="false">IF('ناصر اكرم'!E10="","",'ناصر اكرم'!E10)</f>
        <v>28</v>
      </c>
      <c r="G85" s="19" t="n">
        <f aca="false">IF('ناصر اكرم'!F10="","",'ناصر اكرم'!F10)</f>
        <v>20</v>
      </c>
      <c r="H85" s="9" t="n">
        <f aca="false">IF(F85="","",ROUND(F85*G85,2))</f>
        <v>560</v>
      </c>
      <c r="I85" s="9" t="n">
        <f aca="false">IF(F85="","",ROUND(H85*IF(N('ناصر اكرم'!G10)&gt;1,'ناصر اكرم'!G10-1,0),2))</f>
        <v>0</v>
      </c>
      <c r="J85" s="9" t="n">
        <f aca="false">N('ناصر اكرم'!H10)</f>
        <v>560</v>
      </c>
      <c r="K85" s="9" t="n">
        <f aca="false">N('ناصر اكرم'!I10)</f>
        <v>0</v>
      </c>
    </row>
    <row r="86" customFormat="false" ht="15" hidden="false" customHeight="false" outlineLevel="0" collapsed="false">
      <c r="A86" s="17" t="s">
        <v>33</v>
      </c>
      <c r="B86" s="11" t="n">
        <f aca="false">'ناصر اكرم'!C11</f>
        <v>46321</v>
      </c>
      <c r="C86" s="17" t="str">
        <f aca="false">'ناصر اكرم'!D11</f>
        <v>كاكا</v>
      </c>
      <c r="D86" s="17" t="s">
        <v>85</v>
      </c>
      <c r="E86" s="7" t="s">
        <v>76</v>
      </c>
      <c r="F86" s="18" t="n">
        <f aca="false">IF('ناصر اكرم'!E11="","",'ناصر اكرم'!E11)</f>
        <v>24</v>
      </c>
      <c r="G86" s="19" t="n">
        <f aca="false">IF('ناصر اكرم'!F11="","",'ناصر اكرم'!F11)</f>
        <v>25</v>
      </c>
      <c r="H86" s="9" t="n">
        <f aca="false">IF(F86="","",ROUND(F86*G86,2))</f>
        <v>600</v>
      </c>
      <c r="I86" s="9" t="n">
        <f aca="false">IF(F86="","",ROUND(H86*IF(N('ناصر اكرم'!G11)&gt;1,'ناصر اكرم'!G11-1,0),2))</f>
        <v>0</v>
      </c>
      <c r="J86" s="9" t="n">
        <f aca="false">N('ناصر اكرم'!H11)</f>
        <v>600</v>
      </c>
      <c r="K86" s="9" t="n">
        <f aca="false">N('ناصر اكرم'!I11)</f>
        <v>0</v>
      </c>
    </row>
    <row r="87" customFormat="false" ht="15" hidden="false" customHeight="false" outlineLevel="0" collapsed="false">
      <c r="A87" s="17" t="s">
        <v>33</v>
      </c>
      <c r="B87" s="11" t="n">
        <f aca="false">'ناصر اكرم'!C12</f>
        <v>46322</v>
      </c>
      <c r="C87" s="17" t="str">
        <f aca="false">'ناصر اكرم'!D12</f>
        <v>سداد</v>
      </c>
      <c r="D87" s="17"/>
      <c r="E87" s="7" t="s">
        <v>78</v>
      </c>
      <c r="F87" s="7" t="str">
        <f aca="false">IF('ناصر اكرم'!E12="","",'ناصر اكرم'!E12)</f>
        <v/>
      </c>
      <c r="G87" s="19" t="str">
        <f aca="false">IF('ناصر اكرم'!F12="","",'ناصر اكرم'!F12)</f>
        <v/>
      </c>
      <c r="H87" s="9" t="str">
        <f aca="false">IF(F87="","",ROUND(F87*G87,2))</f>
        <v/>
      </c>
      <c r="I87" s="9" t="str">
        <f aca="false">IF(F87="","",ROUND(H87*IF(N('ناصر اكرم'!G12)&gt;1,'ناصر اكرم'!G12-1,0),2))</f>
        <v/>
      </c>
      <c r="J87" s="9" t="n">
        <f aca="false">N('ناصر اكرم'!H12)</f>
        <v>0</v>
      </c>
      <c r="K87" s="9" t="n">
        <f aca="false">N('ناصر اكرم'!I12)</f>
        <v>1750</v>
      </c>
    </row>
    <row r="88" customFormat="false" ht="15" hidden="false" customHeight="false" outlineLevel="0" collapsed="false">
      <c r="A88" s="17" t="s">
        <v>33</v>
      </c>
      <c r="B88" s="11" t="n">
        <f aca="false">'ناصر اكرم'!C13</f>
        <v>46322</v>
      </c>
      <c r="C88" s="17" t="str">
        <f aca="false">'ناصر اكرم'!D13</f>
        <v>خصم 40</v>
      </c>
      <c r="D88" s="17"/>
      <c r="E88" s="7" t="s">
        <v>96</v>
      </c>
      <c r="F88" s="7" t="str">
        <f aca="false">IF('ناصر اكرم'!E13="","",'ناصر اكرم'!E13)</f>
        <v/>
      </c>
      <c r="G88" s="19" t="str">
        <f aca="false">IF('ناصر اكرم'!F13="","",'ناصر اكرم'!F13)</f>
        <v/>
      </c>
      <c r="H88" s="9" t="str">
        <f aca="false">IF(F88="","",ROUND(F88*G88,2))</f>
        <v/>
      </c>
      <c r="I88" s="9" t="str">
        <f aca="false">IF(F88="","",ROUND(H88*IF(N('ناصر اكرم'!G13)&gt;1,'ناصر اكرم'!G13-1,0),2))</f>
        <v/>
      </c>
      <c r="J88" s="9" t="n">
        <f aca="false">N('ناصر اكرم'!H13)</f>
        <v>0</v>
      </c>
      <c r="K88" s="9" t="n">
        <f aca="false">N('ناصر اكرم'!I13)</f>
        <v>40</v>
      </c>
    </row>
    <row r="89" customFormat="false" ht="15" hidden="false" customHeight="false" outlineLevel="0" collapsed="false">
      <c r="A89" s="17" t="s">
        <v>34</v>
      </c>
      <c r="B89" s="11" t="n">
        <f aca="false">'مدحت تركي'!C7</f>
        <v>46318</v>
      </c>
      <c r="C89" s="17" t="str">
        <f aca="false">'مدحت تركي'!D7</f>
        <v>كاكا</v>
      </c>
      <c r="D89" s="17" t="s">
        <v>85</v>
      </c>
      <c r="E89" s="7" t="s">
        <v>76</v>
      </c>
      <c r="F89" s="18" t="n">
        <f aca="false">IF('مدحت تركي'!E7="","",'مدحت تركي'!E7)</f>
        <v>70</v>
      </c>
      <c r="G89" s="19" t="n">
        <f aca="false">IF('مدحت تركي'!F7="","",'مدحت تركي'!F7)</f>
        <v>20</v>
      </c>
      <c r="H89" s="9" t="n">
        <f aca="false">IF(F89="","",ROUND(F89*G89,2))</f>
        <v>1400</v>
      </c>
      <c r="I89" s="9" t="n">
        <f aca="false">IF(F89="","",ROUND(H89*IF(N('مدحت تركي'!G7)&gt;1,'مدحت تركي'!G7-1,0),2))</f>
        <v>0</v>
      </c>
      <c r="J89" s="9" t="n">
        <f aca="false">N('مدحت تركي'!H7)</f>
        <v>1400</v>
      </c>
      <c r="K89" s="9" t="n">
        <f aca="false">N('مدحت تركي'!I7)</f>
        <v>0</v>
      </c>
    </row>
    <row r="90" customFormat="false" ht="15" hidden="false" customHeight="false" outlineLevel="0" collapsed="false">
      <c r="A90" s="17" t="s">
        <v>35</v>
      </c>
      <c r="B90" s="11" t="n">
        <f aca="false">'امين بنغالي'!C7</f>
        <v>46314</v>
      </c>
      <c r="C90" s="17" t="str">
        <f aca="false">'امين بنغالي'!D7</f>
        <v>كاكا لبناني</v>
      </c>
      <c r="D90" s="17" t="s">
        <v>85</v>
      </c>
      <c r="E90" s="7" t="s">
        <v>76</v>
      </c>
      <c r="F90" s="18" t="n">
        <f aca="false">IF('امين بنغالي'!E7="","",'امين بنغالي'!E7)</f>
        <v>30</v>
      </c>
      <c r="G90" s="19" t="n">
        <f aca="false">IF('امين بنغالي'!F7="","",'امين بنغالي'!F7)</f>
        <v>20</v>
      </c>
      <c r="H90" s="9" t="n">
        <f aca="false">IF(F90="","",ROUND(F90*G90,2))</f>
        <v>600</v>
      </c>
      <c r="I90" s="9" t="n">
        <f aca="false">IF(F90="","",ROUND(H90*IF(N('امين بنغالي'!G7)&gt;1,'امين بنغالي'!G7-1,0),2))</f>
        <v>0</v>
      </c>
      <c r="J90" s="9" t="n">
        <f aca="false">N('امين بنغالي'!H7)</f>
        <v>600</v>
      </c>
      <c r="K90" s="9" t="n">
        <f aca="false">N('امين بنغالي'!I7)</f>
        <v>0</v>
      </c>
    </row>
    <row r="91" customFormat="false" ht="15" hidden="false" customHeight="false" outlineLevel="0" collapsed="false">
      <c r="A91" s="17" t="s">
        <v>35</v>
      </c>
      <c r="B91" s="11" t="n">
        <f aca="false">'امين بنغالي'!C8</f>
        <v>46316</v>
      </c>
      <c r="C91" s="17" t="str">
        <f aca="false">'امين بنغالي'!D8</f>
        <v>كاكا لبناني</v>
      </c>
      <c r="D91" s="17" t="s">
        <v>85</v>
      </c>
      <c r="E91" s="7" t="s">
        <v>76</v>
      </c>
      <c r="F91" s="18" t="n">
        <f aca="false">IF('امين بنغالي'!E8="","",'امين بنغالي'!E8)</f>
        <v>27</v>
      </c>
      <c r="G91" s="19" t="n">
        <f aca="false">IF('امين بنغالي'!F8="","",'امين بنغالي'!F8)</f>
        <v>20</v>
      </c>
      <c r="H91" s="9" t="n">
        <f aca="false">IF(F91="","",ROUND(F91*G91,2))</f>
        <v>540</v>
      </c>
      <c r="I91" s="9" t="n">
        <f aca="false">IF(F91="","",ROUND(H91*IF(N('امين بنغالي'!G8)&gt;1,'امين بنغالي'!G8-1,0),2))</f>
        <v>0</v>
      </c>
      <c r="J91" s="9" t="n">
        <f aca="false">N('امين بنغالي'!H8)</f>
        <v>540</v>
      </c>
      <c r="K91" s="9" t="n">
        <f aca="false">N('امين بنغالي'!I8)</f>
        <v>0</v>
      </c>
    </row>
    <row r="92" customFormat="false" ht="15" hidden="false" customHeight="false" outlineLevel="0" collapsed="false">
      <c r="A92" s="17" t="s">
        <v>35</v>
      </c>
      <c r="B92" s="11" t="n">
        <f aca="false">'امين بنغالي'!C9</f>
        <v>46316</v>
      </c>
      <c r="C92" s="17" t="str">
        <f aca="false">'امين بنغالي'!D9</f>
        <v>سداد دفعه</v>
      </c>
      <c r="D92" s="17"/>
      <c r="E92" s="7" t="s">
        <v>78</v>
      </c>
      <c r="F92" s="7" t="str">
        <f aca="false">IF('امين بنغالي'!E9="","",'امين بنغالي'!E9)</f>
        <v/>
      </c>
      <c r="G92" s="19" t="str">
        <f aca="false">IF('امين بنغالي'!F9="","",'امين بنغالي'!F9)</f>
        <v/>
      </c>
      <c r="H92" s="9" t="str">
        <f aca="false">IF(F92="","",ROUND(F92*G92,2))</f>
        <v/>
      </c>
      <c r="I92" s="9" t="str">
        <f aca="false">IF(F92="","",ROUND(H92*IF(N('امين بنغالي'!G9)&gt;1,'امين بنغالي'!G9-1,0),2))</f>
        <v/>
      </c>
      <c r="J92" s="9" t="n">
        <f aca="false">N('امين بنغالي'!H9)</f>
        <v>0</v>
      </c>
      <c r="K92" s="9" t="n">
        <f aca="false">N('امين بنغالي'!I9)</f>
        <v>600</v>
      </c>
    </row>
    <row r="93" customFormat="false" ht="15" hidden="false" customHeight="false" outlineLevel="0" collapsed="false">
      <c r="A93" s="17" t="s">
        <v>35</v>
      </c>
      <c r="B93" s="11" t="n">
        <f aca="false">'امين بنغالي'!C10</f>
        <v>46320</v>
      </c>
      <c r="C93" s="17" t="str">
        <f aca="false">'امين بنغالي'!D10</f>
        <v>سداد دفعه</v>
      </c>
      <c r="D93" s="17"/>
      <c r="E93" s="7" t="s">
        <v>78</v>
      </c>
      <c r="F93" s="7" t="str">
        <f aca="false">IF('امين بنغالي'!E10="","",'امين بنغالي'!E10)</f>
        <v/>
      </c>
      <c r="G93" s="19" t="str">
        <f aca="false">IF('امين بنغالي'!F10="","",'امين بنغالي'!F10)</f>
        <v/>
      </c>
      <c r="H93" s="9" t="str">
        <f aca="false">IF(F93="","",ROUND(F93*G93,2))</f>
        <v/>
      </c>
      <c r="I93" s="9" t="str">
        <f aca="false">IF(F93="","",ROUND(H93*IF(N('امين بنغالي'!G10)&gt;1,'امين بنغالي'!G10-1,0),2))</f>
        <v/>
      </c>
      <c r="J93" s="9" t="n">
        <f aca="false">N('امين بنغالي'!H10)</f>
        <v>0</v>
      </c>
      <c r="K93" s="9" t="n">
        <f aca="false">N('امين بنغالي'!I10)</f>
        <v>525</v>
      </c>
    </row>
    <row r="94" customFormat="false" ht="15" hidden="false" customHeight="false" outlineLevel="0" collapsed="false">
      <c r="A94" s="17" t="s">
        <v>35</v>
      </c>
      <c r="B94" s="11" t="n">
        <f aca="false">'امين بنغالي'!C11</f>
        <v>46320</v>
      </c>
      <c r="C94" s="17" t="str">
        <f aca="false">'امين بنغالي'!D11</f>
        <v>افندي</v>
      </c>
      <c r="D94" s="17" t="s">
        <v>79</v>
      </c>
      <c r="E94" s="7" t="s">
        <v>76</v>
      </c>
      <c r="F94" s="18" t="n">
        <f aca="false">IF('امين بنغالي'!E11="","",'امين بنغالي'!E11)</f>
        <v>25</v>
      </c>
      <c r="G94" s="19" t="n">
        <f aca="false">IF('امين بنغالي'!F11="","",'امين بنغالي'!F11)</f>
        <v>88</v>
      </c>
      <c r="H94" s="9" t="n">
        <f aca="false">IF(F94="","",ROUND(F94*G94,2))</f>
        <v>2200</v>
      </c>
      <c r="I94" s="9" t="n">
        <f aca="false">IF(F94="","",ROUND(H94*IF(N('امين بنغالي'!G11)&gt;1,'امين بنغالي'!G11-1,0),2))</f>
        <v>0</v>
      </c>
      <c r="J94" s="9" t="n">
        <f aca="false">N('امين بنغالي'!H11)</f>
        <v>2200</v>
      </c>
      <c r="K94" s="9" t="n">
        <f aca="false">N('امين بنغالي'!I11)</f>
        <v>0</v>
      </c>
    </row>
    <row r="95" customFormat="false" ht="15" hidden="false" customHeight="false" outlineLevel="0" collapsed="false">
      <c r="A95" s="17" t="s">
        <v>35</v>
      </c>
      <c r="B95" s="11" t="n">
        <f aca="false">'امين بنغالي'!C12</f>
        <v>46320</v>
      </c>
      <c r="C95" s="17" t="str">
        <f aca="false">'امين بنغالي'!D12</f>
        <v>رمان وسط</v>
      </c>
      <c r="D95" s="17" t="s">
        <v>77</v>
      </c>
      <c r="E95" s="7" t="s">
        <v>76</v>
      </c>
      <c r="F95" s="18" t="n">
        <f aca="false">IF('امين بنغالي'!E12="","",'امين بنغالي'!E12)</f>
        <v>30</v>
      </c>
      <c r="G95" s="19" t="n">
        <f aca="false">IF('امين بنغالي'!F12="","",'امين بنغالي'!F12)</f>
        <v>20</v>
      </c>
      <c r="H95" s="9" t="n">
        <f aca="false">IF(F95="","",ROUND(F95*G95,2))</f>
        <v>600</v>
      </c>
      <c r="I95" s="9" t="n">
        <f aca="false">IF(F95="","",ROUND(H95*IF(N('امين بنغالي'!G12)&gt;1,'امين بنغالي'!G12-1,0),2))</f>
        <v>0</v>
      </c>
      <c r="J95" s="9" t="n">
        <f aca="false">N('امين بنغالي'!H12)</f>
        <v>600</v>
      </c>
      <c r="K95" s="9" t="n">
        <f aca="false">N('امين بنغالي'!I12)</f>
        <v>0</v>
      </c>
    </row>
    <row r="96" customFormat="false" ht="15" hidden="false" customHeight="false" outlineLevel="0" collapsed="false">
      <c r="A96" s="17" t="s">
        <v>35</v>
      </c>
      <c r="B96" s="11" t="n">
        <f aca="false">'امين بنغالي'!C13</f>
        <v>46322</v>
      </c>
      <c r="C96" s="17" t="str">
        <f aca="false">'امين بنغالي'!D13</f>
        <v>سداد دفعه</v>
      </c>
      <c r="D96" s="17"/>
      <c r="E96" s="7" t="s">
        <v>78</v>
      </c>
      <c r="F96" s="7" t="str">
        <f aca="false">IF('امين بنغالي'!E13="","",'امين بنغالي'!E13)</f>
        <v/>
      </c>
      <c r="G96" s="19" t="str">
        <f aca="false">IF('امين بنغالي'!F13="","",'امين بنغالي'!F13)</f>
        <v/>
      </c>
      <c r="H96" s="9" t="str">
        <f aca="false">IF(F96="","",ROUND(F96*G96,2))</f>
        <v/>
      </c>
      <c r="I96" s="9" t="str">
        <f aca="false">IF(F96="","",ROUND(H96*IF(N('امين بنغالي'!G13)&gt;1,'امين بنغالي'!G13-1,0),2))</f>
        <v/>
      </c>
      <c r="J96" s="9" t="n">
        <f aca="false">N('امين بنغالي'!H13)</f>
        <v>0</v>
      </c>
      <c r="K96" s="9" t="n">
        <f aca="false">N('امين بنغالي'!I13)</f>
        <v>1300</v>
      </c>
    </row>
    <row r="97" customFormat="false" ht="15" hidden="false" customHeight="false" outlineLevel="0" collapsed="false">
      <c r="A97" s="17" t="s">
        <v>35</v>
      </c>
      <c r="B97" s="11" t="n">
        <f aca="false">'امين بنغالي'!C14</f>
        <v>46322</v>
      </c>
      <c r="C97" s="17" t="str">
        <f aca="false">'امين بنغالي'!D14</f>
        <v>افندي</v>
      </c>
      <c r="D97" s="17" t="s">
        <v>79</v>
      </c>
      <c r="E97" s="7" t="s">
        <v>76</v>
      </c>
      <c r="F97" s="18" t="n">
        <f aca="false">IF('امين بنغالي'!E14="","",'امين بنغالي'!E14)</f>
        <v>30</v>
      </c>
      <c r="G97" s="19" t="n">
        <f aca="false">IF('امين بنغالي'!F14="","",'امين بنغالي'!F14)</f>
        <v>88</v>
      </c>
      <c r="H97" s="9" t="n">
        <f aca="false">IF(F97="","",ROUND(F97*G97,2))</f>
        <v>2640</v>
      </c>
      <c r="I97" s="9" t="n">
        <f aca="false">IF(F97="","",ROUND(H97*IF(N('امين بنغالي'!G14)&gt;1,'امين بنغالي'!G14-1,0),2))</f>
        <v>0</v>
      </c>
      <c r="J97" s="9" t="n">
        <f aca="false">N('امين بنغالي'!H14)</f>
        <v>2640</v>
      </c>
      <c r="K97" s="9" t="n">
        <f aca="false">N('امين بنغالي'!I14)</f>
        <v>0</v>
      </c>
    </row>
    <row r="98" customFormat="false" ht="15" hidden="false" customHeight="false" outlineLevel="0" collapsed="false">
      <c r="A98" s="17" t="s">
        <v>35</v>
      </c>
      <c r="B98" s="11" t="n">
        <f aca="false">'امين بنغالي'!C15</f>
        <v>46323</v>
      </c>
      <c r="C98" s="17" t="str">
        <f aca="false">'امين بنغالي'!D15</f>
        <v>سداد دفعه</v>
      </c>
      <c r="D98" s="17"/>
      <c r="E98" s="7" t="s">
        <v>78</v>
      </c>
      <c r="F98" s="7" t="str">
        <f aca="false">IF('امين بنغالي'!E15="","",'امين بنغالي'!E15)</f>
        <v/>
      </c>
      <c r="G98" s="19" t="str">
        <f aca="false">IF('امين بنغالي'!F15="","",'امين بنغالي'!F15)</f>
        <v/>
      </c>
      <c r="H98" s="9" t="str">
        <f aca="false">IF(F98="","",ROUND(F98*G98,2))</f>
        <v/>
      </c>
      <c r="I98" s="9" t="str">
        <f aca="false">IF(F98="","",ROUND(H98*IF(N('امين بنغالي'!G15)&gt;1,'امين بنغالي'!G15-1,0),2))</f>
        <v/>
      </c>
      <c r="J98" s="9" t="n">
        <f aca="false">N('امين بنغالي'!H15)</f>
        <v>0</v>
      </c>
      <c r="K98" s="9" t="n">
        <f aca="false">N('امين بنغالي'!I15)</f>
        <v>1000</v>
      </c>
    </row>
    <row r="99" customFormat="false" ht="15" hidden="false" customHeight="false" outlineLevel="0" collapsed="false">
      <c r="A99" s="17" t="s">
        <v>35</v>
      </c>
      <c r="B99" s="11" t="n">
        <f aca="false">'امين بنغالي'!C16</f>
        <v>46324</v>
      </c>
      <c r="C99" s="17" t="str">
        <f aca="false">'امين بنغالي'!D16</f>
        <v>رمان وسط</v>
      </c>
      <c r="D99" s="17" t="s">
        <v>77</v>
      </c>
      <c r="E99" s="7" t="s">
        <v>76</v>
      </c>
      <c r="F99" s="18" t="n">
        <f aca="false">IF('امين بنغالي'!E16="","",'امين بنغالي'!E16)</f>
        <v>30</v>
      </c>
      <c r="G99" s="19" t="n">
        <f aca="false">IF('امين بنغالي'!F16="","",'امين بنغالي'!F16)</f>
        <v>20</v>
      </c>
      <c r="H99" s="9" t="n">
        <f aca="false">IF(F99="","",ROUND(F99*G99,2))</f>
        <v>600</v>
      </c>
      <c r="I99" s="9" t="n">
        <f aca="false">IF(F99="","",ROUND(H99*IF(N('امين بنغالي'!G16)&gt;1,'امين بنغالي'!G16-1,0),2))</f>
        <v>0</v>
      </c>
      <c r="J99" s="9" t="n">
        <f aca="false">N('امين بنغالي'!H16)</f>
        <v>600</v>
      </c>
      <c r="K99" s="9" t="n">
        <f aca="false">N('امين بنغالي'!I16)</f>
        <v>0</v>
      </c>
    </row>
    <row r="100" customFormat="false" ht="15" hidden="false" customHeight="false" outlineLevel="0" collapsed="false">
      <c r="A100" s="17" t="s">
        <v>35</v>
      </c>
      <c r="B100" s="11" t="n">
        <f aca="false">'امين بنغالي'!C17</f>
        <v>46325</v>
      </c>
      <c r="C100" s="17" t="str">
        <f aca="false">'امين بنغالي'!D17</f>
        <v>سداد دفعه</v>
      </c>
      <c r="D100" s="17"/>
      <c r="E100" s="7" t="s">
        <v>78</v>
      </c>
      <c r="F100" s="7" t="str">
        <f aca="false">IF('امين بنغالي'!E17="","",'امين بنغالي'!E17)</f>
        <v/>
      </c>
      <c r="G100" s="19" t="str">
        <f aca="false">IF('امين بنغالي'!F17="","",'امين بنغالي'!F17)</f>
        <v/>
      </c>
      <c r="H100" s="9" t="str">
        <f aca="false">IF(F100="","",ROUND(F100*G100,2))</f>
        <v/>
      </c>
      <c r="I100" s="9" t="str">
        <f aca="false">IF(F100="","",ROUND(H100*IF(N('امين بنغالي'!G17)&gt;1,'امين بنغالي'!G17-1,0),2))</f>
        <v/>
      </c>
      <c r="J100" s="9" t="n">
        <f aca="false">N('امين بنغالي'!H17)</f>
        <v>0</v>
      </c>
      <c r="K100" s="9" t="n">
        <f aca="false">N('امين بنغالي'!I17)</f>
        <v>2000</v>
      </c>
    </row>
    <row r="101" customFormat="false" ht="15" hidden="false" customHeight="false" outlineLevel="0" collapsed="false">
      <c r="A101" s="17" t="s">
        <v>35</v>
      </c>
      <c r="B101" s="11" t="n">
        <f aca="false">'امين بنغالي'!C18</f>
        <v>46325</v>
      </c>
      <c r="C101" s="17" t="str">
        <f aca="false">'امين بنغالي'!D18</f>
        <v>رمان وسط</v>
      </c>
      <c r="D101" s="17" t="s">
        <v>77</v>
      </c>
      <c r="E101" s="7" t="s">
        <v>76</v>
      </c>
      <c r="F101" s="18" t="n">
        <f aca="false">IF('امين بنغالي'!E18="","",'امين بنغالي'!E18)</f>
        <v>35</v>
      </c>
      <c r="G101" s="19" t="n">
        <f aca="false">IF('امين بنغالي'!F18="","",'امين بنغالي'!F18)</f>
        <v>20</v>
      </c>
      <c r="H101" s="9" t="n">
        <f aca="false">IF(F101="","",ROUND(F101*G101,2))</f>
        <v>700</v>
      </c>
      <c r="I101" s="9" t="n">
        <f aca="false">IF(F101="","",ROUND(H101*IF(N('امين بنغالي'!G18)&gt;1,'امين بنغالي'!G18-1,0),2))</f>
        <v>0</v>
      </c>
      <c r="J101" s="9" t="n">
        <f aca="false">N('امين بنغالي'!H18)</f>
        <v>700</v>
      </c>
      <c r="K101" s="9" t="n">
        <f aca="false">N('امين بنغالي'!I18)</f>
        <v>0</v>
      </c>
    </row>
    <row r="102" customFormat="false" ht="15" hidden="false" customHeight="false" outlineLevel="0" collapsed="false">
      <c r="A102" s="17" t="s">
        <v>36</v>
      </c>
      <c r="B102" s="11" t="n">
        <f aca="false">'محمود الساعي'!C7</f>
        <v>46316</v>
      </c>
      <c r="C102" s="17" t="str">
        <f aca="false">'محمود الساعي'!D7</f>
        <v>فراولة</v>
      </c>
      <c r="D102" s="17" t="s">
        <v>80</v>
      </c>
      <c r="E102" s="7" t="s">
        <v>76</v>
      </c>
      <c r="F102" s="18" t="n">
        <f aca="false">IF('محمود الساعي'!E7="","",'محمود الساعي'!E7)</f>
        <v>15</v>
      </c>
      <c r="G102" s="19" t="n">
        <f aca="false">IF('محمود الساعي'!F7="","",'محمود الساعي'!F7)</f>
        <v>125</v>
      </c>
      <c r="H102" s="9" t="n">
        <f aca="false">IF(F102="","",ROUND(F102*G102,2))</f>
        <v>1875</v>
      </c>
      <c r="I102" s="9" t="n">
        <f aca="false">IF(F102="","",ROUND(H102*IF(N('محمود الساعي'!G7)&gt;1,'محمود الساعي'!G7-1,0),2))</f>
        <v>0</v>
      </c>
      <c r="J102" s="9" t="n">
        <f aca="false">N('محمود الساعي'!H7)</f>
        <v>1875</v>
      </c>
      <c r="K102" s="9" t="n">
        <f aca="false">N('محمود الساعي'!I7)</f>
        <v>0</v>
      </c>
    </row>
    <row r="103" customFormat="false" ht="15" hidden="false" customHeight="false" outlineLevel="0" collapsed="false">
      <c r="A103" s="17" t="s">
        <v>36</v>
      </c>
      <c r="B103" s="11" t="n">
        <f aca="false">'محمود الساعي'!C8</f>
        <v>46317</v>
      </c>
      <c r="C103" s="17" t="str">
        <f aca="false">'محمود الساعي'!D8</f>
        <v>فراولة</v>
      </c>
      <c r="D103" s="17" t="s">
        <v>80</v>
      </c>
      <c r="E103" s="7" t="s">
        <v>76</v>
      </c>
      <c r="F103" s="18" t="n">
        <f aca="false">IF('محمود الساعي'!E8="","",'محمود الساعي'!E8)</f>
        <v>10</v>
      </c>
      <c r="G103" s="19" t="n">
        <f aca="false">IF('محمود الساعي'!F8="","",'محمود الساعي'!F8)</f>
        <v>128</v>
      </c>
      <c r="H103" s="9" t="n">
        <f aca="false">IF(F103="","",ROUND(F103*G103,2))</f>
        <v>1280</v>
      </c>
      <c r="I103" s="9" t="n">
        <f aca="false">IF(F103="","",ROUND(H103*IF(N('محمود الساعي'!G8)&gt;1,'محمود الساعي'!G8-1,0),2))</f>
        <v>0</v>
      </c>
      <c r="J103" s="9" t="n">
        <f aca="false">N('محمود الساعي'!H8)</f>
        <v>1280</v>
      </c>
      <c r="K103" s="9" t="n">
        <f aca="false">N('محمود الساعي'!I8)</f>
        <v>0</v>
      </c>
    </row>
    <row r="104" customFormat="false" ht="15" hidden="false" customHeight="false" outlineLevel="0" collapsed="false">
      <c r="A104" s="17" t="s">
        <v>36</v>
      </c>
      <c r="B104" s="11" t="n">
        <f aca="false">'محمود الساعي'!C9</f>
        <v>46319</v>
      </c>
      <c r="C104" s="17" t="str">
        <f aca="false">'محمود الساعي'!D9</f>
        <v>فراولة</v>
      </c>
      <c r="D104" s="17" t="s">
        <v>80</v>
      </c>
      <c r="E104" s="7" t="s">
        <v>76</v>
      </c>
      <c r="F104" s="18" t="n">
        <f aca="false">IF('محمود الساعي'!E9="","",'محمود الساعي'!E9)</f>
        <v>8</v>
      </c>
      <c r="G104" s="19" t="n">
        <f aca="false">IF('محمود الساعي'!F9="","",'محمود الساعي'!F9)</f>
        <v>140</v>
      </c>
      <c r="H104" s="9" t="n">
        <f aca="false">IF(F104="","",ROUND(F104*G104,2))</f>
        <v>1120</v>
      </c>
      <c r="I104" s="9" t="n">
        <f aca="false">IF(F104="","",ROUND(H104*IF(N('محمود الساعي'!G9)&gt;1,'محمود الساعي'!G9-1,0),2))</f>
        <v>0</v>
      </c>
      <c r="J104" s="9" t="n">
        <f aca="false">N('محمود الساعي'!H9)</f>
        <v>1120</v>
      </c>
      <c r="K104" s="9" t="n">
        <f aca="false">N('محمود الساعي'!I9)</f>
        <v>0</v>
      </c>
    </row>
    <row r="105" customFormat="false" ht="15" hidden="false" customHeight="false" outlineLevel="0" collapsed="false">
      <c r="A105" s="17" t="s">
        <v>36</v>
      </c>
      <c r="B105" s="11" t="n">
        <f aca="false">'محمود الساعي'!C10</f>
        <v>46323</v>
      </c>
      <c r="C105" s="17" t="str">
        <f aca="false">'محمود الساعي'!D10</f>
        <v>سداد</v>
      </c>
      <c r="D105" s="17"/>
      <c r="E105" s="7" t="s">
        <v>78</v>
      </c>
      <c r="F105" s="7" t="str">
        <f aca="false">IF('محمود الساعي'!E10="","",'محمود الساعي'!E10)</f>
        <v/>
      </c>
      <c r="G105" s="19" t="str">
        <f aca="false">IF('محمود الساعي'!F10="","",'محمود الساعي'!F10)</f>
        <v/>
      </c>
      <c r="H105" s="9" t="str">
        <f aca="false">IF(F105="","",ROUND(F105*G105,2))</f>
        <v/>
      </c>
      <c r="I105" s="9" t="str">
        <f aca="false">IF(F105="","",ROUND(H105*IF(N('محمود الساعي'!G10)&gt;1,'محمود الساعي'!G10-1,0),2))</f>
        <v/>
      </c>
      <c r="J105" s="9" t="n">
        <f aca="false">N('محمود الساعي'!H10)</f>
        <v>0</v>
      </c>
      <c r="K105" s="9" t="n">
        <f aca="false">N('محمود الساعي'!I10)</f>
        <v>4275</v>
      </c>
    </row>
    <row r="106" customFormat="false" ht="15" hidden="false" customHeight="false" outlineLevel="0" collapsed="false">
      <c r="A106" s="17" t="s">
        <v>37</v>
      </c>
      <c r="B106" s="11" t="n">
        <f aca="false">'سليمان اليمني'!C7</f>
        <v>46309</v>
      </c>
      <c r="C106" s="17" t="str">
        <f aca="false">'سليمان اليمني'!D7</f>
        <v>كمثري صحن</v>
      </c>
      <c r="D106" s="17" t="s">
        <v>100</v>
      </c>
      <c r="E106" s="7" t="s">
        <v>76</v>
      </c>
      <c r="F106" s="18" t="n">
        <f aca="false">IF('سليمان اليمني'!E7="","",'سليمان اليمني'!E7)</f>
        <v>16</v>
      </c>
      <c r="G106" s="19" t="n">
        <f aca="false">IF('سليمان اليمني'!F7="","",'سليمان اليمني'!F7)</f>
        <v>10</v>
      </c>
      <c r="H106" s="9" t="n">
        <f aca="false">IF(F106="","",ROUND(F106*G106,2))</f>
        <v>160</v>
      </c>
      <c r="I106" s="9" t="n">
        <f aca="false">IF(F106="","",ROUND(H106*IF(N('سليمان اليمني'!G7)&gt;1,'سليمان اليمني'!G7-1,0),2))</f>
        <v>0</v>
      </c>
      <c r="J106" s="9" t="n">
        <f aca="false">N('سليمان اليمني'!H7)</f>
        <v>160</v>
      </c>
      <c r="K106" s="9" t="n">
        <f aca="false">N('سليمان اليمني'!I7)</f>
        <v>0</v>
      </c>
    </row>
    <row r="107" customFormat="false" ht="15" hidden="false" customHeight="false" outlineLevel="0" collapsed="false">
      <c r="A107" s="17" t="s">
        <v>37</v>
      </c>
      <c r="B107" s="11" t="n">
        <f aca="false">'سليمان اليمني'!C8</f>
        <v>46311</v>
      </c>
      <c r="C107" s="17" t="str">
        <f aca="false">'سليمان اليمني'!D8</f>
        <v>سداد</v>
      </c>
      <c r="D107" s="17"/>
      <c r="E107" s="7" t="s">
        <v>78</v>
      </c>
      <c r="F107" s="7" t="str">
        <f aca="false">IF('سليمان اليمني'!E8="","",'سليمان اليمني'!E8)</f>
        <v/>
      </c>
      <c r="G107" s="19" t="str">
        <f aca="false">IF('سليمان اليمني'!F8="","",'سليمان اليمني'!F8)</f>
        <v/>
      </c>
      <c r="H107" s="9" t="str">
        <f aca="false">IF(F107="","",ROUND(F107*G107,2))</f>
        <v/>
      </c>
      <c r="I107" s="9" t="str">
        <f aca="false">IF(F107="","",ROUND(H107*IF(N('سليمان اليمني'!G8)&gt;1,'سليمان اليمني'!G8-1,0),2))</f>
        <v/>
      </c>
      <c r="J107" s="9" t="n">
        <f aca="false">N('سليمان اليمني'!H8)</f>
        <v>0</v>
      </c>
      <c r="K107" s="9" t="n">
        <f aca="false">N('سليمان اليمني'!I8)</f>
        <v>160</v>
      </c>
    </row>
    <row r="108" customFormat="false" ht="15" hidden="false" customHeight="false" outlineLevel="0" collapsed="false">
      <c r="A108" s="17" t="s">
        <v>38</v>
      </c>
      <c r="B108" s="11" t="n">
        <f aca="false">كامل!C7</f>
        <v>46313</v>
      </c>
      <c r="C108" s="17" t="str">
        <f aca="false">كامل!D7</f>
        <v>نكترين وزن</v>
      </c>
      <c r="D108" s="17" t="s">
        <v>101</v>
      </c>
      <c r="E108" s="7" t="s">
        <v>76</v>
      </c>
      <c r="F108" s="18" t="n">
        <f aca="false">IF(كامل!E7="","",كامل!E7)</f>
        <v>19</v>
      </c>
      <c r="G108" s="19" t="n">
        <f aca="false">IF(كامل!F7="","",كامل!F7)</f>
        <v>26</v>
      </c>
      <c r="H108" s="9" t="n">
        <f aca="false">IF(F108="","",ROUND(F108*G108,2))</f>
        <v>494</v>
      </c>
      <c r="I108" s="9" t="n">
        <f aca="false">IF(F108="","",ROUND(H108*IF(N(كامل!G7)&gt;1,كامل!G7-1,0),2))</f>
        <v>74.1</v>
      </c>
      <c r="J108" s="9" t="n">
        <f aca="false">N(كامل!H7)</f>
        <v>568.1</v>
      </c>
      <c r="K108" s="9" t="n">
        <f aca="false">N(كامل!I7)</f>
        <v>0</v>
      </c>
    </row>
    <row r="109" customFormat="false" ht="15" hidden="false" customHeight="false" outlineLevel="0" collapsed="false">
      <c r="A109" s="17" t="s">
        <v>39</v>
      </c>
      <c r="B109" s="11" t="n">
        <f aca="false">امجد!C7</f>
        <v>46322</v>
      </c>
      <c r="C109" s="17" t="str">
        <f aca="false">امجد!D7</f>
        <v>رمان</v>
      </c>
      <c r="D109" s="17" t="s">
        <v>102</v>
      </c>
      <c r="E109" s="7" t="s">
        <v>76</v>
      </c>
      <c r="F109" s="18" t="n">
        <f aca="false">IF(امجد!E7="","",امجد!E7)</f>
        <v>1</v>
      </c>
      <c r="G109" s="19" t="n">
        <f aca="false">IF(امجد!F7="","",امجد!F7)</f>
        <v>20</v>
      </c>
      <c r="H109" s="9" t="n">
        <f aca="false">IF(F109="","",ROUND(F109*G109,2))</f>
        <v>20</v>
      </c>
      <c r="I109" s="9" t="n">
        <f aca="false">IF(F109="","",ROUND(H109*IF(N(امجد!G7)&gt;1,امجد!G7-1,0),2))</f>
        <v>0</v>
      </c>
      <c r="J109" s="9" t="n">
        <f aca="false">N(امجد!H7)</f>
        <v>20</v>
      </c>
      <c r="K109" s="9" t="n">
        <f aca="false">N(امجد!I7)</f>
        <v>0</v>
      </c>
    </row>
    <row r="110" customFormat="false" ht="15" hidden="false" customHeight="false" outlineLevel="0" collapsed="false">
      <c r="A110" s="17" t="s">
        <v>39</v>
      </c>
      <c r="B110" s="11" t="n">
        <f aca="false">امجد!C8</f>
        <v>46322</v>
      </c>
      <c r="C110" s="17" t="str">
        <f aca="false">امجد!D8</f>
        <v>تفاح</v>
      </c>
      <c r="D110" s="17" t="s">
        <v>103</v>
      </c>
      <c r="E110" s="7" t="s">
        <v>76</v>
      </c>
      <c r="F110" s="18" t="n">
        <f aca="false">IF(امجد!E8="","",امجد!E8)</f>
        <v>1</v>
      </c>
      <c r="G110" s="19" t="n">
        <f aca="false">IF(امجد!F8="","",امجد!F8)</f>
        <v>55</v>
      </c>
      <c r="H110" s="9" t="n">
        <f aca="false">IF(F110="","",ROUND(F110*G110,2))</f>
        <v>55</v>
      </c>
      <c r="I110" s="9" t="n">
        <f aca="false">IF(F110="","",ROUND(H110*IF(N(امجد!G8)&gt;1,امجد!G8-1,0),2))</f>
        <v>0</v>
      </c>
      <c r="J110" s="9" t="n">
        <f aca="false">N(امجد!H8)</f>
        <v>55</v>
      </c>
      <c r="K110" s="9" t="n">
        <f aca="false">N(امجد!I8)</f>
        <v>0</v>
      </c>
    </row>
    <row r="111" customFormat="false" ht="15" hidden="false" customHeight="false" outlineLevel="0" collapsed="false">
      <c r="A111" s="17" t="s">
        <v>39</v>
      </c>
      <c r="B111" s="11" t="n">
        <f aca="false">امجد!C9</f>
        <v>46323</v>
      </c>
      <c r="C111" s="17" t="str">
        <f aca="false">امجد!D9</f>
        <v>سداد</v>
      </c>
      <c r="D111" s="17"/>
      <c r="E111" s="7" t="s">
        <v>78</v>
      </c>
      <c r="F111" s="7" t="str">
        <f aca="false">IF(امجد!E9="","",امجد!E9)</f>
        <v/>
      </c>
      <c r="G111" s="19" t="str">
        <f aca="false">IF(امجد!F9="","",امجد!F9)</f>
        <v/>
      </c>
      <c r="H111" s="9" t="str">
        <f aca="false">IF(F111="","",ROUND(F111*G111,2))</f>
        <v/>
      </c>
      <c r="I111" s="9" t="str">
        <f aca="false">IF(F111="","",ROUND(H111*IF(N(امجد!G9)&gt;1,امجد!G9-1,0),2))</f>
        <v/>
      </c>
      <c r="J111" s="9" t="n">
        <f aca="false">N(امجد!H9)</f>
        <v>0</v>
      </c>
      <c r="K111" s="9" t="n">
        <f aca="false">N(امجد!I9)</f>
        <v>75</v>
      </c>
    </row>
    <row r="112" customFormat="false" ht="15" hidden="false" customHeight="false" outlineLevel="0" collapsed="false">
      <c r="A112" s="17" t="s">
        <v>40</v>
      </c>
      <c r="B112" s="11" t="n">
        <f aca="false">'الكعبي كاش'!C7</f>
        <v>46298</v>
      </c>
      <c r="C112" s="17" t="str">
        <f aca="false">'الكعبي كاش'!D7</f>
        <v>نكترين علبة</v>
      </c>
      <c r="D112" s="17" t="s">
        <v>104</v>
      </c>
      <c r="E112" s="7" t="s">
        <v>76</v>
      </c>
      <c r="F112" s="18" t="n">
        <f aca="false">IF('الكعبي كاش'!E7="","",'الكعبي كاش'!E7)</f>
        <v>40</v>
      </c>
      <c r="G112" s="19" t="n">
        <f aca="false">IF('الكعبي كاش'!F7="","",'الكعبي كاش'!F7)</f>
        <v>30</v>
      </c>
      <c r="H112" s="9" t="n">
        <f aca="false">IF(F112="","",ROUND(F112*G112,2))</f>
        <v>1200</v>
      </c>
      <c r="I112" s="9" t="n">
        <f aca="false">IF(F112="","",ROUND(H112*IF(N('الكعبي كاش'!G7)&gt;1,'الكعبي كاش'!G7-1,0),2))</f>
        <v>0</v>
      </c>
      <c r="J112" s="9" t="n">
        <f aca="false">N('الكعبي كاش'!H7)</f>
        <v>1200</v>
      </c>
      <c r="K112" s="9" t="n">
        <f aca="false">N('الكعبي كاش'!I7)</f>
        <v>0</v>
      </c>
    </row>
    <row r="113" customFormat="false" ht="15" hidden="false" customHeight="false" outlineLevel="0" collapsed="false">
      <c r="A113" s="17" t="s">
        <v>40</v>
      </c>
      <c r="B113" s="11" t="n">
        <f aca="false">'الكعبي كاش'!C8</f>
        <v>46299</v>
      </c>
      <c r="C113" s="17" t="str">
        <f aca="false">'الكعبي كاش'!D8</f>
        <v>كعك علبة</v>
      </c>
      <c r="D113" s="17" t="s">
        <v>105</v>
      </c>
      <c r="E113" s="7" t="s">
        <v>76</v>
      </c>
      <c r="F113" s="18" t="n">
        <f aca="false">IF('الكعبي كاش'!E8="","",'الكعبي كاش'!E8)</f>
        <v>40</v>
      </c>
      <c r="G113" s="19" t="n">
        <f aca="false">IF('الكعبي كاش'!F8="","",'الكعبي كاش'!F8)</f>
        <v>40</v>
      </c>
      <c r="H113" s="9" t="n">
        <f aca="false">IF(F113="","",ROUND(F113*G113,2))</f>
        <v>1600</v>
      </c>
      <c r="I113" s="9" t="n">
        <f aca="false">IF(F113="","",ROUND(H113*IF(N('الكعبي كاش'!G8)&gt;1,'الكعبي كاش'!G8-1,0),2))</f>
        <v>0</v>
      </c>
      <c r="J113" s="9" t="n">
        <f aca="false">N('الكعبي كاش'!H8)</f>
        <v>1600</v>
      </c>
      <c r="K113" s="9" t="n">
        <f aca="false">N('الكعبي كاش'!I8)</f>
        <v>0</v>
      </c>
    </row>
    <row r="114" customFormat="false" ht="15" hidden="false" customHeight="false" outlineLevel="0" collapsed="false">
      <c r="A114" s="17" t="s">
        <v>40</v>
      </c>
      <c r="B114" s="11" t="n">
        <f aca="false">'الكعبي كاش'!C9</f>
        <v>46303</v>
      </c>
      <c r="C114" s="17" t="str">
        <f aca="false">'الكعبي كاش'!D9</f>
        <v>كعك علبة</v>
      </c>
      <c r="D114" s="17" t="s">
        <v>105</v>
      </c>
      <c r="E114" s="7" t="s">
        <v>76</v>
      </c>
      <c r="F114" s="18" t="n">
        <f aca="false">IF('الكعبي كاش'!E9="","",'الكعبي كاش'!E9)</f>
        <v>40</v>
      </c>
      <c r="G114" s="19" t="n">
        <f aca="false">IF('الكعبي كاش'!F9="","",'الكعبي كاش'!F9)</f>
        <v>39</v>
      </c>
      <c r="H114" s="9" t="n">
        <f aca="false">IF(F114="","",ROUND(F114*G114,2))</f>
        <v>1560</v>
      </c>
      <c r="I114" s="9" t="n">
        <f aca="false">IF(F114="","",ROUND(H114*IF(N('الكعبي كاش'!G9)&gt;1,'الكعبي كاش'!G9-1,0),2))</f>
        <v>0</v>
      </c>
      <c r="J114" s="9" t="n">
        <f aca="false">N('الكعبي كاش'!H9)</f>
        <v>1560</v>
      </c>
      <c r="K114" s="9" t="n">
        <f aca="false">N('الكعبي كاش'!I9)</f>
        <v>0</v>
      </c>
    </row>
    <row r="115" customFormat="false" ht="15" hidden="false" customHeight="false" outlineLevel="0" collapsed="false">
      <c r="A115" s="17" t="s">
        <v>40</v>
      </c>
      <c r="B115" s="11" t="n">
        <f aca="false">'الكعبي كاش'!C10</f>
        <v>46303</v>
      </c>
      <c r="C115" s="17" t="str">
        <f aca="false">'الكعبي كاش'!D10</f>
        <v>نكترين علبة</v>
      </c>
      <c r="D115" s="17" t="s">
        <v>104</v>
      </c>
      <c r="E115" s="7" t="s">
        <v>76</v>
      </c>
      <c r="F115" s="18" t="n">
        <f aca="false">IF('الكعبي كاش'!E10="","",'الكعبي كاش'!E10)</f>
        <v>20</v>
      </c>
      <c r="G115" s="19" t="n">
        <f aca="false">IF('الكعبي كاش'!F10="","",'الكعبي كاش'!F10)</f>
        <v>27</v>
      </c>
      <c r="H115" s="9" t="n">
        <f aca="false">IF(F115="","",ROUND(F115*G115,2))</f>
        <v>540</v>
      </c>
      <c r="I115" s="9" t="n">
        <f aca="false">IF(F115="","",ROUND(H115*IF(N('الكعبي كاش'!G10)&gt;1,'الكعبي كاش'!G10-1,0),2))</f>
        <v>0</v>
      </c>
      <c r="J115" s="9" t="n">
        <f aca="false">N('الكعبي كاش'!H10)</f>
        <v>540</v>
      </c>
      <c r="K115" s="9" t="n">
        <f aca="false">N('الكعبي كاش'!I10)</f>
        <v>0</v>
      </c>
    </row>
    <row r="116" customFormat="false" ht="15" hidden="false" customHeight="false" outlineLevel="0" collapsed="false">
      <c r="A116" s="17" t="s">
        <v>40</v>
      </c>
      <c r="B116" s="11" t="n">
        <f aca="false">'الكعبي كاش'!C11</f>
        <v>46303</v>
      </c>
      <c r="C116" s="17" t="str">
        <f aca="false">'الكعبي كاش'!D11</f>
        <v>خوخ</v>
      </c>
      <c r="D116" s="17" t="s">
        <v>106</v>
      </c>
      <c r="E116" s="7" t="s">
        <v>76</v>
      </c>
      <c r="F116" s="18" t="n">
        <f aca="false">IF('الكعبي كاش'!E11="","",'الكعبي كاش'!E11)</f>
        <v>30</v>
      </c>
      <c r="G116" s="19" t="n">
        <f aca="false">IF('الكعبي كاش'!F11="","",'الكعبي كاش'!F11)</f>
        <v>38</v>
      </c>
      <c r="H116" s="9" t="n">
        <f aca="false">IF(F116="","",ROUND(F116*G116,2))</f>
        <v>1140</v>
      </c>
      <c r="I116" s="9" t="n">
        <f aca="false">IF(F116="","",ROUND(H116*IF(N('الكعبي كاش'!G11)&gt;1,'الكعبي كاش'!G11-1,0),2))</f>
        <v>0</v>
      </c>
      <c r="J116" s="9" t="n">
        <f aca="false">N('الكعبي كاش'!H11)</f>
        <v>1140</v>
      </c>
      <c r="K116" s="9" t="n">
        <f aca="false">N('الكعبي كاش'!I11)</f>
        <v>0</v>
      </c>
    </row>
    <row r="117" customFormat="false" ht="15" hidden="false" customHeight="false" outlineLevel="0" collapsed="false">
      <c r="A117" s="17" t="s">
        <v>40</v>
      </c>
      <c r="B117" s="11" t="n">
        <f aca="false">'الكعبي كاش'!C12</f>
        <v>46305</v>
      </c>
      <c r="C117" s="17" t="str">
        <f aca="false">'الكعبي كاش'!D12</f>
        <v>كمثري عكاظ</v>
      </c>
      <c r="D117" s="17" t="s">
        <v>90</v>
      </c>
      <c r="E117" s="7" t="s">
        <v>76</v>
      </c>
      <c r="F117" s="18" t="n">
        <f aca="false">IF('الكعبي كاش'!E12="","",'الكعبي كاش'!E12)</f>
        <v>80</v>
      </c>
      <c r="G117" s="19" t="n">
        <f aca="false">IF('الكعبي كاش'!F12="","",'الكعبي كاش'!F12)</f>
        <v>9</v>
      </c>
      <c r="H117" s="9" t="n">
        <f aca="false">IF(F117="","",ROUND(F117*G117,2))</f>
        <v>720</v>
      </c>
      <c r="I117" s="9" t="n">
        <f aca="false">IF(F117="","",ROUND(H117*IF(N('الكعبي كاش'!G12)&gt;1,'الكعبي كاش'!G12-1,0),2))</f>
        <v>0</v>
      </c>
      <c r="J117" s="9" t="n">
        <f aca="false">N('الكعبي كاش'!H12)</f>
        <v>720</v>
      </c>
      <c r="K117" s="9" t="n">
        <f aca="false">N('الكعبي كاش'!I12)</f>
        <v>0</v>
      </c>
    </row>
    <row r="118" customFormat="false" ht="15" hidden="false" customHeight="false" outlineLevel="0" collapsed="false">
      <c r="A118" s="17" t="s">
        <v>40</v>
      </c>
      <c r="B118" s="11" t="n">
        <f aca="false">'الكعبي كاش'!C13</f>
        <v>46308</v>
      </c>
      <c r="C118" s="17" t="str">
        <f aca="false">'الكعبي كاش'!D13</f>
        <v>سداد نقدي</v>
      </c>
      <c r="D118" s="17"/>
      <c r="E118" s="7" t="s">
        <v>78</v>
      </c>
      <c r="F118" s="7" t="str">
        <f aca="false">IF('الكعبي كاش'!E13="","",'الكعبي كاش'!E13)</f>
        <v/>
      </c>
      <c r="G118" s="19" t="str">
        <f aca="false">IF('الكعبي كاش'!F13="","",'الكعبي كاش'!F13)</f>
        <v/>
      </c>
      <c r="H118" s="9" t="str">
        <f aca="false">IF(F118="","",ROUND(F118*G118,2))</f>
        <v/>
      </c>
      <c r="I118" s="9" t="str">
        <f aca="false">IF(F118="","",ROUND(H118*IF(N('الكعبي كاش'!G13)&gt;1,'الكعبي كاش'!G13-1,0),2))</f>
        <v/>
      </c>
      <c r="J118" s="9" t="n">
        <f aca="false">N('الكعبي كاش'!H13)</f>
        <v>0</v>
      </c>
      <c r="K118" s="9" t="n">
        <f aca="false">N('الكعبي كاش'!I13)</f>
        <v>6760</v>
      </c>
    </row>
    <row r="119" customFormat="false" ht="15" hidden="false" customHeight="false" outlineLevel="0" collapsed="false">
      <c r="A119" s="17" t="s">
        <v>40</v>
      </c>
      <c r="B119" s="11" t="n">
        <f aca="false">'الكعبي كاش'!C14</f>
        <v>46317</v>
      </c>
      <c r="C119" s="17" t="str">
        <f aca="false">'الكعبي كاش'!D14</f>
        <v>كعك علبة</v>
      </c>
      <c r="D119" s="17" t="s">
        <v>105</v>
      </c>
      <c r="E119" s="7" t="s">
        <v>76</v>
      </c>
      <c r="F119" s="18" t="n">
        <f aca="false">IF('الكعبي كاش'!E14="","",'الكعبي كاش'!E14)</f>
        <v>40</v>
      </c>
      <c r="G119" s="19" t="n">
        <f aca="false">IF('الكعبي كاش'!F14="","",'الكعبي كاش'!F14)</f>
        <v>40</v>
      </c>
      <c r="H119" s="9" t="n">
        <f aca="false">IF(F119="","",ROUND(F119*G119,2))</f>
        <v>1600</v>
      </c>
      <c r="I119" s="9" t="n">
        <f aca="false">IF(F119="","",ROUND(H119*IF(N('الكعبي كاش'!G14)&gt;1,'الكعبي كاش'!G14-1,0),2))</f>
        <v>0</v>
      </c>
      <c r="J119" s="9" t="n">
        <f aca="false">N('الكعبي كاش'!H14)</f>
        <v>1600</v>
      </c>
      <c r="K119" s="9" t="n">
        <f aca="false">N('الكعبي كاش'!I14)</f>
        <v>0</v>
      </c>
    </row>
    <row r="120" customFormat="false" ht="15" hidden="false" customHeight="false" outlineLevel="0" collapsed="false">
      <c r="A120" s="17" t="s">
        <v>40</v>
      </c>
      <c r="B120" s="11" t="n">
        <f aca="false">'الكعبي كاش'!C15</f>
        <v>46317</v>
      </c>
      <c r="C120" s="17" t="str">
        <f aca="false">'الكعبي كاش'!D15</f>
        <v>خوخ</v>
      </c>
      <c r="D120" s="17" t="s">
        <v>106</v>
      </c>
      <c r="E120" s="7" t="s">
        <v>76</v>
      </c>
      <c r="F120" s="18" t="n">
        <f aca="false">IF('الكعبي كاش'!E15="","",'الكعبي كاش'!E15)</f>
        <v>30</v>
      </c>
      <c r="G120" s="19" t="n">
        <f aca="false">IF('الكعبي كاش'!F15="","",'الكعبي كاش'!F15)</f>
        <v>39</v>
      </c>
      <c r="H120" s="9" t="n">
        <f aca="false">IF(F120="","",ROUND(F120*G120,2))</f>
        <v>1170</v>
      </c>
      <c r="I120" s="9" t="n">
        <f aca="false">IF(F120="","",ROUND(H120*IF(N('الكعبي كاش'!G15)&gt;1,'الكعبي كاش'!G15-1,0),2))</f>
        <v>0</v>
      </c>
      <c r="J120" s="9" t="n">
        <f aca="false">N('الكعبي كاش'!H15)</f>
        <v>1170</v>
      </c>
      <c r="K120" s="9" t="n">
        <f aca="false">N('الكعبي كاش'!I15)</f>
        <v>0</v>
      </c>
    </row>
    <row r="121" customFormat="false" ht="15" hidden="false" customHeight="false" outlineLevel="0" collapsed="false">
      <c r="A121" s="17" t="s">
        <v>40</v>
      </c>
      <c r="B121" s="11" t="n">
        <f aca="false">'الكعبي كاش'!C16</f>
        <v>46317</v>
      </c>
      <c r="C121" s="17" t="str">
        <f aca="false">'الكعبي كاش'!D16</f>
        <v>نكترين علبة</v>
      </c>
      <c r="D121" s="17" t="s">
        <v>104</v>
      </c>
      <c r="E121" s="7" t="s">
        <v>76</v>
      </c>
      <c r="F121" s="18" t="n">
        <f aca="false">IF('الكعبي كاش'!E16="","",'الكعبي كاش'!E16)</f>
        <v>30</v>
      </c>
      <c r="G121" s="19" t="n">
        <f aca="false">IF('الكعبي كاش'!F16="","",'الكعبي كاش'!F16)</f>
        <v>30</v>
      </c>
      <c r="H121" s="9" t="n">
        <f aca="false">IF(F121="","",ROUND(F121*G121,2))</f>
        <v>900</v>
      </c>
      <c r="I121" s="9" t="n">
        <f aca="false">IF(F121="","",ROUND(H121*IF(N('الكعبي كاش'!G16)&gt;1,'الكعبي كاش'!G16-1,0),2))</f>
        <v>0</v>
      </c>
      <c r="J121" s="9" t="n">
        <f aca="false">N('الكعبي كاش'!H16)</f>
        <v>900</v>
      </c>
      <c r="K121" s="9" t="n">
        <f aca="false">N('الكعبي كاش'!I16)</f>
        <v>0</v>
      </c>
    </row>
    <row r="122" customFormat="false" ht="15" hidden="false" customHeight="false" outlineLevel="0" collapsed="false">
      <c r="A122" s="17" t="s">
        <v>41</v>
      </c>
      <c r="B122" s="11" t="n">
        <f aca="false">'الكعبي حوالة'!C7</f>
        <v>46307</v>
      </c>
      <c r="C122" s="17" t="str">
        <f aca="false">'الكعبي حوالة'!D7</f>
        <v>كعك علب</v>
      </c>
      <c r="D122" s="17" t="s">
        <v>105</v>
      </c>
      <c r="E122" s="7" t="s">
        <v>76</v>
      </c>
      <c r="F122" s="18" t="n">
        <f aca="false">IF('الكعبي حوالة'!E7="","",'الكعبي حوالة'!E7)</f>
        <v>30</v>
      </c>
      <c r="G122" s="19" t="n">
        <f aca="false">IF('الكعبي حوالة'!F7="","",'الكعبي حوالة'!F7)</f>
        <v>35</v>
      </c>
      <c r="H122" s="9" t="n">
        <f aca="false">IF(F122="","",ROUND(F122*G122,2))</f>
        <v>1050</v>
      </c>
      <c r="I122" s="9" t="n">
        <f aca="false">IF(F122="","",ROUND(H122*IF(N('الكعبي حوالة'!G7)&gt;1,'الكعبي حوالة'!G7-1,0),2))</f>
        <v>157.5</v>
      </c>
      <c r="J122" s="9" t="n">
        <f aca="false">N('الكعبي حوالة'!H7)</f>
        <v>1207.5</v>
      </c>
      <c r="K122" s="9" t="n">
        <f aca="false">N('الكعبي حوالة'!I7)</f>
        <v>0</v>
      </c>
    </row>
    <row r="123" customFormat="false" ht="15" hidden="false" customHeight="false" outlineLevel="0" collapsed="false">
      <c r="A123" s="17" t="s">
        <v>41</v>
      </c>
      <c r="B123" s="11" t="n">
        <f aca="false">'الكعبي حوالة'!C8</f>
        <v>46307</v>
      </c>
      <c r="C123" s="17" t="str">
        <f aca="false">'الكعبي حوالة'!D8</f>
        <v>نكتارين علب</v>
      </c>
      <c r="D123" s="17" t="s">
        <v>104</v>
      </c>
      <c r="E123" s="7" t="s">
        <v>76</v>
      </c>
      <c r="F123" s="18" t="n">
        <f aca="false">IF('الكعبي حوالة'!E8="","",'الكعبي حوالة'!E8)</f>
        <v>20</v>
      </c>
      <c r="G123" s="19" t="n">
        <f aca="false">IF('الكعبي حوالة'!F8="","",'الكعبي حوالة'!F8)</f>
        <v>27</v>
      </c>
      <c r="H123" s="9" t="n">
        <f aca="false">IF(F123="","",ROUND(F123*G123,2))</f>
        <v>540</v>
      </c>
      <c r="I123" s="9" t="n">
        <f aca="false">IF(F123="","",ROUND(H123*IF(N('الكعبي حوالة'!G8)&gt;1,'الكعبي حوالة'!G8-1,0),2))</f>
        <v>81</v>
      </c>
      <c r="J123" s="9" t="n">
        <f aca="false">N('الكعبي حوالة'!H8)</f>
        <v>621</v>
      </c>
      <c r="K123" s="9" t="n">
        <f aca="false">N('الكعبي حوالة'!I8)</f>
        <v>0</v>
      </c>
    </row>
    <row r="124" customFormat="false" ht="15" hidden="false" customHeight="false" outlineLevel="0" collapsed="false">
      <c r="A124" s="17" t="s">
        <v>41</v>
      </c>
      <c r="B124" s="11" t="n">
        <f aca="false">'الكعبي حوالة'!C9</f>
        <v>46307</v>
      </c>
      <c r="C124" s="17" t="str">
        <f aca="false">'الكعبي حوالة'!D9</f>
        <v>خوخ علب</v>
      </c>
      <c r="D124" s="17" t="s">
        <v>107</v>
      </c>
      <c r="E124" s="7" t="s">
        <v>76</v>
      </c>
      <c r="F124" s="18" t="n">
        <f aca="false">IF('الكعبي حوالة'!E9="","",'الكعبي حوالة'!E9)</f>
        <v>20</v>
      </c>
      <c r="G124" s="19" t="n">
        <f aca="false">IF('الكعبي حوالة'!F9="","",'الكعبي حوالة'!F9)</f>
        <v>35</v>
      </c>
      <c r="H124" s="9" t="n">
        <f aca="false">IF(F124="","",ROUND(F124*G124,2))</f>
        <v>700</v>
      </c>
      <c r="I124" s="9" t="n">
        <f aca="false">IF(F124="","",ROUND(H124*IF(N('الكعبي حوالة'!G9)&gt;1,'الكعبي حوالة'!G9-1,0),2))</f>
        <v>105</v>
      </c>
      <c r="J124" s="9" t="n">
        <f aca="false">N('الكعبي حوالة'!H9)</f>
        <v>805</v>
      </c>
      <c r="K124" s="9" t="n">
        <f aca="false">N('الكعبي حوالة'!I9)</f>
        <v>0</v>
      </c>
    </row>
    <row r="125" customFormat="false" ht="15" hidden="false" customHeight="false" outlineLevel="0" collapsed="false">
      <c r="A125" s="17" t="s">
        <v>41</v>
      </c>
      <c r="B125" s="11" t="n">
        <f aca="false">'الكعبي حوالة'!C10</f>
        <v>46307</v>
      </c>
      <c r="C125" s="17" t="str">
        <f aca="false">'الكعبي حوالة'!D10</f>
        <v>كمثري عكاظ</v>
      </c>
      <c r="D125" s="17" t="s">
        <v>90</v>
      </c>
      <c r="E125" s="7" t="s">
        <v>76</v>
      </c>
      <c r="F125" s="18" t="n">
        <f aca="false">IF('الكعبي حوالة'!E10="","",'الكعبي حوالة'!E10)</f>
        <v>80</v>
      </c>
      <c r="G125" s="19" t="n">
        <f aca="false">IF('الكعبي حوالة'!F10="","",'الكعبي حوالة'!F10)</f>
        <v>7</v>
      </c>
      <c r="H125" s="9" t="n">
        <f aca="false">IF(F125="","",ROUND(F125*G125,2))</f>
        <v>560</v>
      </c>
      <c r="I125" s="9" t="n">
        <f aca="false">IF(F125="","",ROUND(H125*IF(N('الكعبي حوالة'!G10)&gt;1,'الكعبي حوالة'!G10-1,0),2))</f>
        <v>84</v>
      </c>
      <c r="J125" s="9" t="n">
        <f aca="false">N('الكعبي حوالة'!H10)</f>
        <v>644</v>
      </c>
      <c r="K125" s="9" t="n">
        <f aca="false">N('الكعبي حوالة'!I10)</f>
        <v>0</v>
      </c>
    </row>
    <row r="126" customFormat="false" ht="15" hidden="false" customHeight="false" outlineLevel="0" collapsed="false">
      <c r="A126" s="17" t="s">
        <v>41</v>
      </c>
      <c r="B126" s="11" t="n">
        <f aca="false">'الكعبي حوالة'!C11</f>
        <v>46309</v>
      </c>
      <c r="C126" s="17" t="str">
        <f aca="false">'الكعبي حوالة'!D11</f>
        <v>كعك علب</v>
      </c>
      <c r="D126" s="17" t="s">
        <v>105</v>
      </c>
      <c r="E126" s="7" t="s">
        <v>76</v>
      </c>
      <c r="F126" s="18" t="n">
        <f aca="false">IF('الكعبي حوالة'!E11="","",'الكعبي حوالة'!E11)</f>
        <v>40</v>
      </c>
      <c r="G126" s="19" t="n">
        <f aca="false">IF('الكعبي حوالة'!F11="","",'الكعبي حوالة'!F11)</f>
        <v>35</v>
      </c>
      <c r="H126" s="9" t="n">
        <f aca="false">IF(F126="","",ROUND(F126*G126,2))</f>
        <v>1400</v>
      </c>
      <c r="I126" s="9" t="n">
        <f aca="false">IF(F126="","",ROUND(H126*IF(N('الكعبي حوالة'!G11)&gt;1,'الكعبي حوالة'!G11-1,0),2))</f>
        <v>210</v>
      </c>
      <c r="J126" s="9" t="n">
        <f aca="false">N('الكعبي حوالة'!H11)</f>
        <v>1610</v>
      </c>
      <c r="K126" s="9" t="n">
        <f aca="false">N('الكعبي حوالة'!I11)</f>
        <v>0</v>
      </c>
    </row>
    <row r="127" customFormat="false" ht="15" hidden="false" customHeight="false" outlineLevel="0" collapsed="false">
      <c r="A127" s="17" t="s">
        <v>41</v>
      </c>
      <c r="B127" s="11" t="n">
        <f aca="false">'الكعبي حوالة'!C12</f>
        <v>46309</v>
      </c>
      <c r="C127" s="17" t="str">
        <f aca="false">'الكعبي حوالة'!D12</f>
        <v>خوخ علب</v>
      </c>
      <c r="D127" s="17" t="s">
        <v>107</v>
      </c>
      <c r="E127" s="7" t="s">
        <v>76</v>
      </c>
      <c r="F127" s="18" t="n">
        <f aca="false">IF('الكعبي حوالة'!E12="","",'الكعبي حوالة'!E12)</f>
        <v>30</v>
      </c>
      <c r="G127" s="19" t="n">
        <f aca="false">IF('الكعبي حوالة'!F12="","",'الكعبي حوالة'!F12)</f>
        <v>34</v>
      </c>
      <c r="H127" s="9" t="n">
        <f aca="false">IF(F127="","",ROUND(F127*G127,2))</f>
        <v>1020</v>
      </c>
      <c r="I127" s="9" t="n">
        <f aca="false">IF(F127="","",ROUND(H127*IF(N('الكعبي حوالة'!G12)&gt;1,'الكعبي حوالة'!G12-1,0),2))</f>
        <v>153</v>
      </c>
      <c r="J127" s="9" t="n">
        <f aca="false">N('الكعبي حوالة'!H12)</f>
        <v>1173</v>
      </c>
      <c r="K127" s="9" t="n">
        <f aca="false">N('الكعبي حوالة'!I12)</f>
        <v>0</v>
      </c>
    </row>
    <row r="128" customFormat="false" ht="15" hidden="false" customHeight="false" outlineLevel="0" collapsed="false">
      <c r="A128" s="17" t="s">
        <v>41</v>
      </c>
      <c r="B128" s="11" t="n">
        <f aca="false">'الكعبي حوالة'!C13</f>
        <v>46309</v>
      </c>
      <c r="C128" s="17" t="str">
        <f aca="false">'الكعبي حوالة'!D13</f>
        <v>نكتارين علب</v>
      </c>
      <c r="D128" s="17" t="s">
        <v>104</v>
      </c>
      <c r="E128" s="7" t="s">
        <v>76</v>
      </c>
      <c r="F128" s="18" t="n">
        <f aca="false">IF('الكعبي حوالة'!E13="","",'الكعبي حوالة'!E13)</f>
        <v>30</v>
      </c>
      <c r="G128" s="19" t="n">
        <f aca="false">IF('الكعبي حوالة'!F13="","",'الكعبي حوالة'!F13)</f>
        <v>27</v>
      </c>
      <c r="H128" s="9" t="n">
        <f aca="false">IF(F128="","",ROUND(F128*G128,2))</f>
        <v>810</v>
      </c>
      <c r="I128" s="9" t="n">
        <f aca="false">IF(F128="","",ROUND(H128*IF(N('الكعبي حوالة'!G13)&gt;1,'الكعبي حوالة'!G13-1,0),2))</f>
        <v>121.5</v>
      </c>
      <c r="J128" s="9" t="n">
        <f aca="false">N('الكعبي حوالة'!H13)</f>
        <v>931.5</v>
      </c>
      <c r="K128" s="9" t="n">
        <f aca="false">N('الكعبي حوالة'!I13)</f>
        <v>0</v>
      </c>
    </row>
    <row r="129" customFormat="false" ht="15" hidden="false" customHeight="false" outlineLevel="0" collapsed="false">
      <c r="A129" s="17" t="s">
        <v>41</v>
      </c>
      <c r="B129" s="11" t="n">
        <f aca="false">'الكعبي حوالة'!C14</f>
        <v>46309</v>
      </c>
      <c r="C129" s="17" t="str">
        <f aca="false">'الكعبي حوالة'!D14</f>
        <v>كمثري عكاظ</v>
      </c>
      <c r="D129" s="17" t="s">
        <v>90</v>
      </c>
      <c r="E129" s="7" t="s">
        <v>76</v>
      </c>
      <c r="F129" s="18" t="n">
        <f aca="false">IF('الكعبي حوالة'!E14="","",'الكعبي حوالة'!E14)</f>
        <v>80</v>
      </c>
      <c r="G129" s="19" t="n">
        <f aca="false">IF('الكعبي حوالة'!F14="","",'الكعبي حوالة'!F14)</f>
        <v>7</v>
      </c>
      <c r="H129" s="9" t="n">
        <f aca="false">IF(F129="","",ROUND(F129*G129,2))</f>
        <v>560</v>
      </c>
      <c r="I129" s="9" t="n">
        <f aca="false">IF(F129="","",ROUND(H129*IF(N('الكعبي حوالة'!G14)&gt;1,'الكعبي حوالة'!G14-1,0),2))</f>
        <v>84</v>
      </c>
      <c r="J129" s="9" t="n">
        <f aca="false">N('الكعبي حوالة'!H14)</f>
        <v>644</v>
      </c>
      <c r="K129" s="9" t="n">
        <f aca="false">N('الكعبي حوالة'!I14)</f>
        <v>0</v>
      </c>
    </row>
    <row r="130" customFormat="false" ht="15" hidden="false" customHeight="false" outlineLevel="0" collapsed="false">
      <c r="A130" s="17" t="s">
        <v>42</v>
      </c>
      <c r="B130" s="11" t="n">
        <f aca="false">'محمد عادل'!C7</f>
        <v>46307</v>
      </c>
      <c r="C130" s="17" t="str">
        <f aca="false">'محمد عادل'!D7</f>
        <v>كمثري عكاظ</v>
      </c>
      <c r="D130" s="17" t="s">
        <v>90</v>
      </c>
      <c r="E130" s="7" t="s">
        <v>76</v>
      </c>
      <c r="F130" s="18" t="n">
        <f aca="false">IF('محمد عادل'!E7="","",'محمد عادل'!E7)</f>
        <v>16</v>
      </c>
      <c r="G130" s="19" t="n">
        <f aca="false">IF('محمد عادل'!F7="","",'محمد عادل'!F7)</f>
        <v>7</v>
      </c>
      <c r="H130" s="9" t="n">
        <f aca="false">IF(F130="","",ROUND(F130*G130,2))</f>
        <v>112</v>
      </c>
      <c r="I130" s="9" t="n">
        <f aca="false">IF(F130="","",ROUND(H130*IF(N('محمد عادل'!G7)&gt;1,'محمد عادل'!G7-1,0),2))</f>
        <v>16.8</v>
      </c>
      <c r="J130" s="9" t="n">
        <f aca="false">N('محمد عادل'!H7)</f>
        <v>128.8</v>
      </c>
      <c r="K130" s="9" t="n">
        <f aca="false">N('محمد عادل'!I7)</f>
        <v>0</v>
      </c>
    </row>
    <row r="131" customFormat="false" ht="15" hidden="false" customHeight="false" outlineLevel="0" collapsed="false">
      <c r="A131" s="17" t="s">
        <v>42</v>
      </c>
      <c r="B131" s="11" t="n">
        <f aca="false">'محمد عادل'!C8</f>
        <v>46311</v>
      </c>
      <c r="C131" s="17" t="str">
        <f aca="false">'محمد عادل'!D8</f>
        <v>فراولة</v>
      </c>
      <c r="D131" s="17" t="s">
        <v>80</v>
      </c>
      <c r="E131" s="7" t="s">
        <v>76</v>
      </c>
      <c r="F131" s="18" t="n">
        <f aca="false">IF('محمد عادل'!E8="","",'محمد عادل'!E8)</f>
        <v>14</v>
      </c>
      <c r="G131" s="19" t="n">
        <f aca="false">IF('محمد عادل'!F8="","",'محمد عادل'!F8)</f>
        <v>108.7</v>
      </c>
      <c r="H131" s="9" t="n">
        <f aca="false">IF(F131="","",ROUND(F131*G131,2))</f>
        <v>1521.8</v>
      </c>
      <c r="I131" s="9" t="n">
        <f aca="false">IF(F131="","",ROUND(H131*IF(N('محمد عادل'!G8)&gt;1,'محمد عادل'!G8-1,0),2))</f>
        <v>228.27</v>
      </c>
      <c r="J131" s="9" t="n">
        <f aca="false">N('محمد عادل'!H8)</f>
        <v>1750.07</v>
      </c>
      <c r="K131" s="9" t="n">
        <f aca="false">N('محمد عادل'!I8)</f>
        <v>0</v>
      </c>
    </row>
    <row r="132" customFormat="false" ht="15" hidden="false" customHeight="false" outlineLevel="0" collapsed="false">
      <c r="A132" s="17" t="s">
        <v>42</v>
      </c>
      <c r="B132" s="11" t="n">
        <f aca="false">'محمد عادل'!C9</f>
        <v>46312</v>
      </c>
      <c r="C132" s="17" t="str">
        <f aca="false">'محمد عادل'!D9</f>
        <v>كمثري عكاظ</v>
      </c>
      <c r="D132" s="17" t="s">
        <v>90</v>
      </c>
      <c r="E132" s="7" t="s">
        <v>76</v>
      </c>
      <c r="F132" s="18" t="n">
        <f aca="false">IF('محمد عادل'!E9="","",'محمد عادل'!E9)</f>
        <v>32</v>
      </c>
      <c r="G132" s="19" t="n">
        <f aca="false">IF('محمد عادل'!F9="","",'محمد عادل'!F9)</f>
        <v>8</v>
      </c>
      <c r="H132" s="9" t="n">
        <f aca="false">IF(F132="","",ROUND(F132*G132,2))</f>
        <v>256</v>
      </c>
      <c r="I132" s="9" t="n">
        <f aca="false">IF(F132="","",ROUND(H132*IF(N('محمد عادل'!G9)&gt;1,'محمد عادل'!G9-1,0),2))</f>
        <v>38.4</v>
      </c>
      <c r="J132" s="9" t="n">
        <f aca="false">N('محمد عادل'!H9)</f>
        <v>294.4</v>
      </c>
      <c r="K132" s="9" t="n">
        <f aca="false">N('محمد عادل'!I9)</f>
        <v>0</v>
      </c>
    </row>
    <row r="133" customFormat="false" ht="15" hidden="false" customHeight="false" outlineLevel="0" collapsed="false">
      <c r="A133" s="17" t="s">
        <v>42</v>
      </c>
      <c r="B133" s="11" t="n">
        <f aca="false">'محمد عادل'!C10</f>
        <v>46313</v>
      </c>
      <c r="C133" s="17" t="str">
        <f aca="false">'محمد عادل'!D10</f>
        <v>فراولة</v>
      </c>
      <c r="D133" s="17" t="s">
        <v>80</v>
      </c>
      <c r="E133" s="7" t="s">
        <v>76</v>
      </c>
      <c r="F133" s="18" t="n">
        <f aca="false">IF('محمد عادل'!E10="","",'محمد عادل'!E10)</f>
        <v>15</v>
      </c>
      <c r="G133" s="19" t="n">
        <f aca="false">IF('محمد عادل'!F10="","",'محمد عادل'!F10)</f>
        <v>108.7</v>
      </c>
      <c r="H133" s="9" t="n">
        <f aca="false">IF(F133="","",ROUND(F133*G133,2))</f>
        <v>1630.5</v>
      </c>
      <c r="I133" s="9" t="n">
        <f aca="false">IF(F133="","",ROUND(H133*IF(N('محمد عادل'!G10)&gt;1,'محمد عادل'!G10-1,0),2))</f>
        <v>244.58</v>
      </c>
      <c r="J133" s="9" t="n">
        <f aca="false">N('محمد عادل'!H10)</f>
        <v>1875.08</v>
      </c>
      <c r="K133" s="9" t="n">
        <f aca="false">N('محمد عادل'!I10)</f>
        <v>0</v>
      </c>
    </row>
    <row r="134" customFormat="false" ht="15" hidden="false" customHeight="false" outlineLevel="0" collapsed="false">
      <c r="A134" s="17" t="s">
        <v>42</v>
      </c>
      <c r="B134" s="11" t="n">
        <f aca="false">'محمد عادل'!C11</f>
        <v>46314</v>
      </c>
      <c r="C134" s="17" t="str">
        <f aca="false">'محمد عادل'!D11</f>
        <v>كمثري عكاظ</v>
      </c>
      <c r="D134" s="17" t="s">
        <v>90</v>
      </c>
      <c r="E134" s="7" t="s">
        <v>76</v>
      </c>
      <c r="F134" s="18" t="n">
        <f aca="false">IF('محمد عادل'!E11="","",'محمد عادل'!E11)</f>
        <v>16</v>
      </c>
      <c r="G134" s="19" t="n">
        <f aca="false">IF('محمد عادل'!F11="","",'محمد عادل'!F11)</f>
        <v>8</v>
      </c>
      <c r="H134" s="9" t="n">
        <f aca="false">IF(F134="","",ROUND(F134*G134,2))</f>
        <v>128</v>
      </c>
      <c r="I134" s="9" t="n">
        <f aca="false">IF(F134="","",ROUND(H134*IF(N('محمد عادل'!G11)&gt;1,'محمد عادل'!G11-1,0),2))</f>
        <v>19.2</v>
      </c>
      <c r="J134" s="9" t="n">
        <f aca="false">N('محمد عادل'!H11)</f>
        <v>147.2</v>
      </c>
      <c r="K134" s="9" t="n">
        <f aca="false">N('محمد عادل'!I11)</f>
        <v>0</v>
      </c>
    </row>
    <row r="135" customFormat="false" ht="15" hidden="false" customHeight="false" outlineLevel="0" collapsed="false">
      <c r="A135" s="17" t="s">
        <v>42</v>
      </c>
      <c r="B135" s="11" t="n">
        <f aca="false">'محمد عادل'!C12</f>
        <v>46316</v>
      </c>
      <c r="C135" s="17" t="str">
        <f aca="false">'محمد عادل'!D12</f>
        <v>فراولة</v>
      </c>
      <c r="D135" s="17" t="s">
        <v>80</v>
      </c>
      <c r="E135" s="7" t="s">
        <v>76</v>
      </c>
      <c r="F135" s="18" t="n">
        <f aca="false">IF('محمد عادل'!E12="","",'محمد عادل'!E12)</f>
        <v>10</v>
      </c>
      <c r="G135" s="19" t="n">
        <f aca="false">IF('محمد عادل'!F12="","",'محمد عادل'!F12)</f>
        <v>128</v>
      </c>
      <c r="H135" s="9" t="n">
        <f aca="false">IF(F135="","",ROUND(F135*G135,2))</f>
        <v>1280</v>
      </c>
      <c r="I135" s="9" t="n">
        <f aca="false">IF(F135="","",ROUND(H135*IF(N('محمد عادل'!G12)&gt;1,'محمد عادل'!G12-1,0),2))</f>
        <v>0</v>
      </c>
      <c r="J135" s="9" t="n">
        <f aca="false">N('محمد عادل'!H12)</f>
        <v>1280</v>
      </c>
      <c r="K135" s="9" t="n">
        <f aca="false">N('محمد عادل'!I12)</f>
        <v>0</v>
      </c>
    </row>
    <row r="136" customFormat="false" ht="15" hidden="false" customHeight="false" outlineLevel="0" collapsed="false">
      <c r="A136" s="17" t="s">
        <v>42</v>
      </c>
      <c r="B136" s="11" t="n">
        <f aca="false">'محمد عادل'!C13</f>
        <v>46317</v>
      </c>
      <c r="C136" s="17" t="str">
        <f aca="false">'محمد عادل'!D13</f>
        <v>حوالة بنكية ل جبار البيشي</v>
      </c>
      <c r="D136" s="17"/>
      <c r="E136" s="7" t="s">
        <v>98</v>
      </c>
      <c r="F136" s="7" t="str">
        <f aca="false">IF('محمد عادل'!E13="","",'محمد عادل'!E13)</f>
        <v/>
      </c>
      <c r="G136" s="19" t="str">
        <f aca="false">IF('محمد عادل'!F13="","",'محمد عادل'!F13)</f>
        <v/>
      </c>
      <c r="H136" s="9" t="str">
        <f aca="false">IF(F136="","",ROUND(F136*G136,2))</f>
        <v/>
      </c>
      <c r="I136" s="9" t="str">
        <f aca="false">IF(F136="","",ROUND(H136*IF(N('محمد عادل'!G13)&gt;1,'محمد عادل'!G13-1,0),2))</f>
        <v/>
      </c>
      <c r="J136" s="9" t="n">
        <f aca="false">N('محمد عادل'!H13)</f>
        <v>0</v>
      </c>
      <c r="K136" s="9" t="n">
        <f aca="false">N('محمد عادل'!I13)</f>
        <v>3000</v>
      </c>
    </row>
    <row r="137" customFormat="false" ht="15" hidden="false" customHeight="false" outlineLevel="0" collapsed="false">
      <c r="A137" s="17" t="s">
        <v>42</v>
      </c>
      <c r="B137" s="11" t="n">
        <f aca="false">'محمد عادل'!C14</f>
        <v>46319</v>
      </c>
      <c r="C137" s="17" t="str">
        <f aca="false">'محمد عادل'!D14</f>
        <v>فراولة</v>
      </c>
      <c r="D137" s="17" t="s">
        <v>80</v>
      </c>
      <c r="E137" s="7" t="s">
        <v>76</v>
      </c>
      <c r="F137" s="18" t="n">
        <f aca="false">IF('محمد عادل'!E14="","",'محمد عادل'!E14)</f>
        <v>20</v>
      </c>
      <c r="G137" s="19" t="n">
        <f aca="false">IF('محمد عادل'!F14="","",'محمد عادل'!F14)</f>
        <v>138</v>
      </c>
      <c r="H137" s="9" t="n">
        <f aca="false">IF(F137="","",ROUND(F137*G137,2))</f>
        <v>2760</v>
      </c>
      <c r="I137" s="9" t="n">
        <f aca="false">IF(F137="","",ROUND(H137*IF(N('محمد عادل'!G14)&gt;1,'محمد عادل'!G14-1,0),2))</f>
        <v>0</v>
      </c>
      <c r="J137" s="9" t="n">
        <f aca="false">N('محمد عادل'!H14)</f>
        <v>2760</v>
      </c>
      <c r="K137" s="9" t="n">
        <f aca="false">N('محمد عادل'!I14)</f>
        <v>0</v>
      </c>
    </row>
    <row r="138" customFormat="false" ht="15" hidden="false" customHeight="false" outlineLevel="0" collapsed="false">
      <c r="A138" s="17" t="s">
        <v>42</v>
      </c>
      <c r="B138" s="11" t="n">
        <f aca="false">'محمد عادل'!C15</f>
        <v>46320</v>
      </c>
      <c r="C138" s="17" t="str">
        <f aca="false">'محمد عادل'!D15</f>
        <v>فراولة</v>
      </c>
      <c r="D138" s="17" t="s">
        <v>80</v>
      </c>
      <c r="E138" s="7" t="s">
        <v>76</v>
      </c>
      <c r="F138" s="18" t="n">
        <f aca="false">IF('محمد عادل'!E15="","",'محمد عادل'!E15)</f>
        <v>20</v>
      </c>
      <c r="G138" s="19" t="n">
        <f aca="false">IF('محمد عادل'!F15="","",'محمد عادل'!F15)</f>
        <v>130</v>
      </c>
      <c r="H138" s="9" t="n">
        <f aca="false">IF(F138="","",ROUND(F138*G138,2))</f>
        <v>2600</v>
      </c>
      <c r="I138" s="9" t="n">
        <f aca="false">IF(F138="","",ROUND(H138*IF(N('محمد عادل'!G15)&gt;1,'محمد عادل'!G15-1,0),2))</f>
        <v>0</v>
      </c>
      <c r="J138" s="9" t="n">
        <f aca="false">N('محمد عادل'!H15)</f>
        <v>2600</v>
      </c>
      <c r="K138" s="9" t="n">
        <f aca="false">N('محمد عادل'!I15)</f>
        <v>0</v>
      </c>
    </row>
    <row r="139" customFormat="false" ht="15" hidden="false" customHeight="false" outlineLevel="0" collapsed="false">
      <c r="A139" s="17" t="s">
        <v>42</v>
      </c>
      <c r="B139" s="11" t="n">
        <f aca="false">'محمد عادل'!C16</f>
        <v>46321</v>
      </c>
      <c r="C139" s="17" t="str">
        <f aca="false">'محمد عادل'!D16</f>
        <v>حوالة بنكية ل جبار البيشي</v>
      </c>
      <c r="D139" s="17"/>
      <c r="E139" s="7" t="s">
        <v>98</v>
      </c>
      <c r="F139" s="7" t="str">
        <f aca="false">IF('محمد عادل'!E16="","",'محمد عادل'!E16)</f>
        <v/>
      </c>
      <c r="G139" s="19" t="str">
        <f aca="false">IF('محمد عادل'!F16="","",'محمد عادل'!F16)</f>
        <v/>
      </c>
      <c r="H139" s="9" t="str">
        <f aca="false">IF(F139="","",ROUND(F139*G139,2))</f>
        <v/>
      </c>
      <c r="I139" s="9" t="str">
        <f aca="false">IF(F139="","",ROUND(H139*IF(N('محمد عادل'!G16)&gt;1,'محمد عادل'!G16-1,0),2))</f>
        <v/>
      </c>
      <c r="J139" s="9" t="n">
        <f aca="false">N('محمد عادل'!H16)</f>
        <v>0</v>
      </c>
      <c r="K139" s="9" t="n">
        <f aca="false">N('محمد عادل'!I16)</f>
        <v>7800</v>
      </c>
    </row>
    <row r="140" customFormat="false" ht="15" hidden="false" customHeight="false" outlineLevel="0" collapsed="false">
      <c r="A140" s="17" t="s">
        <v>42</v>
      </c>
      <c r="B140" s="11" t="n">
        <f aca="false">'محمد عادل'!C17</f>
        <v>46321</v>
      </c>
      <c r="C140" s="17" t="str">
        <f aca="false">'محمد عادل'!D17</f>
        <v>خصم</v>
      </c>
      <c r="D140" s="17"/>
      <c r="E140" s="7" t="s">
        <v>96</v>
      </c>
      <c r="F140" s="7" t="str">
        <f aca="false">IF('محمد عادل'!E17="","",'محمد عادل'!E17)</f>
        <v/>
      </c>
      <c r="G140" s="19" t="str">
        <f aca="false">IF('محمد عادل'!F17="","",'محمد عادل'!F17)</f>
        <v/>
      </c>
      <c r="H140" s="9" t="str">
        <f aca="false">IF(F140="","",ROUND(F140*G140,2))</f>
        <v/>
      </c>
      <c r="I140" s="9" t="str">
        <f aca="false">IF(F140="","",ROUND(H140*IF(N('محمد عادل'!G17)&gt;1,'محمد عادل'!G17-1,0),2))</f>
        <v/>
      </c>
      <c r="J140" s="9" t="n">
        <f aca="false">N('محمد عادل'!H17)</f>
        <v>0</v>
      </c>
      <c r="K140" s="9" t="n">
        <f aca="false">N('محمد عادل'!I17)</f>
        <v>35</v>
      </c>
    </row>
    <row r="141" customFormat="false" ht="15" hidden="false" customHeight="false" outlineLevel="0" collapsed="false">
      <c r="A141" s="17" t="s">
        <v>43</v>
      </c>
      <c r="B141" s="11" t="n">
        <f aca="false">'فيض الكرم'!C7</f>
        <v>46313</v>
      </c>
      <c r="C141" s="17" t="str">
        <f aca="false">'فيض الكرم'!D7</f>
        <v>فراولة</v>
      </c>
      <c r="D141" s="17" t="s">
        <v>80</v>
      </c>
      <c r="E141" s="7" t="s">
        <v>76</v>
      </c>
      <c r="F141" s="18" t="n">
        <f aca="false">IF('فيض الكرم'!E7="","",'فيض الكرم'!E7)</f>
        <v>20</v>
      </c>
      <c r="G141" s="19" t="n">
        <f aca="false">IF('فيض الكرم'!F7="","",'فيض الكرم'!F7)</f>
        <v>107</v>
      </c>
      <c r="H141" s="9" t="n">
        <f aca="false">IF(F141="","",ROUND(F141*G141,2))</f>
        <v>2140</v>
      </c>
      <c r="I141" s="9" t="n">
        <f aca="false">IF(F141="","",ROUND(H141*IF(N('فيض الكرم'!G7)&gt;1,'فيض الكرم'!G7-1,0),2))</f>
        <v>321</v>
      </c>
      <c r="J141" s="9" t="n">
        <f aca="false">N('فيض الكرم'!H7)</f>
        <v>2461</v>
      </c>
      <c r="K141" s="9" t="n">
        <f aca="false">N('فيض الكرم'!I7)</f>
        <v>0</v>
      </c>
    </row>
    <row r="142" customFormat="false" ht="15" hidden="false" customHeight="false" outlineLevel="0" collapsed="false">
      <c r="A142" s="17" t="s">
        <v>43</v>
      </c>
      <c r="B142" s="11" t="n">
        <f aca="false">'فيض الكرم'!C8</f>
        <v>46316</v>
      </c>
      <c r="C142" s="17" t="str">
        <f aca="false">'فيض الكرم'!D8</f>
        <v>سداد</v>
      </c>
      <c r="D142" s="17"/>
      <c r="E142" s="7" t="s">
        <v>78</v>
      </c>
      <c r="F142" s="7" t="str">
        <f aca="false">IF('فيض الكرم'!E8="","",'فيض الكرم'!E8)</f>
        <v/>
      </c>
      <c r="G142" s="19" t="str">
        <f aca="false">IF('فيض الكرم'!F8="","",'فيض الكرم'!F8)</f>
        <v/>
      </c>
      <c r="H142" s="9" t="str">
        <f aca="false">IF(F142="","",ROUND(F142*G142,2))</f>
        <v/>
      </c>
      <c r="I142" s="9" t="str">
        <f aca="false">IF(F142="","",ROUND(H142*IF(N('فيض الكرم'!G8)&gt;1,'فيض الكرم'!G8-1,0),2))</f>
        <v/>
      </c>
      <c r="J142" s="9" t="n">
        <f aca="false">N('فيض الكرم'!H8)</f>
        <v>0</v>
      </c>
      <c r="K142" s="9" t="n">
        <f aca="false">N('فيض الكرم'!I8)</f>
        <v>2460</v>
      </c>
    </row>
    <row r="143" customFormat="false" ht="15" hidden="false" customHeight="false" outlineLevel="0" collapsed="false">
      <c r="A143" s="17" t="s">
        <v>43</v>
      </c>
      <c r="B143" s="11" t="n">
        <f aca="false">'فيض الكرم'!C9</f>
        <v>46319</v>
      </c>
      <c r="C143" s="17" t="str">
        <f aca="false">'فيض الكرم'!D9</f>
        <v>فراولة</v>
      </c>
      <c r="D143" s="17" t="s">
        <v>80</v>
      </c>
      <c r="E143" s="7" t="s">
        <v>76</v>
      </c>
      <c r="F143" s="18" t="n">
        <f aca="false">IF('فيض الكرم'!E9="","",'فيض الكرم'!E9)</f>
        <v>20</v>
      </c>
      <c r="G143" s="19" t="n">
        <f aca="false">IF('فيض الكرم'!F9="","",'فيض الكرم'!F9)</f>
        <v>112</v>
      </c>
      <c r="H143" s="9" t="n">
        <f aca="false">IF(F143="","",ROUND(F143*G143,2))</f>
        <v>2240</v>
      </c>
      <c r="I143" s="9" t="n">
        <f aca="false">IF(F143="","",ROUND(H143*IF(N('فيض الكرم'!G9)&gt;1,'فيض الكرم'!G9-1,0),2))</f>
        <v>336</v>
      </c>
      <c r="J143" s="9" t="n">
        <f aca="false">N('فيض الكرم'!H9)</f>
        <v>2576</v>
      </c>
      <c r="K143" s="9" t="n">
        <f aca="false">N('فيض الكرم'!I9)</f>
        <v>0</v>
      </c>
    </row>
    <row r="144" customFormat="false" ht="15" hidden="false" customHeight="false" outlineLevel="0" collapsed="false">
      <c r="A144" s="17" t="s">
        <v>43</v>
      </c>
      <c r="B144" s="11" t="n">
        <f aca="false">'فيض الكرم'!C10</f>
        <v>46321</v>
      </c>
      <c r="C144" s="17" t="str">
        <f aca="false">'فيض الكرم'!D10</f>
        <v>سداد</v>
      </c>
      <c r="D144" s="17"/>
      <c r="E144" s="7" t="s">
        <v>78</v>
      </c>
      <c r="F144" s="7" t="str">
        <f aca="false">IF('فيض الكرم'!E10="","",'فيض الكرم'!E10)</f>
        <v/>
      </c>
      <c r="G144" s="19" t="str">
        <f aca="false">IF('فيض الكرم'!F10="","",'فيض الكرم'!F10)</f>
        <v/>
      </c>
      <c r="H144" s="9" t="str">
        <f aca="false">IF(F144="","",ROUND(F144*G144,2))</f>
        <v/>
      </c>
      <c r="I144" s="9" t="str">
        <f aca="false">IF(F144="","",ROUND(H144*IF(N('فيض الكرم'!G10)&gt;1,'فيض الكرم'!G10-1,0),2))</f>
        <v/>
      </c>
      <c r="J144" s="9" t="n">
        <f aca="false">N('فيض الكرم'!H10)</f>
        <v>0</v>
      </c>
      <c r="K144" s="9" t="n">
        <f aca="false">N('فيض الكرم'!I10)</f>
        <v>2575</v>
      </c>
    </row>
    <row r="145" customFormat="false" ht="15" hidden="false" customHeight="false" outlineLevel="0" collapsed="false">
      <c r="A145" s="17" t="s">
        <v>44</v>
      </c>
      <c r="B145" s="11" t="n">
        <f aca="false">'سامر اليمني'!C7</f>
        <v>46305</v>
      </c>
      <c r="C145" s="17" t="str">
        <f aca="false">'سامر اليمني'!D7</f>
        <v>رمان وسط</v>
      </c>
      <c r="D145" s="17" t="s">
        <v>77</v>
      </c>
      <c r="E145" s="7" t="s">
        <v>76</v>
      </c>
      <c r="F145" s="18" t="n">
        <f aca="false">IF('سامر اليمني'!E7="","",'سامر اليمني'!E7)</f>
        <v>10</v>
      </c>
      <c r="G145" s="19" t="n">
        <f aca="false">IF('سامر اليمني'!F7="","",'سامر اليمني'!F7)</f>
        <v>18.5</v>
      </c>
      <c r="H145" s="9" t="n">
        <f aca="false">IF(F145="","",ROUND(F145*G145,2))</f>
        <v>185</v>
      </c>
      <c r="I145" s="9" t="n">
        <f aca="false">IF(F145="","",ROUND(H145*IF(N('سامر اليمني'!G7)&gt;1,'سامر اليمني'!G7-1,0),2))</f>
        <v>0</v>
      </c>
      <c r="J145" s="9" t="n">
        <f aca="false">N('سامر اليمني'!H7)</f>
        <v>185</v>
      </c>
      <c r="K145" s="9" t="n">
        <f aca="false">N('سامر اليمني'!I7)</f>
        <v>0</v>
      </c>
    </row>
    <row r="146" customFormat="false" ht="15" hidden="false" customHeight="false" outlineLevel="0" collapsed="false">
      <c r="A146" s="17" t="s">
        <v>44</v>
      </c>
      <c r="B146" s="11" t="n">
        <f aca="false">'سامر اليمني'!C8</f>
        <v>46306</v>
      </c>
      <c r="C146" s="17" t="str">
        <f aca="false">'سامر اليمني'!D8</f>
        <v>سداد</v>
      </c>
      <c r="D146" s="17"/>
      <c r="E146" s="7" t="s">
        <v>78</v>
      </c>
      <c r="F146" s="7" t="str">
        <f aca="false">IF('سامر اليمني'!E8="","",'سامر اليمني'!E8)</f>
        <v/>
      </c>
      <c r="G146" s="19" t="str">
        <f aca="false">IF('سامر اليمني'!F8="","",'سامر اليمني'!F8)</f>
        <v/>
      </c>
      <c r="H146" s="9" t="str">
        <f aca="false">IF(F146="","",ROUND(F146*G146,2))</f>
        <v/>
      </c>
      <c r="I146" s="9" t="str">
        <f aca="false">IF(F146="","",ROUND(H146*IF(N('سامر اليمني'!G8)&gt;1,'سامر اليمني'!G8-1,0),2))</f>
        <v/>
      </c>
      <c r="J146" s="9" t="n">
        <f aca="false">N('سامر اليمني'!H8)</f>
        <v>0</v>
      </c>
      <c r="K146" s="9" t="n">
        <f aca="false">N('سامر اليمني'!I8)</f>
        <v>180</v>
      </c>
    </row>
    <row r="147" customFormat="false" ht="15" hidden="false" customHeight="false" outlineLevel="0" collapsed="false">
      <c r="A147" s="17" t="s">
        <v>44</v>
      </c>
      <c r="B147" s="11" t="n">
        <f aca="false">'سامر اليمني'!C9</f>
        <v>46308</v>
      </c>
      <c r="C147" s="17" t="str">
        <f aca="false">'سامر اليمني'!D9</f>
        <v>رمان وسط</v>
      </c>
      <c r="D147" s="17" t="s">
        <v>77</v>
      </c>
      <c r="E147" s="7" t="s">
        <v>76</v>
      </c>
      <c r="F147" s="18" t="n">
        <f aca="false">IF('سامر اليمني'!E9="","",'سامر اليمني'!E9)</f>
        <v>10</v>
      </c>
      <c r="G147" s="19" t="n">
        <f aca="false">IF('سامر اليمني'!F9="","",'سامر اليمني'!F9)</f>
        <v>18</v>
      </c>
      <c r="H147" s="9" t="n">
        <f aca="false">IF(F147="","",ROUND(F147*G147,2))</f>
        <v>180</v>
      </c>
      <c r="I147" s="9" t="n">
        <f aca="false">IF(F147="","",ROUND(H147*IF(N('سامر اليمني'!G9)&gt;1,'سامر اليمني'!G9-1,0),2))</f>
        <v>0</v>
      </c>
      <c r="J147" s="9" t="n">
        <f aca="false">N('سامر اليمني'!H9)</f>
        <v>180</v>
      </c>
      <c r="K147" s="9" t="n">
        <f aca="false">N('سامر اليمني'!I9)</f>
        <v>0</v>
      </c>
    </row>
    <row r="148" customFormat="false" ht="15" hidden="false" customHeight="false" outlineLevel="0" collapsed="false">
      <c r="A148" s="17" t="s">
        <v>44</v>
      </c>
      <c r="B148" s="11" t="n">
        <f aca="false">'سامر اليمني'!C10</f>
        <v>46309</v>
      </c>
      <c r="C148" s="17" t="str">
        <f aca="false">'سامر اليمني'!D10</f>
        <v>رمان وسط</v>
      </c>
      <c r="D148" s="17" t="s">
        <v>77</v>
      </c>
      <c r="E148" s="7" t="s">
        <v>76</v>
      </c>
      <c r="F148" s="18" t="n">
        <f aca="false">IF('سامر اليمني'!E10="","",'سامر اليمني'!E10)</f>
        <v>10</v>
      </c>
      <c r="G148" s="19" t="n">
        <f aca="false">IF('سامر اليمني'!F10="","",'سامر اليمني'!F10)</f>
        <v>18</v>
      </c>
      <c r="H148" s="9" t="n">
        <f aca="false">IF(F148="","",ROUND(F148*G148,2))</f>
        <v>180</v>
      </c>
      <c r="I148" s="9" t="n">
        <f aca="false">IF(F148="","",ROUND(H148*IF(N('سامر اليمني'!G10)&gt;1,'سامر اليمني'!G10-1,0),2))</f>
        <v>0</v>
      </c>
      <c r="J148" s="9" t="n">
        <f aca="false">N('سامر اليمني'!H10)</f>
        <v>180</v>
      </c>
      <c r="K148" s="9" t="n">
        <f aca="false">N('سامر اليمني'!I10)</f>
        <v>0</v>
      </c>
    </row>
    <row r="149" customFormat="false" ht="15" hidden="false" customHeight="false" outlineLevel="0" collapsed="false">
      <c r="A149" s="17" t="s">
        <v>44</v>
      </c>
      <c r="B149" s="11" t="n">
        <f aca="false">'سامر اليمني'!C11</f>
        <v>46310</v>
      </c>
      <c r="C149" s="17" t="str">
        <f aca="false">'سامر اليمني'!D11</f>
        <v>سداد دفعة</v>
      </c>
      <c r="D149" s="17"/>
      <c r="E149" s="7" t="s">
        <v>78</v>
      </c>
      <c r="F149" s="7" t="str">
        <f aca="false">IF('سامر اليمني'!E11="","",'سامر اليمني'!E11)</f>
        <v/>
      </c>
      <c r="G149" s="19" t="str">
        <f aca="false">IF('سامر اليمني'!F11="","",'سامر اليمني'!F11)</f>
        <v/>
      </c>
      <c r="H149" s="9" t="str">
        <f aca="false">IF(F149="","",ROUND(F149*G149,2))</f>
        <v/>
      </c>
      <c r="I149" s="9" t="str">
        <f aca="false">IF(F149="","",ROUND(H149*IF(N('سامر اليمني'!G11)&gt;1,'سامر اليمني'!G11-1,0),2))</f>
        <v/>
      </c>
      <c r="J149" s="9" t="n">
        <f aca="false">N('سامر اليمني'!H11)</f>
        <v>0</v>
      </c>
      <c r="K149" s="9" t="n">
        <f aca="false">N('سامر اليمني'!I11)</f>
        <v>180</v>
      </c>
    </row>
    <row r="150" customFormat="false" ht="15" hidden="false" customHeight="false" outlineLevel="0" collapsed="false">
      <c r="A150" s="17" t="s">
        <v>44</v>
      </c>
      <c r="B150" s="11" t="n">
        <f aca="false">'سامر اليمني'!C12</f>
        <v>46312</v>
      </c>
      <c r="C150" s="17" t="str">
        <f aca="false">'سامر اليمني'!D12</f>
        <v>سداد دفعة خصم180</v>
      </c>
      <c r="D150" s="17"/>
      <c r="E150" s="7" t="s">
        <v>96</v>
      </c>
      <c r="F150" s="7" t="str">
        <f aca="false">IF('سامر اليمني'!E12="","",'سامر اليمني'!E12)</f>
        <v/>
      </c>
      <c r="G150" s="19" t="str">
        <f aca="false">IF('سامر اليمني'!F12="","",'سامر اليمني'!F12)</f>
        <v/>
      </c>
      <c r="H150" s="9" t="str">
        <f aca="false">IF(F150="","",ROUND(F150*G150,2))</f>
        <v/>
      </c>
      <c r="I150" s="9" t="str">
        <f aca="false">IF(F150="","",ROUND(H150*IF(N('سامر اليمني'!G12)&gt;1,'سامر اليمني'!G12-1,0),2))</f>
        <v/>
      </c>
      <c r="J150" s="9" t="n">
        <f aca="false">N('سامر اليمني'!H12)</f>
        <v>0</v>
      </c>
      <c r="K150" s="9" t="n">
        <f aca="false">N('سامر اليمني'!I12)</f>
        <v>180</v>
      </c>
    </row>
    <row r="151" customFormat="false" ht="15" hidden="false" customHeight="false" outlineLevel="0" collapsed="false">
      <c r="A151" s="17" t="s">
        <v>44</v>
      </c>
      <c r="B151" s="11" t="n">
        <f aca="false">'سامر اليمني'!C13</f>
        <v>46312</v>
      </c>
      <c r="C151" s="17" t="str">
        <f aca="false">'سامر اليمني'!D13</f>
        <v>رمان وسط</v>
      </c>
      <c r="D151" s="17" t="s">
        <v>77</v>
      </c>
      <c r="E151" s="7" t="s">
        <v>76</v>
      </c>
      <c r="F151" s="18" t="n">
        <f aca="false">IF('سامر اليمني'!E13="","",'سامر اليمني'!E13)</f>
        <v>10</v>
      </c>
      <c r="G151" s="19" t="n">
        <f aca="false">IF('سامر اليمني'!F13="","",'سامر اليمني'!F13)</f>
        <v>17.5</v>
      </c>
      <c r="H151" s="9" t="n">
        <f aca="false">IF(F151="","",ROUND(F151*G151,2))</f>
        <v>175</v>
      </c>
      <c r="I151" s="9" t="n">
        <f aca="false">IF(F151="","",ROUND(H151*IF(N('سامر اليمني'!G13)&gt;1,'سامر اليمني'!G13-1,0),2))</f>
        <v>0</v>
      </c>
      <c r="J151" s="9" t="n">
        <f aca="false">N('سامر اليمني'!H13)</f>
        <v>175</v>
      </c>
      <c r="K151" s="9" t="n">
        <f aca="false">N('سامر اليمني'!I13)</f>
        <v>0</v>
      </c>
    </row>
    <row r="152" customFormat="false" ht="15" hidden="false" customHeight="false" outlineLevel="0" collapsed="false">
      <c r="A152" s="17" t="s">
        <v>44</v>
      </c>
      <c r="B152" s="11" t="n">
        <f aca="false">'سامر اليمني'!C14</f>
        <v>46313</v>
      </c>
      <c r="C152" s="17" t="str">
        <f aca="false">'سامر اليمني'!D14</f>
        <v>سداد</v>
      </c>
      <c r="D152" s="17"/>
      <c r="E152" s="7" t="s">
        <v>78</v>
      </c>
      <c r="F152" s="7" t="str">
        <f aca="false">IF('سامر اليمني'!E14="","",'سامر اليمني'!E14)</f>
        <v/>
      </c>
      <c r="G152" s="19" t="str">
        <f aca="false">IF('سامر اليمني'!F14="","",'سامر اليمني'!F14)</f>
        <v/>
      </c>
      <c r="H152" s="9" t="str">
        <f aca="false">IF(F152="","",ROUND(F152*G152,2))</f>
        <v/>
      </c>
      <c r="I152" s="9" t="str">
        <f aca="false">IF(F152="","",ROUND(H152*IF(N('سامر اليمني'!G14)&gt;1,'سامر اليمني'!G14-1,0),2))</f>
        <v/>
      </c>
      <c r="J152" s="9" t="n">
        <f aca="false">N('سامر اليمني'!H14)</f>
        <v>0</v>
      </c>
      <c r="K152" s="9" t="n">
        <f aca="false">N('سامر اليمني'!I14)</f>
        <v>175</v>
      </c>
    </row>
    <row r="153" customFormat="false" ht="15" hidden="false" customHeight="false" outlineLevel="0" collapsed="false">
      <c r="A153" s="17" t="s">
        <v>45</v>
      </c>
      <c r="B153" s="11" t="n">
        <f aca="false">'صلاح الصعيدي'!C7</f>
        <v>46308</v>
      </c>
      <c r="C153" s="17" t="str">
        <f aca="false">'صلاح الصعيدي'!D7</f>
        <v>افندي</v>
      </c>
      <c r="D153" s="17" t="s">
        <v>79</v>
      </c>
      <c r="E153" s="7" t="s">
        <v>76</v>
      </c>
      <c r="F153" s="18" t="n">
        <f aca="false">IF('صلاح الصعيدي'!E7="","",'صلاح الصعيدي'!E7)</f>
        <v>1</v>
      </c>
      <c r="G153" s="19" t="n">
        <f aca="false">IF('صلاح الصعيدي'!F7="","",'صلاح الصعيدي'!F7)</f>
        <v>55</v>
      </c>
      <c r="H153" s="9" t="n">
        <f aca="false">IF(F153="","",ROUND(F153*G153,2))</f>
        <v>55</v>
      </c>
      <c r="I153" s="9" t="n">
        <f aca="false">IF(F153="","",ROUND(H153*IF(N('صلاح الصعيدي'!G7)&gt;1,'صلاح الصعيدي'!G7-1,0),2))</f>
        <v>0</v>
      </c>
      <c r="J153" s="9" t="n">
        <f aca="false">N('صلاح الصعيدي'!H7)</f>
        <v>55</v>
      </c>
      <c r="K153" s="9" t="n">
        <f aca="false">N('صلاح الصعيدي'!I7)</f>
        <v>0</v>
      </c>
    </row>
    <row r="154" customFormat="false" ht="15" hidden="false" customHeight="false" outlineLevel="0" collapsed="false">
      <c r="A154" s="17" t="s">
        <v>45</v>
      </c>
      <c r="B154" s="11" t="n">
        <f aca="false">'صلاح الصعيدي'!C8</f>
        <v>46309</v>
      </c>
      <c r="C154" s="17" t="str">
        <f aca="false">'صلاح الصعيدي'!D8</f>
        <v>تحصيل افندي</v>
      </c>
      <c r="D154" s="17"/>
      <c r="E154" s="7" t="s">
        <v>78</v>
      </c>
      <c r="F154" s="7" t="str">
        <f aca="false">IF('صلاح الصعيدي'!E8="","",'صلاح الصعيدي'!E8)</f>
        <v/>
      </c>
      <c r="G154" s="19" t="str">
        <f aca="false">IF('صلاح الصعيدي'!F8="","",'صلاح الصعيدي'!F8)</f>
        <v/>
      </c>
      <c r="H154" s="9" t="str">
        <f aca="false">IF(F154="","",ROUND(F154*G154,2))</f>
        <v/>
      </c>
      <c r="I154" s="9" t="str">
        <f aca="false">IF(F154="","",ROUND(H154*IF(N('صلاح الصعيدي'!G8)&gt;1,'صلاح الصعيدي'!G8-1,0),2))</f>
        <v/>
      </c>
      <c r="J154" s="9" t="n">
        <f aca="false">N('صلاح الصعيدي'!H8)</f>
        <v>0</v>
      </c>
      <c r="K154" s="9" t="n">
        <f aca="false">N('صلاح الصعيدي'!I8)</f>
        <v>55</v>
      </c>
    </row>
    <row r="155" customFormat="false" ht="15" hidden="false" customHeight="false" outlineLevel="0" collapsed="false">
      <c r="A155" s="17" t="s">
        <v>45</v>
      </c>
      <c r="B155" s="11" t="n">
        <f aca="false">'صلاح الصعيدي'!C9</f>
        <v>46311</v>
      </c>
      <c r="C155" s="17" t="str">
        <f aca="false">'صلاح الصعيدي'!D9</f>
        <v>فراولة</v>
      </c>
      <c r="D155" s="17" t="s">
        <v>80</v>
      </c>
      <c r="E155" s="7" t="s">
        <v>76</v>
      </c>
      <c r="F155" s="18" t="n">
        <f aca="false">IF('صلاح الصعيدي'!E9="","",'صلاح الصعيدي'!E9)</f>
        <v>1</v>
      </c>
      <c r="G155" s="19" t="n">
        <f aca="false">IF('صلاح الصعيدي'!F9="","",'صلاح الصعيدي'!F9)</f>
        <v>125</v>
      </c>
      <c r="H155" s="9" t="n">
        <f aca="false">IF(F155="","",ROUND(F155*G155,2))</f>
        <v>125</v>
      </c>
      <c r="I155" s="9" t="n">
        <f aca="false">IF(F155="","",ROUND(H155*IF(N('صلاح الصعيدي'!G9)&gt;1,'صلاح الصعيدي'!G9-1,0),2))</f>
        <v>0</v>
      </c>
      <c r="J155" s="9" t="n">
        <f aca="false">N('صلاح الصعيدي'!H9)</f>
        <v>125</v>
      </c>
      <c r="K155" s="9" t="n">
        <f aca="false">N('صلاح الصعيدي'!I9)</f>
        <v>0</v>
      </c>
    </row>
    <row r="156" customFormat="false" ht="15" hidden="false" customHeight="false" outlineLevel="0" collapsed="false">
      <c r="A156" s="17" t="s">
        <v>45</v>
      </c>
      <c r="B156" s="11" t="n">
        <f aca="false">'صلاح الصعيدي'!C10</f>
        <v>46312</v>
      </c>
      <c r="C156" s="17" t="str">
        <f aca="false">'صلاح الصعيدي'!D10</f>
        <v>تحصيل دفعة</v>
      </c>
      <c r="D156" s="17"/>
      <c r="E156" s="7" t="s">
        <v>78</v>
      </c>
      <c r="F156" s="7" t="str">
        <f aca="false">IF('صلاح الصعيدي'!E10="","",'صلاح الصعيدي'!E10)</f>
        <v/>
      </c>
      <c r="G156" s="19" t="str">
        <f aca="false">IF('صلاح الصعيدي'!F10="","",'صلاح الصعيدي'!F10)</f>
        <v/>
      </c>
      <c r="H156" s="9" t="str">
        <f aca="false">IF(F156="","",ROUND(F156*G156,2))</f>
        <v/>
      </c>
      <c r="I156" s="9" t="str">
        <f aca="false">IF(F156="","",ROUND(H156*IF(N('صلاح الصعيدي'!G10)&gt;1,'صلاح الصعيدي'!G10-1,0),2))</f>
        <v/>
      </c>
      <c r="J156" s="9" t="n">
        <f aca="false">N('صلاح الصعيدي'!H10)</f>
        <v>0</v>
      </c>
      <c r="K156" s="9" t="n">
        <f aca="false">N('صلاح الصعيدي'!I10)</f>
        <v>125</v>
      </c>
    </row>
    <row r="157" customFormat="false" ht="15" hidden="false" customHeight="false" outlineLevel="0" collapsed="false">
      <c r="A157" s="17" t="s">
        <v>45</v>
      </c>
      <c r="B157" s="11" t="n">
        <f aca="false">'صلاح الصعيدي'!C11</f>
        <v>46322</v>
      </c>
      <c r="C157" s="17" t="str">
        <f aca="false">'صلاح الصعيدي'!D11</f>
        <v>تفاح سلة</v>
      </c>
      <c r="D157" s="17" t="s">
        <v>75</v>
      </c>
      <c r="E157" s="7" t="s">
        <v>76</v>
      </c>
      <c r="F157" s="18" t="n">
        <f aca="false">IF('صلاح الصعيدي'!E11="","",'صلاح الصعيدي'!E11)</f>
        <v>1</v>
      </c>
      <c r="G157" s="19" t="n">
        <f aca="false">IF('صلاح الصعيدي'!F11="","",'صلاح الصعيدي'!F11)</f>
        <v>60</v>
      </c>
      <c r="H157" s="9" t="n">
        <f aca="false">IF(F157="","",ROUND(F157*G157,2))</f>
        <v>60</v>
      </c>
      <c r="I157" s="9" t="n">
        <f aca="false">IF(F157="","",ROUND(H157*IF(N('صلاح الصعيدي'!G11)&gt;1,'صلاح الصعيدي'!G11-1,0),2))</f>
        <v>0</v>
      </c>
      <c r="J157" s="9" t="n">
        <f aca="false">N('صلاح الصعيدي'!H11)</f>
        <v>60</v>
      </c>
      <c r="K157" s="9" t="n">
        <f aca="false">N('صلاح الصعيدي'!I11)</f>
        <v>0</v>
      </c>
    </row>
    <row r="158" customFormat="false" ht="15" hidden="false" customHeight="false" outlineLevel="0" collapsed="false">
      <c r="A158" s="17" t="s">
        <v>45</v>
      </c>
      <c r="B158" s="11" t="n">
        <f aca="false">'صلاح الصعيدي'!C12</f>
        <v>46324</v>
      </c>
      <c r="C158" s="17" t="str">
        <f aca="false">'صلاح الصعيدي'!D12</f>
        <v>تحصيل</v>
      </c>
      <c r="D158" s="17"/>
      <c r="E158" s="7" t="s">
        <v>78</v>
      </c>
      <c r="F158" s="7" t="str">
        <f aca="false">IF('صلاح الصعيدي'!E12="","",'صلاح الصعيدي'!E12)</f>
        <v/>
      </c>
      <c r="G158" s="19" t="str">
        <f aca="false">IF('صلاح الصعيدي'!F12="","",'صلاح الصعيدي'!F12)</f>
        <v/>
      </c>
      <c r="H158" s="9" t="str">
        <f aca="false">IF(F158="","",ROUND(F158*G158,2))</f>
        <v/>
      </c>
      <c r="I158" s="9" t="str">
        <f aca="false">IF(F158="","",ROUND(H158*IF(N('صلاح الصعيدي'!G12)&gt;1,'صلاح الصعيدي'!G12-1,0),2))</f>
        <v/>
      </c>
      <c r="J158" s="9" t="n">
        <f aca="false">N('صلاح الصعيدي'!H12)</f>
        <v>0</v>
      </c>
      <c r="K158" s="9" t="n">
        <f aca="false">N('صلاح الصعيدي'!I12)</f>
        <v>60</v>
      </c>
    </row>
    <row r="159" customFormat="false" ht="15" hidden="false" customHeight="false" outlineLevel="0" collapsed="false">
      <c r="A159" s="17" t="s">
        <v>45</v>
      </c>
      <c r="B159" s="11" t="n">
        <f aca="false">'صلاح الصعيدي'!C13</f>
        <v>46324</v>
      </c>
      <c r="C159" s="17" t="str">
        <f aca="false">'صلاح الصعيدي'!D13</f>
        <v>كيوي</v>
      </c>
      <c r="D159" s="17" t="s">
        <v>84</v>
      </c>
      <c r="E159" s="7" t="s">
        <v>76</v>
      </c>
      <c r="F159" s="18" t="n">
        <f aca="false">IF('صلاح الصعيدي'!E13="","",'صلاح الصعيدي'!E13)</f>
        <v>1</v>
      </c>
      <c r="G159" s="19" t="n">
        <f aca="false">IF('صلاح الصعيدي'!F13="","",'صلاح الصعيدي'!F13)</f>
        <v>45</v>
      </c>
      <c r="H159" s="9" t="n">
        <f aca="false">IF(F159="","",ROUND(F159*G159,2))</f>
        <v>45</v>
      </c>
      <c r="I159" s="9" t="n">
        <f aca="false">IF(F159="","",ROUND(H159*IF(N('صلاح الصعيدي'!G13)&gt;1,'صلاح الصعيدي'!G13-1,0),2))</f>
        <v>0</v>
      </c>
      <c r="J159" s="9" t="n">
        <f aca="false">N('صلاح الصعيدي'!H13)</f>
        <v>45</v>
      </c>
      <c r="K159" s="9" t="n">
        <f aca="false">N('صلاح الصعيدي'!I13)</f>
        <v>0</v>
      </c>
    </row>
    <row r="160" customFormat="false" ht="15" hidden="false" customHeight="false" outlineLevel="0" collapsed="false">
      <c r="A160" s="17" t="s">
        <v>45</v>
      </c>
      <c r="B160" s="11" t="n">
        <f aca="false">'صلاح الصعيدي'!C14</f>
        <v>46325</v>
      </c>
      <c r="C160" s="17" t="str">
        <f aca="false">'صلاح الصعيدي'!D14</f>
        <v>سداد</v>
      </c>
      <c r="D160" s="17"/>
      <c r="E160" s="7" t="s">
        <v>78</v>
      </c>
      <c r="F160" s="7" t="str">
        <f aca="false">IF('صلاح الصعيدي'!E14="","",'صلاح الصعيدي'!E14)</f>
        <v/>
      </c>
      <c r="G160" s="19" t="str">
        <f aca="false">IF('صلاح الصعيدي'!F14="","",'صلاح الصعيدي'!F14)</f>
        <v/>
      </c>
      <c r="H160" s="9" t="str">
        <f aca="false">IF(F160="","",ROUND(F160*G160,2))</f>
        <v/>
      </c>
      <c r="I160" s="9" t="str">
        <f aca="false">IF(F160="","",ROUND(H160*IF(N('صلاح الصعيدي'!G14)&gt;1,'صلاح الصعيدي'!G14-1,0),2))</f>
        <v/>
      </c>
      <c r="J160" s="9" t="n">
        <f aca="false">N('صلاح الصعيدي'!H14)</f>
        <v>0</v>
      </c>
      <c r="K160" s="9" t="n">
        <f aca="false">N('صلاح الصعيدي'!I14)</f>
        <v>45</v>
      </c>
    </row>
    <row r="161" customFormat="false" ht="15" hidden="false" customHeight="false" outlineLevel="0" collapsed="false">
      <c r="A161" s="17" t="s">
        <v>46</v>
      </c>
      <c r="B161" s="11" t="n">
        <f aca="false">'نور بنغالي'!C7</f>
        <v>46299</v>
      </c>
      <c r="C161" s="17" t="str">
        <f aca="false">'نور بنغالي'!D7</f>
        <v>رمان مصري</v>
      </c>
      <c r="D161" s="17" t="s">
        <v>87</v>
      </c>
      <c r="E161" s="7" t="s">
        <v>76</v>
      </c>
      <c r="F161" s="18" t="n">
        <f aca="false">IF('نور بنغالي'!E7="","",'نور بنغالي'!E7)</f>
        <v>20</v>
      </c>
      <c r="G161" s="19" t="n">
        <f aca="false">IF('نور بنغالي'!F7="","",'نور بنغالي'!F7)</f>
        <v>12</v>
      </c>
      <c r="H161" s="9" t="n">
        <f aca="false">IF(F161="","",ROUND(F161*G161,2))</f>
        <v>240</v>
      </c>
      <c r="I161" s="9" t="n">
        <f aca="false">IF(F161="","",ROUND(H161*IF(N('نور بنغالي'!G7)&gt;1,'نور بنغالي'!G7-1,0),2))</f>
        <v>0</v>
      </c>
      <c r="J161" s="9" t="n">
        <f aca="false">N('نور بنغالي'!H7)</f>
        <v>240</v>
      </c>
      <c r="K161" s="9" t="n">
        <f aca="false">N('نور بنغالي'!I7)</f>
        <v>0</v>
      </c>
    </row>
    <row r="162" customFormat="false" ht="15" hidden="false" customHeight="false" outlineLevel="0" collapsed="false">
      <c r="A162" s="17" t="s">
        <v>46</v>
      </c>
      <c r="B162" s="11" t="n">
        <f aca="false">'نور بنغالي'!C8</f>
        <v>46302</v>
      </c>
      <c r="C162" s="17" t="str">
        <f aca="false">'نور بنغالي'!D8</f>
        <v>تحصيل دفعة</v>
      </c>
      <c r="D162" s="17"/>
      <c r="E162" s="7" t="s">
        <v>78</v>
      </c>
      <c r="F162" s="7" t="str">
        <f aca="false">IF('نور بنغالي'!E8="","",'نور بنغالي'!E8)</f>
        <v/>
      </c>
      <c r="G162" s="19" t="str">
        <f aca="false">IF('نور بنغالي'!F8="","",'نور بنغالي'!F8)</f>
        <v/>
      </c>
      <c r="H162" s="9" t="str">
        <f aca="false">IF(F162="","",ROUND(F162*G162,2))</f>
        <v/>
      </c>
      <c r="I162" s="9" t="str">
        <f aca="false">IF(F162="","",ROUND(H162*IF(N('نور بنغالي'!G8)&gt;1,'نور بنغالي'!G8-1,0),2))</f>
        <v/>
      </c>
      <c r="J162" s="9" t="n">
        <f aca="false">N('نور بنغالي'!H8)</f>
        <v>0</v>
      </c>
      <c r="K162" s="9" t="n">
        <f aca="false">N('نور بنغالي'!I8)</f>
        <v>240</v>
      </c>
    </row>
    <row r="163" customFormat="false" ht="15" hidden="false" customHeight="false" outlineLevel="0" collapsed="false">
      <c r="A163" s="17" t="s">
        <v>46</v>
      </c>
      <c r="B163" s="11" t="n">
        <f aca="false">'نور بنغالي'!C9</f>
        <v>46303</v>
      </c>
      <c r="C163" s="17" t="str">
        <f aca="false">'نور بنغالي'!D9</f>
        <v>رمان مصري</v>
      </c>
      <c r="D163" s="17" t="s">
        <v>87</v>
      </c>
      <c r="E163" s="7" t="s">
        <v>76</v>
      </c>
      <c r="F163" s="18" t="n">
        <f aca="false">IF('نور بنغالي'!E9="","",'نور بنغالي'!E9)</f>
        <v>30</v>
      </c>
      <c r="G163" s="19" t="n">
        <f aca="false">IF('نور بنغالي'!F9="","",'نور بنغالي'!F9)</f>
        <v>12</v>
      </c>
      <c r="H163" s="9" t="n">
        <f aca="false">IF(F163="","",ROUND(F163*G163,2))</f>
        <v>360</v>
      </c>
      <c r="I163" s="9" t="n">
        <f aca="false">IF(F163="","",ROUND(H163*IF(N('نور بنغالي'!G9)&gt;1,'نور بنغالي'!G9-1,0),2))</f>
        <v>0</v>
      </c>
      <c r="J163" s="9" t="n">
        <f aca="false">N('نور بنغالي'!H9)</f>
        <v>360</v>
      </c>
      <c r="K163" s="9" t="n">
        <f aca="false">N('نور بنغالي'!I9)</f>
        <v>0</v>
      </c>
    </row>
    <row r="164" customFormat="false" ht="15" hidden="false" customHeight="false" outlineLevel="0" collapsed="false">
      <c r="A164" s="17" t="s">
        <v>46</v>
      </c>
      <c r="B164" s="11" t="n">
        <f aca="false">'نور بنغالي'!C10</f>
        <v>46305</v>
      </c>
      <c r="C164" s="17" t="str">
        <f aca="false">'نور بنغالي'!D10</f>
        <v>سداد دفعه</v>
      </c>
      <c r="D164" s="17"/>
      <c r="E164" s="7" t="s">
        <v>78</v>
      </c>
      <c r="F164" s="7" t="str">
        <f aca="false">IF('نور بنغالي'!E10="","",'نور بنغالي'!E10)</f>
        <v/>
      </c>
      <c r="G164" s="19" t="str">
        <f aca="false">IF('نور بنغالي'!F10="","",'نور بنغالي'!F10)</f>
        <v/>
      </c>
      <c r="H164" s="9" t="str">
        <f aca="false">IF(F164="","",ROUND(F164*G164,2))</f>
        <v/>
      </c>
      <c r="I164" s="9" t="str">
        <f aca="false">IF(F164="","",ROUND(H164*IF(N('نور بنغالي'!G10)&gt;1,'نور بنغالي'!G10-1,0),2))</f>
        <v/>
      </c>
      <c r="J164" s="9" t="n">
        <f aca="false">N('نور بنغالي'!H10)</f>
        <v>0</v>
      </c>
      <c r="K164" s="9" t="n">
        <f aca="false">N('نور بنغالي'!I10)</f>
        <v>360</v>
      </c>
    </row>
    <row r="165" customFormat="false" ht="15" hidden="false" customHeight="false" outlineLevel="0" collapsed="false">
      <c r="A165" s="17" t="s">
        <v>46</v>
      </c>
      <c r="B165" s="11" t="n">
        <f aca="false">'نور بنغالي'!C11</f>
        <v>46307</v>
      </c>
      <c r="C165" s="17" t="str">
        <f aca="false">'نور بنغالي'!D11</f>
        <v>رمان وسط</v>
      </c>
      <c r="D165" s="17" t="s">
        <v>77</v>
      </c>
      <c r="E165" s="7" t="s">
        <v>76</v>
      </c>
      <c r="F165" s="18" t="n">
        <f aca="false">IF('نور بنغالي'!E11="","",'نور بنغالي'!E11)</f>
        <v>30</v>
      </c>
      <c r="G165" s="19" t="n">
        <f aca="false">IF('نور بنغالي'!F11="","",'نور بنغالي'!F11)</f>
        <v>18</v>
      </c>
      <c r="H165" s="9" t="n">
        <f aca="false">IF(F165="","",ROUND(F165*G165,2))</f>
        <v>540</v>
      </c>
      <c r="I165" s="9" t="n">
        <f aca="false">IF(F165="","",ROUND(H165*IF(N('نور بنغالي'!G11)&gt;1,'نور بنغالي'!G11-1,0),2))</f>
        <v>0</v>
      </c>
      <c r="J165" s="9" t="n">
        <f aca="false">N('نور بنغالي'!H11)</f>
        <v>540</v>
      </c>
      <c r="K165" s="9" t="n">
        <f aca="false">N('نور بنغالي'!I11)</f>
        <v>0</v>
      </c>
    </row>
    <row r="166" customFormat="false" ht="15" hidden="false" customHeight="false" outlineLevel="0" collapsed="false">
      <c r="A166" s="17" t="s">
        <v>46</v>
      </c>
      <c r="B166" s="11" t="n">
        <f aca="false">'نور بنغالي'!C12</f>
        <v>46308</v>
      </c>
      <c r="C166" s="17" t="str">
        <f aca="false">'نور بنغالي'!D12</f>
        <v>رمان وسط</v>
      </c>
      <c r="D166" s="17" t="s">
        <v>77</v>
      </c>
      <c r="E166" s="7" t="s">
        <v>76</v>
      </c>
      <c r="F166" s="18" t="n">
        <f aca="false">IF('نور بنغالي'!E12="","",'نور بنغالي'!E12)</f>
        <v>40</v>
      </c>
      <c r="G166" s="19" t="n">
        <f aca="false">IF('نور بنغالي'!F12="","",'نور بنغالي'!F12)</f>
        <v>18</v>
      </c>
      <c r="H166" s="9" t="n">
        <f aca="false">IF(F166="","",ROUND(F166*G166,2))</f>
        <v>720</v>
      </c>
      <c r="I166" s="9" t="n">
        <f aca="false">IF(F166="","",ROUND(H166*IF(N('نور بنغالي'!G12)&gt;1,'نور بنغالي'!G12-1,0),2))</f>
        <v>0</v>
      </c>
      <c r="J166" s="9" t="n">
        <f aca="false">N('نور بنغالي'!H12)</f>
        <v>720</v>
      </c>
      <c r="K166" s="9" t="n">
        <f aca="false">N('نور بنغالي'!I12)</f>
        <v>0</v>
      </c>
    </row>
    <row r="167" customFormat="false" ht="15" hidden="false" customHeight="false" outlineLevel="0" collapsed="false">
      <c r="A167" s="17" t="s">
        <v>46</v>
      </c>
      <c r="B167" s="11" t="n">
        <f aca="false">'نور بنغالي'!C13</f>
        <v>46308</v>
      </c>
      <c r="C167" s="17" t="str">
        <f aca="false">'نور بنغالي'!D13</f>
        <v>عنب اسود</v>
      </c>
      <c r="D167" s="17" t="s">
        <v>108</v>
      </c>
      <c r="E167" s="7" t="s">
        <v>76</v>
      </c>
      <c r="F167" s="18" t="n">
        <f aca="false">IF('نور بنغالي'!E13="","",'نور بنغالي'!E13)</f>
        <v>5</v>
      </c>
      <c r="G167" s="19" t="n">
        <f aca="false">IF('نور بنغالي'!F13="","",'نور بنغالي'!F13)</f>
        <v>20</v>
      </c>
      <c r="H167" s="9" t="n">
        <f aca="false">IF(F167="","",ROUND(F167*G167,2))</f>
        <v>100</v>
      </c>
      <c r="I167" s="9" t="n">
        <f aca="false">IF(F167="","",ROUND(H167*IF(N('نور بنغالي'!G13)&gt;1,'نور بنغالي'!G13-1,0),2))</f>
        <v>0</v>
      </c>
      <c r="J167" s="9" t="n">
        <f aca="false">N('نور بنغالي'!H13)</f>
        <v>100</v>
      </c>
      <c r="K167" s="9" t="n">
        <f aca="false">N('نور بنغالي'!I13)</f>
        <v>0</v>
      </c>
    </row>
    <row r="168" customFormat="false" ht="15" hidden="false" customHeight="false" outlineLevel="0" collapsed="false">
      <c r="A168" s="17" t="s">
        <v>46</v>
      </c>
      <c r="B168" s="11" t="n">
        <f aca="false">'نور بنغالي'!C14</f>
        <v>46309</v>
      </c>
      <c r="C168" s="17" t="str">
        <f aca="false">'نور بنغالي'!D14</f>
        <v>سداد دفعه</v>
      </c>
      <c r="D168" s="17"/>
      <c r="E168" s="7" t="s">
        <v>78</v>
      </c>
      <c r="F168" s="7" t="str">
        <f aca="false">IF('نور بنغالي'!E14="","",'نور بنغالي'!E14)</f>
        <v/>
      </c>
      <c r="G168" s="19" t="str">
        <f aca="false">IF('نور بنغالي'!F14="","",'نور بنغالي'!F14)</f>
        <v/>
      </c>
      <c r="H168" s="9" t="str">
        <f aca="false">IF(F168="","",ROUND(F168*G168,2))</f>
        <v/>
      </c>
      <c r="I168" s="9" t="str">
        <f aca="false">IF(F168="","",ROUND(H168*IF(N('نور بنغالي'!G14)&gt;1,'نور بنغالي'!G14-1,0),2))</f>
        <v/>
      </c>
      <c r="J168" s="9" t="n">
        <f aca="false">N('نور بنغالي'!H14)</f>
        <v>0</v>
      </c>
      <c r="K168" s="9" t="n">
        <f aca="false">N('نور بنغالي'!I14)</f>
        <v>540</v>
      </c>
    </row>
    <row r="169" customFormat="false" ht="15" hidden="false" customHeight="false" outlineLevel="0" collapsed="false">
      <c r="A169" s="17" t="s">
        <v>46</v>
      </c>
      <c r="B169" s="11" t="n">
        <f aca="false">'نور بنغالي'!C15</f>
        <v>46310</v>
      </c>
      <c r="C169" s="17" t="str">
        <f aca="false">'نور بنغالي'!D15</f>
        <v>رمان وسط</v>
      </c>
      <c r="D169" s="17" t="s">
        <v>77</v>
      </c>
      <c r="E169" s="7" t="s">
        <v>76</v>
      </c>
      <c r="F169" s="18" t="n">
        <f aca="false">IF('نور بنغالي'!E15="","",'نور بنغالي'!E15)</f>
        <v>30</v>
      </c>
      <c r="G169" s="19" t="n">
        <f aca="false">IF('نور بنغالي'!F15="","",'نور بنغالي'!F15)</f>
        <v>18</v>
      </c>
      <c r="H169" s="9" t="n">
        <f aca="false">IF(F169="","",ROUND(F169*G169,2))</f>
        <v>540</v>
      </c>
      <c r="I169" s="9" t="n">
        <f aca="false">IF(F169="","",ROUND(H169*IF(N('نور بنغالي'!G15)&gt;1,'نور بنغالي'!G15-1,0),2))</f>
        <v>0</v>
      </c>
      <c r="J169" s="9" t="n">
        <f aca="false">N('نور بنغالي'!H15)</f>
        <v>540</v>
      </c>
      <c r="K169" s="9" t="n">
        <f aca="false">N('نور بنغالي'!I15)</f>
        <v>0</v>
      </c>
    </row>
    <row r="170" customFormat="false" ht="15" hidden="false" customHeight="false" outlineLevel="0" collapsed="false">
      <c r="A170" s="17" t="s">
        <v>46</v>
      </c>
      <c r="B170" s="11" t="n">
        <f aca="false">'نور بنغالي'!C16</f>
        <v>46311</v>
      </c>
      <c r="C170" s="17" t="str">
        <f aca="false">'نور بنغالي'!D16</f>
        <v>سداد دفعه</v>
      </c>
      <c r="D170" s="17"/>
      <c r="E170" s="7" t="s">
        <v>78</v>
      </c>
      <c r="F170" s="7" t="str">
        <f aca="false">IF('نور بنغالي'!E16="","",'نور بنغالي'!E16)</f>
        <v/>
      </c>
      <c r="G170" s="19" t="str">
        <f aca="false">IF('نور بنغالي'!F16="","",'نور بنغالي'!F16)</f>
        <v/>
      </c>
      <c r="H170" s="9" t="str">
        <f aca="false">IF(F170="","",ROUND(F170*G170,2))</f>
        <v/>
      </c>
      <c r="I170" s="9" t="str">
        <f aca="false">IF(F170="","",ROUND(H170*IF(N('نور بنغالي'!G16)&gt;1,'نور بنغالي'!G16-1,0),2))</f>
        <v/>
      </c>
      <c r="J170" s="9" t="n">
        <f aca="false">N('نور بنغالي'!H16)</f>
        <v>0</v>
      </c>
      <c r="K170" s="9" t="n">
        <f aca="false">N('نور بنغالي'!I16)</f>
        <v>600</v>
      </c>
    </row>
    <row r="171" customFormat="false" ht="15" hidden="false" customHeight="false" outlineLevel="0" collapsed="false">
      <c r="A171" s="17" t="s">
        <v>46</v>
      </c>
      <c r="B171" s="11" t="n">
        <f aca="false">'نور بنغالي'!C17</f>
        <v>46314</v>
      </c>
      <c r="C171" s="17" t="str">
        <f aca="false">'نور بنغالي'!D17</f>
        <v>سداد دفعه و تم خصم 10 ريال</v>
      </c>
      <c r="D171" s="17"/>
      <c r="E171" s="7" t="s">
        <v>96</v>
      </c>
      <c r="F171" s="7" t="str">
        <f aca="false">IF('نور بنغالي'!E17="","",'نور بنغالي'!E17)</f>
        <v/>
      </c>
      <c r="G171" s="19" t="str">
        <f aca="false">IF('نور بنغالي'!F17="","",'نور بنغالي'!F17)</f>
        <v/>
      </c>
      <c r="H171" s="9" t="str">
        <f aca="false">IF(F171="","",ROUND(F171*G171,2))</f>
        <v/>
      </c>
      <c r="I171" s="9" t="str">
        <f aca="false">IF(F171="","",ROUND(H171*IF(N('نور بنغالي'!G17)&gt;1,'نور بنغالي'!G17-1,0),2))</f>
        <v/>
      </c>
      <c r="J171" s="9" t="n">
        <f aca="false">N('نور بنغالي'!H17)</f>
        <v>0</v>
      </c>
      <c r="K171" s="9" t="n">
        <f aca="false">N('نور بنغالي'!I17)</f>
        <v>750</v>
      </c>
    </row>
    <row r="172" customFormat="false" ht="15" hidden="false" customHeight="false" outlineLevel="0" collapsed="false">
      <c r="A172" s="17" t="s">
        <v>46</v>
      </c>
      <c r="B172" s="11" t="n">
        <f aca="false">'نور بنغالي'!C18</f>
        <v>46314</v>
      </c>
      <c r="C172" s="17" t="str">
        <f aca="false">'نور بنغالي'!D18</f>
        <v>خصم</v>
      </c>
      <c r="D172" s="17"/>
      <c r="E172" s="7" t="s">
        <v>96</v>
      </c>
      <c r="F172" s="7" t="str">
        <f aca="false">IF('نور بنغالي'!E18="","",'نور بنغالي'!E18)</f>
        <v/>
      </c>
      <c r="G172" s="19" t="str">
        <f aca="false">IF('نور بنغالي'!F18="","",'نور بنغالي'!F18)</f>
        <v/>
      </c>
      <c r="H172" s="9" t="str">
        <f aca="false">IF(F172="","",ROUND(F172*G172,2))</f>
        <v/>
      </c>
      <c r="I172" s="9" t="str">
        <f aca="false">IF(F172="","",ROUND(H172*IF(N('نور بنغالي'!G18)&gt;1,'نور بنغالي'!G18-1,0),2))</f>
        <v/>
      </c>
      <c r="J172" s="9" t="n">
        <f aca="false">N('نور بنغالي'!H18)</f>
        <v>0</v>
      </c>
      <c r="K172" s="9" t="n">
        <f aca="false">N('نور بنغالي'!I18)</f>
        <v>10</v>
      </c>
    </row>
    <row r="173" customFormat="false" ht="15" hidden="false" customHeight="false" outlineLevel="0" collapsed="false">
      <c r="A173" s="17" t="s">
        <v>46</v>
      </c>
      <c r="B173" s="11" t="n">
        <f aca="false">'نور بنغالي'!C19</f>
        <v>46317</v>
      </c>
      <c r="C173" s="17" t="str">
        <f aca="false">'نور بنغالي'!D19</f>
        <v>تفاح سلة</v>
      </c>
      <c r="D173" s="17" t="s">
        <v>75</v>
      </c>
      <c r="E173" s="7" t="s">
        <v>76</v>
      </c>
      <c r="F173" s="18" t="n">
        <f aca="false">IF('نور بنغالي'!E19="","",'نور بنغالي'!E19)</f>
        <v>8</v>
      </c>
      <c r="G173" s="19" t="n">
        <f aca="false">IF('نور بنغالي'!F19="","",'نور بنغالي'!F19)</f>
        <v>55</v>
      </c>
      <c r="H173" s="9" t="n">
        <f aca="false">IF(F173="","",ROUND(F173*G173,2))</f>
        <v>440</v>
      </c>
      <c r="I173" s="9" t="n">
        <f aca="false">IF(F173="","",ROUND(H173*IF(N('نور بنغالي'!G19)&gt;1,'نور بنغالي'!G19-1,0),2))</f>
        <v>0</v>
      </c>
      <c r="J173" s="9" t="n">
        <f aca="false">N('نور بنغالي'!H19)</f>
        <v>440</v>
      </c>
      <c r="K173" s="9" t="n">
        <f aca="false">N('نور بنغالي'!I19)</f>
        <v>0</v>
      </c>
    </row>
    <row r="174" customFormat="false" ht="15" hidden="false" customHeight="false" outlineLevel="0" collapsed="false">
      <c r="A174" s="17" t="s">
        <v>46</v>
      </c>
      <c r="B174" s="11" t="n">
        <f aca="false">'نور بنغالي'!C20</f>
        <v>46319</v>
      </c>
      <c r="C174" s="17" t="str">
        <f aca="false">'نور بنغالي'!D20</f>
        <v>سداد</v>
      </c>
      <c r="D174" s="17"/>
      <c r="E174" s="7" t="s">
        <v>78</v>
      </c>
      <c r="F174" s="7" t="str">
        <f aca="false">IF('نور بنغالي'!E20="","",'نور بنغالي'!E20)</f>
        <v/>
      </c>
      <c r="G174" s="19" t="str">
        <f aca="false">IF('نور بنغالي'!F20="","",'نور بنغالي'!F20)</f>
        <v/>
      </c>
      <c r="H174" s="9" t="str">
        <f aca="false">IF(F174="","",ROUND(F174*G174,2))</f>
        <v/>
      </c>
      <c r="I174" s="9" t="str">
        <f aca="false">IF(F174="","",ROUND(H174*IF(N('نور بنغالي'!G20)&gt;1,'نور بنغالي'!G20-1,0),2))</f>
        <v/>
      </c>
      <c r="J174" s="9" t="n">
        <f aca="false">N('نور بنغالي'!H20)</f>
        <v>0</v>
      </c>
      <c r="K174" s="9" t="n">
        <f aca="false">N('نور بنغالي'!I20)</f>
        <v>440</v>
      </c>
    </row>
    <row r="175" customFormat="false" ht="15" hidden="false" customHeight="false" outlineLevel="0" collapsed="false">
      <c r="A175" s="17" t="s">
        <v>46</v>
      </c>
      <c r="B175" s="11" t="n">
        <f aca="false">'نور بنغالي'!C21</f>
        <v>46320</v>
      </c>
      <c r="C175" s="17" t="str">
        <f aca="false">'نور بنغالي'!D21</f>
        <v>تفاح سلة</v>
      </c>
      <c r="D175" s="17" t="s">
        <v>75</v>
      </c>
      <c r="E175" s="7" t="s">
        <v>76</v>
      </c>
      <c r="F175" s="18" t="n">
        <f aca="false">IF('نور بنغالي'!E21="","",'نور بنغالي'!E21)</f>
        <v>5</v>
      </c>
      <c r="G175" s="19" t="n">
        <f aca="false">IF('نور بنغالي'!F21="","",'نور بنغالي'!F21)</f>
        <v>54</v>
      </c>
      <c r="H175" s="9" t="n">
        <f aca="false">IF(F175="","",ROUND(F175*G175,2))</f>
        <v>270</v>
      </c>
      <c r="I175" s="9" t="n">
        <f aca="false">IF(F175="","",ROUND(H175*IF(N('نور بنغالي'!G21)&gt;1,'نور بنغالي'!G21-1,0),2))</f>
        <v>0</v>
      </c>
      <c r="J175" s="9" t="n">
        <f aca="false">N('نور بنغالي'!H21)</f>
        <v>270</v>
      </c>
      <c r="K175" s="9" t="n">
        <f aca="false">N('نور بنغالي'!I21)</f>
        <v>0</v>
      </c>
    </row>
    <row r="176" customFormat="false" ht="15" hidden="false" customHeight="false" outlineLevel="0" collapsed="false">
      <c r="A176" s="17" t="s">
        <v>46</v>
      </c>
      <c r="B176" s="11" t="n">
        <f aca="false">'نور بنغالي'!C22</f>
        <v>46322</v>
      </c>
      <c r="C176" s="17" t="str">
        <f aca="false">'نور بنغالي'!D22</f>
        <v>تفاح سلة</v>
      </c>
      <c r="D176" s="17" t="s">
        <v>75</v>
      </c>
      <c r="E176" s="7" t="s">
        <v>76</v>
      </c>
      <c r="F176" s="18" t="n">
        <f aca="false">IF('نور بنغالي'!E22="","",'نور بنغالي'!E22)</f>
        <v>12</v>
      </c>
      <c r="G176" s="19" t="n">
        <f aca="false">IF('نور بنغالي'!F22="","",'نور بنغالي'!F22)</f>
        <v>55</v>
      </c>
      <c r="H176" s="9" t="n">
        <f aca="false">IF(F176="","",ROUND(F176*G176,2))</f>
        <v>660</v>
      </c>
      <c r="I176" s="9" t="n">
        <f aca="false">IF(F176="","",ROUND(H176*IF(N('نور بنغالي'!G22)&gt;1,'نور بنغالي'!G22-1,0),2))</f>
        <v>0</v>
      </c>
      <c r="J176" s="9" t="n">
        <f aca="false">N('نور بنغالي'!H22)</f>
        <v>660</v>
      </c>
      <c r="K176" s="9" t="n">
        <f aca="false">N('نور بنغالي'!I22)</f>
        <v>0</v>
      </c>
    </row>
    <row r="177" customFormat="false" ht="15" hidden="false" customHeight="false" outlineLevel="0" collapsed="false">
      <c r="A177" s="17" t="s">
        <v>46</v>
      </c>
      <c r="B177" s="11" t="n">
        <f aca="false">'نور بنغالي'!C23</f>
        <v>46323</v>
      </c>
      <c r="C177" s="17" t="str">
        <f aca="false">'نور بنغالي'!D23</f>
        <v>تفاح سلة</v>
      </c>
      <c r="D177" s="17" t="s">
        <v>75</v>
      </c>
      <c r="E177" s="7" t="s">
        <v>76</v>
      </c>
      <c r="F177" s="18" t="n">
        <f aca="false">IF('نور بنغالي'!E23="","",'نور بنغالي'!E23)</f>
        <v>5</v>
      </c>
      <c r="G177" s="19" t="n">
        <f aca="false">IF('نور بنغالي'!F23="","",'نور بنغالي'!F23)</f>
        <v>54</v>
      </c>
      <c r="H177" s="9" t="n">
        <f aca="false">IF(F177="","",ROUND(F177*G177,2))</f>
        <v>270</v>
      </c>
      <c r="I177" s="9" t="n">
        <f aca="false">IF(F177="","",ROUND(H177*IF(N('نور بنغالي'!G23)&gt;1,'نور بنغالي'!G23-1,0),2))</f>
        <v>0</v>
      </c>
      <c r="J177" s="9" t="n">
        <f aca="false">N('نور بنغالي'!H23)</f>
        <v>270</v>
      </c>
      <c r="K177" s="9" t="n">
        <f aca="false">N('نور بنغالي'!I23)</f>
        <v>0</v>
      </c>
    </row>
    <row r="178" customFormat="false" ht="15" hidden="false" customHeight="false" outlineLevel="0" collapsed="false">
      <c r="A178" s="17" t="s">
        <v>46</v>
      </c>
      <c r="B178" s="11" t="n">
        <f aca="false">'نور بنغالي'!C24</f>
        <v>46324</v>
      </c>
      <c r="C178" s="17" t="str">
        <f aca="false">'نور بنغالي'!D24</f>
        <v>كيوي</v>
      </c>
      <c r="D178" s="17" t="s">
        <v>84</v>
      </c>
      <c r="E178" s="7" t="s">
        <v>76</v>
      </c>
      <c r="F178" s="18" t="n">
        <f aca="false">IF('نور بنغالي'!E24="","",'نور بنغالي'!E24)</f>
        <v>2</v>
      </c>
      <c r="G178" s="19" t="n">
        <f aca="false">IF('نور بنغالي'!F24="","",'نور بنغالي'!F24)</f>
        <v>42</v>
      </c>
      <c r="H178" s="9" t="n">
        <f aca="false">IF(F178="","",ROUND(F178*G178,2))</f>
        <v>84</v>
      </c>
      <c r="I178" s="9" t="n">
        <f aca="false">IF(F178="","",ROUND(H178*IF(N('نور بنغالي'!G24)&gt;1,'نور بنغالي'!G24-1,0),2))</f>
        <v>0</v>
      </c>
      <c r="J178" s="9" t="n">
        <f aca="false">N('نور بنغالي'!H24)</f>
        <v>84</v>
      </c>
      <c r="K178" s="9" t="n">
        <f aca="false">N('نور بنغالي'!I24)</f>
        <v>0</v>
      </c>
    </row>
    <row r="179" customFormat="false" ht="15" hidden="false" customHeight="false" outlineLevel="0" collapsed="false">
      <c r="A179" s="17" t="s">
        <v>46</v>
      </c>
      <c r="B179" s="11" t="n">
        <f aca="false">'نور بنغالي'!C25</f>
        <v>46325</v>
      </c>
      <c r="C179" s="17" t="str">
        <f aca="false">'نور بنغالي'!D25</f>
        <v>سداد دفعه</v>
      </c>
      <c r="D179" s="17"/>
      <c r="E179" s="7" t="s">
        <v>78</v>
      </c>
      <c r="F179" s="7" t="str">
        <f aca="false">IF('نور بنغالي'!E25="","",'نور بنغالي'!E25)</f>
        <v/>
      </c>
      <c r="G179" s="19" t="str">
        <f aca="false">IF('نور بنغالي'!F25="","",'نور بنغالي'!F25)</f>
        <v/>
      </c>
      <c r="H179" s="9" t="str">
        <f aca="false">IF(F179="","",ROUND(F179*G179,2))</f>
        <v/>
      </c>
      <c r="I179" s="9" t="str">
        <f aca="false">IF(F179="","",ROUND(H179*IF(N('نور بنغالي'!G25)&gt;1,'نور بنغالي'!G25-1,0),2))</f>
        <v/>
      </c>
      <c r="J179" s="9" t="n">
        <f aca="false">N('نور بنغالي'!H25)</f>
        <v>0</v>
      </c>
      <c r="K179" s="9" t="n">
        <f aca="false">N('نور بنغالي'!I25)</f>
        <v>600</v>
      </c>
    </row>
    <row r="180" customFormat="false" ht="15" hidden="false" customHeight="false" outlineLevel="0" collapsed="false">
      <c r="A180" s="17" t="s">
        <v>46</v>
      </c>
      <c r="B180" s="11" t="n">
        <f aca="false">'نور بنغالي'!C26</f>
        <v>46325</v>
      </c>
      <c r="C180" s="17" t="str">
        <f aca="false">'نور بنغالي'!D26</f>
        <v>كيوي</v>
      </c>
      <c r="D180" s="17" t="s">
        <v>84</v>
      </c>
      <c r="E180" s="7" t="s">
        <v>76</v>
      </c>
      <c r="F180" s="18" t="n">
        <f aca="false">IF('نور بنغالي'!E26="","",'نور بنغالي'!E26)</f>
        <v>2</v>
      </c>
      <c r="G180" s="19" t="n">
        <f aca="false">IF('نور بنغالي'!F26="","",'نور بنغالي'!F26)</f>
        <v>42</v>
      </c>
      <c r="H180" s="9" t="n">
        <f aca="false">IF(F180="","",ROUND(F180*G180,2))</f>
        <v>84</v>
      </c>
      <c r="I180" s="9" t="n">
        <f aca="false">IF(F180="","",ROUND(H180*IF(N('نور بنغالي'!G26)&gt;1,'نور بنغالي'!G26-1,0),2))</f>
        <v>0</v>
      </c>
      <c r="J180" s="9" t="n">
        <f aca="false">N('نور بنغالي'!H26)</f>
        <v>84</v>
      </c>
      <c r="K180" s="9" t="n">
        <f aca="false">N('نور بنغالي'!I26)</f>
        <v>0</v>
      </c>
    </row>
    <row r="181" customFormat="false" ht="15" hidden="false" customHeight="false" outlineLevel="0" collapsed="false">
      <c r="A181" s="17" t="s">
        <v>47</v>
      </c>
      <c r="B181" s="11" t="n">
        <f aca="false">'طيبات العصر'!C7</f>
        <v>46299</v>
      </c>
      <c r="C181" s="17" t="str">
        <f aca="false">'طيبات العصر'!D7</f>
        <v>بخارة تركي</v>
      </c>
      <c r="D181" s="17" t="s">
        <v>86</v>
      </c>
      <c r="E181" s="7" t="s">
        <v>76</v>
      </c>
      <c r="F181" s="18" t="n">
        <f aca="false">IF('طيبات العصر'!E7="","",'طيبات العصر'!E7)</f>
        <v>270</v>
      </c>
      <c r="G181" s="19" t="n">
        <f aca="false">IF('طيبات العصر'!F7="","",'طيبات العصر'!F7)</f>
        <v>21</v>
      </c>
      <c r="H181" s="9" t="n">
        <f aca="false">IF(F181="","",ROUND(F181*G181,2))</f>
        <v>5670</v>
      </c>
      <c r="I181" s="9" t="n">
        <f aca="false">IF(F181="","",ROUND(H181*IF(N('طيبات العصر'!G7)&gt;1,'طيبات العصر'!G7-1,0),2))</f>
        <v>850.5</v>
      </c>
      <c r="J181" s="9" t="n">
        <f aca="false">N('طيبات العصر'!H7)</f>
        <v>6520.5</v>
      </c>
      <c r="K181" s="9" t="n">
        <f aca="false">N('طيبات العصر'!I7)</f>
        <v>0</v>
      </c>
    </row>
    <row r="182" customFormat="false" ht="15" hidden="false" customHeight="false" outlineLevel="0" collapsed="false">
      <c r="A182" s="17" t="s">
        <v>47</v>
      </c>
      <c r="B182" s="11" t="n">
        <f aca="false">'طيبات العصر'!C8</f>
        <v>46301</v>
      </c>
      <c r="C182" s="17" t="str">
        <f aca="false">'طيبات العصر'!D8</f>
        <v>نكتارين</v>
      </c>
      <c r="D182" s="17" t="s">
        <v>109</v>
      </c>
      <c r="E182" s="7" t="s">
        <v>76</v>
      </c>
      <c r="F182" s="18" t="n">
        <f aca="false">IF('طيبات العصر'!E8="","",'طيبات العصر'!E8)</f>
        <v>8</v>
      </c>
      <c r="G182" s="19" t="n">
        <f aca="false">IF('طيبات العصر'!F8="","",'طيبات العصر'!F8)</f>
        <v>16</v>
      </c>
      <c r="H182" s="9" t="n">
        <f aca="false">IF(F182="","",ROUND(F182*G182,2))</f>
        <v>128</v>
      </c>
      <c r="I182" s="9" t="n">
        <f aca="false">IF(F182="","",ROUND(H182*IF(N('طيبات العصر'!G8)&gt;1,'طيبات العصر'!G8-1,0),2))</f>
        <v>0</v>
      </c>
      <c r="J182" s="9" t="n">
        <f aca="false">N('طيبات العصر'!H8)</f>
        <v>128</v>
      </c>
      <c r="K182" s="9" t="n">
        <f aca="false">N('طيبات العصر'!I8)</f>
        <v>0</v>
      </c>
    </row>
    <row r="183" customFormat="false" ht="15" hidden="false" customHeight="false" outlineLevel="0" collapsed="false">
      <c r="A183" s="17" t="s">
        <v>47</v>
      </c>
      <c r="B183" s="11" t="n">
        <f aca="false">'طيبات العصر'!C9</f>
        <v>46301</v>
      </c>
      <c r="C183" s="17" t="str">
        <f aca="false">'طيبات العصر'!D9</f>
        <v>تحصيل نقدي</v>
      </c>
      <c r="D183" s="17"/>
      <c r="E183" s="7" t="s">
        <v>78</v>
      </c>
      <c r="F183" s="7" t="str">
        <f aca="false">IF('طيبات العصر'!E9="","",'طيبات العصر'!E9)</f>
        <v/>
      </c>
      <c r="G183" s="19" t="str">
        <f aca="false">IF('طيبات العصر'!F9="","",'طيبات العصر'!F9)</f>
        <v/>
      </c>
      <c r="H183" s="9" t="str">
        <f aca="false">IF(F183="","",ROUND(F183*G183,2))</f>
        <v/>
      </c>
      <c r="I183" s="9" t="str">
        <f aca="false">IF(F183="","",ROUND(H183*IF(N('طيبات العصر'!G9)&gt;1,'طيبات العصر'!G9-1,0),2))</f>
        <v/>
      </c>
      <c r="J183" s="9" t="n">
        <f aca="false">N('طيبات العصر'!H9)</f>
        <v>0</v>
      </c>
      <c r="K183" s="9" t="n">
        <f aca="false">N('طيبات العصر'!I9)</f>
        <v>1500</v>
      </c>
    </row>
    <row r="184" customFormat="false" ht="15" hidden="false" customHeight="false" outlineLevel="0" collapsed="false">
      <c r="A184" s="17" t="s">
        <v>47</v>
      </c>
      <c r="B184" s="11" t="n">
        <f aca="false">'طيبات العصر'!C10</f>
        <v>46301</v>
      </c>
      <c r="C184" s="17" t="str">
        <f aca="false">'طيبات العصر'!D10</f>
        <v>افوكادو</v>
      </c>
      <c r="D184" s="17" t="s">
        <v>82</v>
      </c>
      <c r="E184" s="7" t="s">
        <v>110</v>
      </c>
      <c r="F184" s="18" t="n">
        <f aca="false">IF('طيبات العصر'!E10="","",'طيبات العصر'!E10)</f>
        <v>30</v>
      </c>
      <c r="G184" s="19" t="n">
        <f aca="false">IF('طيبات العصر'!F10="","",'طيبات العصر'!F10)</f>
        <v>38</v>
      </c>
      <c r="H184" s="9" t="n">
        <f aca="false">IF(F184="","",ROUND(F184*G184,2))</f>
        <v>1140</v>
      </c>
      <c r="I184" s="9" t="n">
        <f aca="false">IF(F184="","",ROUND(H184*IF(N('طيبات العصر'!G10)&gt;1,'طيبات العصر'!G10-1,0),2))</f>
        <v>0</v>
      </c>
      <c r="J184" s="9" t="n">
        <f aca="false">N('طيبات العصر'!H10)</f>
        <v>0</v>
      </c>
      <c r="K184" s="9" t="n">
        <f aca="false">N('طيبات العصر'!I10)</f>
        <v>1140</v>
      </c>
    </row>
    <row r="185" customFormat="false" ht="15" hidden="false" customHeight="false" outlineLevel="0" collapsed="false">
      <c r="A185" s="17" t="s">
        <v>47</v>
      </c>
      <c r="B185" s="11" t="n">
        <f aca="false">'طيبات العصر'!C11</f>
        <v>46302</v>
      </c>
      <c r="C185" s="17" t="str">
        <f aca="false">'طيبات العصر'!D11</f>
        <v>نكتارين</v>
      </c>
      <c r="D185" s="17" t="s">
        <v>109</v>
      </c>
      <c r="E185" s="7" t="s">
        <v>76</v>
      </c>
      <c r="F185" s="18" t="n">
        <f aca="false">IF('طيبات العصر'!E11="","",'طيبات العصر'!E11)</f>
        <v>5</v>
      </c>
      <c r="G185" s="19" t="n">
        <f aca="false">IF('طيبات العصر'!F11="","",'طيبات العصر'!F11)</f>
        <v>16</v>
      </c>
      <c r="H185" s="9" t="n">
        <f aca="false">IF(F185="","",ROUND(F185*G185,2))</f>
        <v>80</v>
      </c>
      <c r="I185" s="9" t="n">
        <f aca="false">IF(F185="","",ROUND(H185*IF(N('طيبات العصر'!G11)&gt;1,'طيبات العصر'!G11-1,0),2))</f>
        <v>0</v>
      </c>
      <c r="J185" s="9" t="n">
        <f aca="false">N('طيبات العصر'!H11)</f>
        <v>80</v>
      </c>
      <c r="K185" s="9" t="n">
        <f aca="false">N('طيبات العصر'!I11)</f>
        <v>0</v>
      </c>
    </row>
    <row r="186" customFormat="false" ht="15" hidden="false" customHeight="false" outlineLevel="0" collapsed="false">
      <c r="A186" s="17" t="s">
        <v>47</v>
      </c>
      <c r="B186" s="11" t="n">
        <f aca="false">'طيبات العصر'!C12</f>
        <v>46305</v>
      </c>
      <c r="C186" s="17" t="str">
        <f aca="false">'طيبات العصر'!D12</f>
        <v>سداد دفعة</v>
      </c>
      <c r="D186" s="17"/>
      <c r="E186" s="7" t="s">
        <v>78</v>
      </c>
      <c r="F186" s="7" t="str">
        <f aca="false">IF('طيبات العصر'!E12="","",'طيبات العصر'!E12)</f>
        <v/>
      </c>
      <c r="G186" s="19" t="str">
        <f aca="false">IF('طيبات العصر'!F12="","",'طيبات العصر'!F12)</f>
        <v/>
      </c>
      <c r="H186" s="9" t="str">
        <f aca="false">IF(F186="","",ROUND(F186*G186,2))</f>
        <v/>
      </c>
      <c r="I186" s="9" t="str">
        <f aca="false">IF(F186="","",ROUND(H186*IF(N('طيبات العصر'!G12)&gt;1,'طيبات العصر'!G12-1,0),2))</f>
        <v/>
      </c>
      <c r="J186" s="9" t="n">
        <f aca="false">N('طيبات العصر'!H12)</f>
        <v>0</v>
      </c>
      <c r="K186" s="9" t="n">
        <f aca="false">N('طيبات العصر'!I12)</f>
        <v>1500</v>
      </c>
    </row>
    <row r="187" customFormat="false" ht="15" hidden="false" customHeight="false" outlineLevel="0" collapsed="false">
      <c r="A187" s="17" t="s">
        <v>47</v>
      </c>
      <c r="B187" s="11" t="n">
        <f aca="false">'طيبات العصر'!C13</f>
        <v>46311</v>
      </c>
      <c r="C187" s="17" t="str">
        <f aca="false">'طيبات العصر'!D13</f>
        <v>سداد دفعة</v>
      </c>
      <c r="D187" s="17"/>
      <c r="E187" s="7" t="s">
        <v>78</v>
      </c>
      <c r="F187" s="7" t="str">
        <f aca="false">IF('طيبات العصر'!E13="","",'طيبات العصر'!E13)</f>
        <v/>
      </c>
      <c r="G187" s="19" t="str">
        <f aca="false">IF('طيبات العصر'!F13="","",'طيبات العصر'!F13)</f>
        <v/>
      </c>
      <c r="H187" s="9" t="str">
        <f aca="false">IF(F187="","",ROUND(F187*G187,2))</f>
        <v/>
      </c>
      <c r="I187" s="9" t="str">
        <f aca="false">IF(F187="","",ROUND(H187*IF(N('طيبات العصر'!G13)&gt;1,'طيبات العصر'!G13-1,0),2))</f>
        <v/>
      </c>
      <c r="J187" s="9" t="n">
        <f aca="false">N('طيبات العصر'!H13)</f>
        <v>0</v>
      </c>
      <c r="K187" s="9" t="n">
        <f aca="false">N('طيبات العصر'!I13)</f>
        <v>1000</v>
      </c>
    </row>
    <row r="188" customFormat="false" ht="15" hidden="false" customHeight="false" outlineLevel="0" collapsed="false">
      <c r="A188" s="17" t="s">
        <v>47</v>
      </c>
      <c r="B188" s="11" t="n">
        <f aca="false">'طيبات العصر'!C14</f>
        <v>46316</v>
      </c>
      <c r="C188" s="17" t="str">
        <f aca="false">'طيبات العصر'!D14</f>
        <v>سداد دفعة</v>
      </c>
      <c r="D188" s="17"/>
      <c r="E188" s="7" t="s">
        <v>78</v>
      </c>
      <c r="F188" s="7" t="str">
        <f aca="false">IF('طيبات العصر'!E14="","",'طيبات العصر'!E14)</f>
        <v/>
      </c>
      <c r="G188" s="19" t="str">
        <f aca="false">IF('طيبات العصر'!F14="","",'طيبات العصر'!F14)</f>
        <v/>
      </c>
      <c r="H188" s="9" t="str">
        <f aca="false">IF(F188="","",ROUND(F188*G188,2))</f>
        <v/>
      </c>
      <c r="I188" s="9" t="str">
        <f aca="false">IF(F188="","",ROUND(H188*IF(N('طيبات العصر'!G14)&gt;1,'طيبات العصر'!G14-1,0),2))</f>
        <v/>
      </c>
      <c r="J188" s="9" t="n">
        <f aca="false">N('طيبات العصر'!H14)</f>
        <v>0</v>
      </c>
      <c r="K188" s="9" t="n">
        <f aca="false">N('طيبات العصر'!I14)</f>
        <v>1590</v>
      </c>
    </row>
    <row r="189" customFormat="false" ht="15" hidden="false" customHeight="false" outlineLevel="0" collapsed="false">
      <c r="A189" s="17" t="s">
        <v>48</v>
      </c>
      <c r="B189" s="11" t="n">
        <f aca="false">'محيط دلتا'!C7</f>
        <v>46297</v>
      </c>
      <c r="C189" s="17" t="str">
        <f aca="false">'محيط دلتا'!D7</f>
        <v>رمان مصري</v>
      </c>
      <c r="D189" s="17" t="s">
        <v>87</v>
      </c>
      <c r="E189" s="7" t="s">
        <v>76</v>
      </c>
      <c r="F189" s="18" t="n">
        <f aca="false">IF('محيط دلتا'!E7="","",'محيط دلتا'!E7)</f>
        <v>50</v>
      </c>
      <c r="G189" s="19" t="n">
        <f aca="false">IF('محيط دلتا'!F7="","",'محيط دلتا'!F7)</f>
        <v>10.435</v>
      </c>
      <c r="H189" s="9" t="n">
        <f aca="false">IF(F189="","",ROUND(F189*G189,2))</f>
        <v>521.75</v>
      </c>
      <c r="I189" s="9" t="n">
        <f aca="false">IF(F189="","",ROUND(H189*IF(N('محيط دلتا'!G7)&gt;1,'محيط دلتا'!G7-1,0),2))</f>
        <v>78.26</v>
      </c>
      <c r="J189" s="9" t="n">
        <f aca="false">N('محيط دلتا'!H7)</f>
        <v>600.01</v>
      </c>
      <c r="K189" s="9" t="n">
        <f aca="false">N('محيط دلتا'!I7)</f>
        <v>0</v>
      </c>
    </row>
    <row r="190" customFormat="false" ht="15" hidden="false" customHeight="false" outlineLevel="0" collapsed="false">
      <c r="A190" s="17" t="s">
        <v>48</v>
      </c>
      <c r="B190" s="11" t="n">
        <f aca="false">'محيط دلتا'!C8</f>
        <v>46297</v>
      </c>
      <c r="C190" s="17" t="str">
        <f aca="false">'محيط دلتا'!D8</f>
        <v>عنب اسود</v>
      </c>
      <c r="D190" s="17" t="s">
        <v>108</v>
      </c>
      <c r="E190" s="7" t="s">
        <v>76</v>
      </c>
      <c r="F190" s="18" t="n">
        <f aca="false">IF('محيط دلتا'!E8="","",'محيط دلتا'!E8)</f>
        <v>5</v>
      </c>
      <c r="G190" s="19" t="n">
        <f aca="false">IF('محيط دلتا'!F8="","",'محيط دلتا'!F8)</f>
        <v>32.174</v>
      </c>
      <c r="H190" s="9" t="n">
        <f aca="false">IF(F190="","",ROUND(F190*G190,2))</f>
        <v>160.87</v>
      </c>
      <c r="I190" s="9" t="n">
        <f aca="false">IF(F190="","",ROUND(H190*IF(N('محيط دلتا'!G8)&gt;1,'محيط دلتا'!G8-1,0),2))</f>
        <v>24.13</v>
      </c>
      <c r="J190" s="9" t="n">
        <f aca="false">N('محيط دلتا'!H8)</f>
        <v>185</v>
      </c>
      <c r="K190" s="9" t="n">
        <f aca="false">N('محيط دلتا'!I8)</f>
        <v>0</v>
      </c>
    </row>
    <row r="191" customFormat="false" ht="15" hidden="false" customHeight="false" outlineLevel="0" collapsed="false">
      <c r="A191" s="17" t="s">
        <v>48</v>
      </c>
      <c r="B191" s="11" t="n">
        <f aca="false">'محيط دلتا'!C9</f>
        <v>46297</v>
      </c>
      <c r="C191" s="17" t="str">
        <f aca="false">'محيط دلتا'!D9</f>
        <v>خوخ</v>
      </c>
      <c r="D191" s="17" t="s">
        <v>106</v>
      </c>
      <c r="E191" s="7" t="s">
        <v>76</v>
      </c>
      <c r="F191" s="18" t="n">
        <f aca="false">IF('محيط دلتا'!E9="","",'محيط دلتا'!E9)</f>
        <v>3</v>
      </c>
      <c r="G191" s="19" t="n">
        <f aca="false">IF('محيط دلتا'!F9="","",'محيط دلتا'!F9)</f>
        <v>30.435</v>
      </c>
      <c r="H191" s="9" t="n">
        <f aca="false">IF(F191="","",ROUND(F191*G191,2))</f>
        <v>91.31</v>
      </c>
      <c r="I191" s="9" t="n">
        <f aca="false">IF(F191="","",ROUND(H191*IF(N('محيط دلتا'!G9)&gt;1,'محيط دلتا'!G9-1,0),2))</f>
        <v>13.7</v>
      </c>
      <c r="J191" s="9" t="n">
        <f aca="false">N('محيط دلتا'!H9)</f>
        <v>105</v>
      </c>
      <c r="K191" s="9" t="n">
        <f aca="false">N('محيط دلتا'!I9)</f>
        <v>0</v>
      </c>
    </row>
    <row r="192" customFormat="false" ht="15" hidden="false" customHeight="false" outlineLevel="0" collapsed="false">
      <c r="A192" s="17" t="s">
        <v>48</v>
      </c>
      <c r="B192" s="11" t="n">
        <f aca="false">'محيط دلتا'!C10</f>
        <v>46297</v>
      </c>
      <c r="C192" s="17" t="str">
        <f aca="false">'محيط دلتا'!D10</f>
        <v>جزر صيني</v>
      </c>
      <c r="D192" s="17" t="s">
        <v>111</v>
      </c>
      <c r="E192" s="7" t="s">
        <v>76</v>
      </c>
      <c r="F192" s="18" t="n">
        <f aca="false">IF('محيط دلتا'!E10="","",'محيط دلتا'!E10)</f>
        <v>86</v>
      </c>
      <c r="G192" s="19" t="n">
        <f aca="false">IF('محيط دلتا'!F10="","",'محيط دلتا'!F10)</f>
        <v>19</v>
      </c>
      <c r="H192" s="9" t="n">
        <f aca="false">IF(F192="","",ROUND(F192*G192,2))</f>
        <v>1634</v>
      </c>
      <c r="I192" s="9" t="n">
        <f aca="false">IF(F192="","",ROUND(H192*IF(N('محيط دلتا'!G10)&gt;1,'محيط دلتا'!G10-1,0),2))</f>
        <v>245.1</v>
      </c>
      <c r="J192" s="9" t="n">
        <f aca="false">N('محيط دلتا'!H10)</f>
        <v>1879.1</v>
      </c>
      <c r="K192" s="9" t="n">
        <f aca="false">N('محيط دلتا'!I10)</f>
        <v>0</v>
      </c>
    </row>
    <row r="193" customFormat="false" ht="15" hidden="false" customHeight="false" outlineLevel="0" collapsed="false">
      <c r="A193" s="17" t="s">
        <v>48</v>
      </c>
      <c r="B193" s="11" t="n">
        <f aca="false">'محيط دلتا'!C11</f>
        <v>46301</v>
      </c>
      <c r="C193" s="17" t="str">
        <f aca="false">'محيط دلتا'!D11</f>
        <v>رمان مصري</v>
      </c>
      <c r="D193" s="17" t="s">
        <v>87</v>
      </c>
      <c r="E193" s="7" t="s">
        <v>76</v>
      </c>
      <c r="F193" s="18" t="n">
        <f aca="false">IF('محيط دلتا'!E11="","",'محيط دلتا'!E11)</f>
        <v>57</v>
      </c>
      <c r="G193" s="19" t="n">
        <f aca="false">IF('محيط دلتا'!F11="","",'محيط دلتا'!F11)</f>
        <v>13</v>
      </c>
      <c r="H193" s="9" t="n">
        <f aca="false">IF(F193="","",ROUND(F193*G193,2))</f>
        <v>741</v>
      </c>
      <c r="I193" s="9" t="n">
        <f aca="false">IF(F193="","",ROUND(H193*IF(N('محيط دلتا'!G11)&gt;1,'محيط دلتا'!G11-1,0),2))</f>
        <v>0</v>
      </c>
      <c r="J193" s="9" t="n">
        <f aca="false">N('محيط دلتا'!H11)</f>
        <v>741</v>
      </c>
      <c r="K193" s="9" t="n">
        <f aca="false">N('محيط دلتا'!I11)</f>
        <v>0</v>
      </c>
    </row>
    <row r="194" customFormat="false" ht="15" hidden="false" customHeight="false" outlineLevel="0" collapsed="false">
      <c r="A194" s="17" t="s">
        <v>48</v>
      </c>
      <c r="B194" s="11" t="n">
        <f aca="false">'محيط دلتا'!C12</f>
        <v>46301</v>
      </c>
      <c r="C194" s="17" t="str">
        <f aca="false">'محيط دلتا'!D12</f>
        <v>سداد مقاصة مع عبر الإقليم</v>
      </c>
      <c r="D194" s="17"/>
      <c r="E194" s="7" t="s">
        <v>83</v>
      </c>
      <c r="F194" s="7" t="str">
        <f aca="false">IF('محيط دلتا'!E12="","",'محيط دلتا'!E12)</f>
        <v/>
      </c>
      <c r="G194" s="19" t="str">
        <f aca="false">IF('محيط دلتا'!F12="","",'محيط دلتا'!F12)</f>
        <v/>
      </c>
      <c r="H194" s="9" t="str">
        <f aca="false">IF(F194="","",ROUND(F194*G194,2))</f>
        <v/>
      </c>
      <c r="I194" s="9" t="str">
        <f aca="false">IF(F194="","",ROUND(H194*IF(N('محيط دلتا'!G12)&gt;1,'محيط دلتا'!G12-1,0),2))</f>
        <v/>
      </c>
      <c r="J194" s="9" t="n">
        <f aca="false">N('محيط دلتا'!H12)</f>
        <v>0</v>
      </c>
      <c r="K194" s="9" t="n">
        <f aca="false">N('محيط دلتا'!I12)</f>
        <v>2769</v>
      </c>
    </row>
    <row r="195" customFormat="false" ht="15" hidden="false" customHeight="false" outlineLevel="0" collapsed="false">
      <c r="A195" s="17" t="s">
        <v>48</v>
      </c>
      <c r="B195" s="11" t="n">
        <f aca="false">'محيط دلتا'!C13</f>
        <v>46302</v>
      </c>
      <c r="C195" s="17" t="str">
        <f aca="false">'محيط دلتا'!D13</f>
        <v>رمان مصري</v>
      </c>
      <c r="D195" s="17" t="s">
        <v>87</v>
      </c>
      <c r="E195" s="7" t="s">
        <v>76</v>
      </c>
      <c r="F195" s="18" t="n">
        <f aca="false">IF('محيط دلتا'!E13="","",'محيط دلتا'!E13)</f>
        <v>50</v>
      </c>
      <c r="G195" s="19" t="n">
        <f aca="false">IF('محيط دلتا'!F13="","",'محيط دلتا'!F13)</f>
        <v>13.225</v>
      </c>
      <c r="H195" s="9" t="n">
        <f aca="false">IF(F195="","",ROUND(F195*G195,2))</f>
        <v>661.25</v>
      </c>
      <c r="I195" s="9" t="n">
        <f aca="false">IF(F195="","",ROUND(H195*IF(N('محيط دلتا'!G13)&gt;1,'محيط دلتا'!G13-1,0),2))</f>
        <v>0</v>
      </c>
      <c r="J195" s="9" t="n">
        <f aca="false">N('محيط دلتا'!H13)</f>
        <v>661.25</v>
      </c>
      <c r="K195" s="9" t="n">
        <f aca="false">N('محيط دلتا'!I13)</f>
        <v>0</v>
      </c>
    </row>
    <row r="196" customFormat="false" ht="15" hidden="false" customHeight="false" outlineLevel="0" collapsed="false">
      <c r="A196" s="17" t="s">
        <v>48</v>
      </c>
      <c r="B196" s="11" t="n">
        <f aca="false">'محيط دلتا'!C14</f>
        <v>46309</v>
      </c>
      <c r="C196" s="17" t="str">
        <f aca="false">'محيط دلتا'!D14</f>
        <v>سداد مقاصة مع عبر الإقليم</v>
      </c>
      <c r="D196" s="17"/>
      <c r="E196" s="7" t="s">
        <v>83</v>
      </c>
      <c r="F196" s="7" t="str">
        <f aca="false">IF('محيط دلتا'!E14="","",'محيط دلتا'!E14)</f>
        <v/>
      </c>
      <c r="G196" s="19" t="str">
        <f aca="false">IF('محيط دلتا'!F14="","",'محيط دلتا'!F14)</f>
        <v/>
      </c>
      <c r="H196" s="9" t="str">
        <f aca="false">IF(F196="","",ROUND(F196*G196,2))</f>
        <v/>
      </c>
      <c r="I196" s="9" t="str">
        <f aca="false">IF(F196="","",ROUND(H196*IF(N('محيط دلتا'!G14)&gt;1,'محيط دلتا'!G14-1,0),2))</f>
        <v/>
      </c>
      <c r="J196" s="9" t="n">
        <f aca="false">N('محيط دلتا'!H14)</f>
        <v>0</v>
      </c>
      <c r="K196" s="9" t="n">
        <f aca="false">N('محيط دلتا'!I14)</f>
        <v>1400</v>
      </c>
    </row>
    <row r="197" customFormat="false" ht="15" hidden="false" customHeight="false" outlineLevel="0" collapsed="false">
      <c r="A197" s="17" t="s">
        <v>49</v>
      </c>
      <c r="B197" s="11" t="n">
        <f aca="false">ابوعجاج!C7</f>
        <v>46301</v>
      </c>
      <c r="C197" s="17" t="str">
        <f aca="false">ابوعجاج!D7</f>
        <v>رمان وسط</v>
      </c>
      <c r="D197" s="17" t="s">
        <v>77</v>
      </c>
      <c r="E197" s="7" t="s">
        <v>76</v>
      </c>
      <c r="F197" s="18" t="n">
        <f aca="false">IF(ابوعجاج!E7="","",ابوعجاج!E7)</f>
        <v>220</v>
      </c>
      <c r="G197" s="19" t="n">
        <f aca="false">IF(ابوعجاج!F7="","",ابوعجاج!F7)</f>
        <v>16</v>
      </c>
      <c r="H197" s="9" t="n">
        <f aca="false">IF(F197="","",ROUND(F197*G197,2))</f>
        <v>3520</v>
      </c>
      <c r="I197" s="9" t="n">
        <f aca="false">IF(F197="","",ROUND(H197*IF(N(ابوعجاج!G7)&gt;1,ابوعجاج!G7-1,0),2))</f>
        <v>528</v>
      </c>
      <c r="J197" s="9" t="n">
        <f aca="false">N(ابوعجاج!H7)</f>
        <v>4048</v>
      </c>
      <c r="K197" s="9" t="n">
        <f aca="false">N(ابوعجاج!I7)</f>
        <v>0</v>
      </c>
    </row>
    <row r="198" customFormat="false" ht="15" hidden="false" customHeight="false" outlineLevel="0" collapsed="false">
      <c r="A198" s="17" t="s">
        <v>49</v>
      </c>
      <c r="B198" s="11" t="n">
        <f aca="false">ابوعجاج!C8</f>
        <v>46301</v>
      </c>
      <c r="C198" s="17" t="str">
        <f aca="false">ابوعجاج!D8</f>
        <v>افوكادو</v>
      </c>
      <c r="D198" s="17" t="s">
        <v>82</v>
      </c>
      <c r="E198" s="7" t="s">
        <v>76</v>
      </c>
      <c r="F198" s="18" t="n">
        <f aca="false">IF(ابوعجاج!E8="","",ابوعجاج!E8)</f>
        <v>30</v>
      </c>
      <c r="G198" s="19" t="n">
        <f aca="false">IF(ابوعجاج!F8="","",ابوعجاج!F8)</f>
        <v>42</v>
      </c>
      <c r="H198" s="9" t="n">
        <f aca="false">IF(F198="","",ROUND(F198*G198,2))</f>
        <v>1260</v>
      </c>
      <c r="I198" s="9" t="n">
        <f aca="false">IF(F198="","",ROUND(H198*IF(N(ابوعجاج!G8)&gt;1,ابوعجاج!G8-1,0),2))</f>
        <v>0</v>
      </c>
      <c r="J198" s="9" t="n">
        <f aca="false">N(ابوعجاج!H8)</f>
        <v>1260</v>
      </c>
      <c r="K198" s="9" t="n">
        <f aca="false">N(ابوعجاج!I8)</f>
        <v>0</v>
      </c>
    </row>
    <row r="199" customFormat="false" ht="15" hidden="false" customHeight="false" outlineLevel="0" collapsed="false">
      <c r="A199" s="17" t="s">
        <v>49</v>
      </c>
      <c r="B199" s="11" t="n">
        <f aca="false">ابوعجاج!C9</f>
        <v>46301</v>
      </c>
      <c r="C199" s="17" t="str">
        <f aca="false">ابوعجاج!D9</f>
        <v>سداد مقاصه مع فاتورة جبار البيشي</v>
      </c>
      <c r="D199" s="17"/>
      <c r="E199" s="7" t="s">
        <v>83</v>
      </c>
      <c r="F199" s="7" t="str">
        <f aca="false">IF(ابوعجاج!E9="","",ابوعجاج!E9)</f>
        <v/>
      </c>
      <c r="G199" s="19" t="str">
        <f aca="false">IF(ابوعجاج!F9="","",ابوعجاج!F9)</f>
        <v/>
      </c>
      <c r="H199" s="9" t="str">
        <f aca="false">IF(F199="","",ROUND(F199*G199,2))</f>
        <v/>
      </c>
      <c r="I199" s="9" t="str">
        <f aca="false">IF(F199="","",ROUND(H199*IF(N(ابوعجاج!G9)&gt;1,ابوعجاج!G9-1,0),2))</f>
        <v/>
      </c>
      <c r="J199" s="9" t="n">
        <f aca="false">N(ابوعجاج!H9)</f>
        <v>0</v>
      </c>
      <c r="K199" s="9" t="n">
        <f aca="false">N(ابوعجاج!I9)</f>
        <v>4048</v>
      </c>
    </row>
    <row r="200" customFormat="false" ht="15" hidden="false" customHeight="false" outlineLevel="0" collapsed="false">
      <c r="A200" s="17" t="s">
        <v>49</v>
      </c>
      <c r="B200" s="11" t="n">
        <f aca="false">ابوعجاج!C10</f>
        <v>46302</v>
      </c>
      <c r="C200" s="17" t="str">
        <f aca="false">ابوعجاج!D10</f>
        <v>تحصيل دفعة</v>
      </c>
      <c r="D200" s="17"/>
      <c r="E200" s="7" t="s">
        <v>78</v>
      </c>
      <c r="F200" s="7" t="str">
        <f aca="false">IF(ابوعجاج!E10="","",ابوعجاج!E10)</f>
        <v/>
      </c>
      <c r="G200" s="19" t="str">
        <f aca="false">IF(ابوعجاج!F10="","",ابوعجاج!F10)</f>
        <v/>
      </c>
      <c r="H200" s="9" t="str">
        <f aca="false">IF(F200="","",ROUND(F200*G200,2))</f>
        <v/>
      </c>
      <c r="I200" s="9" t="str">
        <f aca="false">IF(F200="","",ROUND(H200*IF(N(ابوعجاج!G10)&gt;1,ابوعجاج!G10-1,0),2))</f>
        <v/>
      </c>
      <c r="J200" s="9" t="n">
        <f aca="false">N(ابوعجاج!H10)</f>
        <v>0</v>
      </c>
      <c r="K200" s="9" t="n">
        <f aca="false">N(ابوعجاج!I10)</f>
        <v>1260</v>
      </c>
    </row>
    <row r="201" customFormat="false" ht="15" hidden="false" customHeight="false" outlineLevel="0" collapsed="false">
      <c r="A201" s="17" t="s">
        <v>49</v>
      </c>
      <c r="B201" s="11" t="n">
        <f aca="false">ابوعجاج!C11</f>
        <v>46314</v>
      </c>
      <c r="C201" s="17" t="str">
        <f aca="false">ابوعجاج!D11</f>
        <v>كاكا لبناني</v>
      </c>
      <c r="D201" s="17" t="s">
        <v>85</v>
      </c>
      <c r="E201" s="7" t="s">
        <v>76</v>
      </c>
      <c r="F201" s="18" t="n">
        <f aca="false">IF(ابوعجاج!E11="","",ابوعجاج!E11)</f>
        <v>200</v>
      </c>
      <c r="G201" s="19" t="n">
        <f aca="false">IF(ابوعجاج!F11="","",ابوعجاج!F11)</f>
        <v>21</v>
      </c>
      <c r="H201" s="9" t="n">
        <f aca="false">IF(F201="","",ROUND(F201*G201,2))</f>
        <v>4200</v>
      </c>
      <c r="I201" s="9" t="n">
        <f aca="false">IF(F201="","",ROUND(H201*IF(N(ابوعجاج!G11)&gt;1,ابوعجاج!G11-1,0),2))</f>
        <v>0</v>
      </c>
      <c r="J201" s="9" t="n">
        <f aca="false">N(ابوعجاج!H11)</f>
        <v>4200</v>
      </c>
      <c r="K201" s="9" t="n">
        <f aca="false">N(ابوعجاج!I11)</f>
        <v>0</v>
      </c>
    </row>
    <row r="202" customFormat="false" ht="15" hidden="false" customHeight="false" outlineLevel="0" collapsed="false">
      <c r="A202" s="17" t="s">
        <v>49</v>
      </c>
      <c r="B202" s="11" t="n">
        <f aca="false">ابوعجاج!C12</f>
        <v>46319</v>
      </c>
      <c r="C202" s="17" t="str">
        <f aca="false">ابوعجاج!D12</f>
        <v>سداد سند/0096</v>
      </c>
      <c r="D202" s="17"/>
      <c r="E202" s="7" t="s">
        <v>78</v>
      </c>
      <c r="F202" s="7" t="str">
        <f aca="false">IF(ابوعجاج!E12="","",ابوعجاج!E12)</f>
        <v/>
      </c>
      <c r="G202" s="19" t="str">
        <f aca="false">IF(ابوعجاج!F12="","",ابوعجاج!F12)</f>
        <v/>
      </c>
      <c r="H202" s="9" t="str">
        <f aca="false">IF(F202="","",ROUND(F202*G202,2))</f>
        <v/>
      </c>
      <c r="I202" s="9" t="str">
        <f aca="false">IF(F202="","",ROUND(H202*IF(N(ابوعجاج!G12)&gt;1,ابوعجاج!G12-1,0),2))</f>
        <v/>
      </c>
      <c r="J202" s="9" t="n">
        <f aca="false">N(ابوعجاج!H12)</f>
        <v>0</v>
      </c>
      <c r="K202" s="9" t="n">
        <f aca="false">N(ابوعجاج!I12)</f>
        <v>2000</v>
      </c>
    </row>
    <row r="203" customFormat="false" ht="15" hidden="false" customHeight="false" outlineLevel="0" collapsed="false">
      <c r="A203" s="17" t="s">
        <v>50</v>
      </c>
      <c r="B203" s="11" t="n">
        <f aca="false">'ماجد بسطة'!C7</f>
        <v>46314</v>
      </c>
      <c r="C203" s="17" t="str">
        <f aca="false">'ماجد بسطة'!D7</f>
        <v>عنب تركي</v>
      </c>
      <c r="D203" s="17" t="s">
        <v>97</v>
      </c>
      <c r="E203" s="7" t="s">
        <v>76</v>
      </c>
      <c r="F203" s="18" t="n">
        <f aca="false">IF('ماجد بسطة'!E7="","",'ماجد بسطة'!E7)</f>
        <v>3</v>
      </c>
      <c r="G203" s="19" t="n">
        <f aca="false">IF('ماجد بسطة'!F7="","",'ماجد بسطة'!F7)</f>
        <v>75</v>
      </c>
      <c r="H203" s="9" t="n">
        <f aca="false">IF(F203="","",ROUND(F203*G203,2))</f>
        <v>225</v>
      </c>
      <c r="I203" s="9" t="n">
        <f aca="false">IF(F203="","",ROUND(H203*IF(N('ماجد بسطة'!G7)&gt;1,'ماجد بسطة'!G7-1,0),2))</f>
        <v>0</v>
      </c>
      <c r="J203" s="9" t="n">
        <f aca="false">N('ماجد بسطة'!H7)</f>
        <v>225</v>
      </c>
      <c r="K203" s="9" t="n">
        <f aca="false">N('ماجد بسطة'!I7)</f>
        <v>0</v>
      </c>
    </row>
    <row r="204" customFormat="false" ht="15" hidden="false" customHeight="false" outlineLevel="0" collapsed="false">
      <c r="A204" s="17" t="s">
        <v>50</v>
      </c>
      <c r="B204" s="11" t="n">
        <f aca="false">'ماجد بسطة'!C8</f>
        <v>46316</v>
      </c>
      <c r="C204" s="17" t="str">
        <f aca="false">'ماجد بسطة'!D8</f>
        <v>عنب تركي</v>
      </c>
      <c r="D204" s="17" t="s">
        <v>97</v>
      </c>
      <c r="E204" s="7" t="s">
        <v>76</v>
      </c>
      <c r="F204" s="18" t="n">
        <f aca="false">IF('ماجد بسطة'!E8="","",'ماجد بسطة'!E8)</f>
        <v>4</v>
      </c>
      <c r="G204" s="19" t="n">
        <f aca="false">IF('ماجد بسطة'!F8="","",'ماجد بسطة'!F8)</f>
        <v>78</v>
      </c>
      <c r="H204" s="9" t="n">
        <f aca="false">IF(F204="","",ROUND(F204*G204,2))</f>
        <v>312</v>
      </c>
      <c r="I204" s="9" t="n">
        <f aca="false">IF(F204="","",ROUND(H204*IF(N('ماجد بسطة'!G8)&gt;1,'ماجد بسطة'!G8-1,0),2))</f>
        <v>0</v>
      </c>
      <c r="J204" s="9" t="n">
        <f aca="false">N('ماجد بسطة'!H8)</f>
        <v>312</v>
      </c>
      <c r="K204" s="9" t="n">
        <f aca="false">N('ماجد بسطة'!I8)</f>
        <v>0</v>
      </c>
    </row>
    <row r="205" customFormat="false" ht="15" hidden="false" customHeight="false" outlineLevel="0" collapsed="false">
      <c r="A205" s="17" t="s">
        <v>50</v>
      </c>
      <c r="B205" s="11" t="n">
        <f aca="false">'ماجد بسطة'!C9</f>
        <v>46317</v>
      </c>
      <c r="C205" s="17" t="str">
        <f aca="false">'ماجد بسطة'!D9</f>
        <v>عنب تركي</v>
      </c>
      <c r="D205" s="17" t="s">
        <v>97</v>
      </c>
      <c r="E205" s="7" t="s">
        <v>76</v>
      </c>
      <c r="F205" s="18" t="n">
        <f aca="false">IF('ماجد بسطة'!E9="","",'ماجد بسطة'!E9)</f>
        <v>4</v>
      </c>
      <c r="G205" s="19" t="n">
        <f aca="false">IF('ماجد بسطة'!F9="","",'ماجد بسطة'!F9)</f>
        <v>78</v>
      </c>
      <c r="H205" s="9" t="n">
        <f aca="false">IF(F205="","",ROUND(F205*G205,2))</f>
        <v>312</v>
      </c>
      <c r="I205" s="9" t="n">
        <f aca="false">IF(F205="","",ROUND(H205*IF(N('ماجد بسطة'!G9)&gt;1,'ماجد بسطة'!G9-1,0),2))</f>
        <v>0</v>
      </c>
      <c r="J205" s="9" t="n">
        <f aca="false">N('ماجد بسطة'!H9)</f>
        <v>312</v>
      </c>
      <c r="K205" s="9" t="n">
        <f aca="false">N('ماجد بسطة'!I9)</f>
        <v>0</v>
      </c>
    </row>
    <row r="206" customFormat="false" ht="15" hidden="false" customHeight="false" outlineLevel="0" collapsed="false">
      <c r="A206" s="17" t="s">
        <v>50</v>
      </c>
      <c r="B206" s="11" t="n">
        <f aca="false">'ماجد بسطة'!C10</f>
        <v>46317</v>
      </c>
      <c r="C206" s="17" t="str">
        <f aca="false">'ماجد بسطة'!D10</f>
        <v>سداد دفعه</v>
      </c>
      <c r="D206" s="17"/>
      <c r="E206" s="7" t="s">
        <v>78</v>
      </c>
      <c r="F206" s="7" t="str">
        <f aca="false">IF('ماجد بسطة'!E10="","",'ماجد بسطة'!E10)</f>
        <v/>
      </c>
      <c r="G206" s="19" t="str">
        <f aca="false">IF('ماجد بسطة'!F10="","",'ماجد بسطة'!F10)</f>
        <v/>
      </c>
      <c r="H206" s="9" t="str">
        <f aca="false">IF(F206="","",ROUND(F206*G206,2))</f>
        <v/>
      </c>
      <c r="I206" s="9" t="str">
        <f aca="false">IF(F206="","",ROUND(H206*IF(N('ماجد بسطة'!G10)&gt;1,'ماجد بسطة'!G10-1,0),2))</f>
        <v/>
      </c>
      <c r="J206" s="9" t="n">
        <f aca="false">N('ماجد بسطة'!H10)</f>
        <v>0</v>
      </c>
      <c r="K206" s="9" t="n">
        <f aca="false">N('ماجد بسطة'!I10)</f>
        <v>300</v>
      </c>
    </row>
    <row r="207" customFormat="false" ht="15" hidden="false" customHeight="false" outlineLevel="0" collapsed="false">
      <c r="A207" s="17" t="s">
        <v>50</v>
      </c>
      <c r="B207" s="11" t="n">
        <f aca="false">'ماجد بسطة'!C11</f>
        <v>46319</v>
      </c>
      <c r="C207" s="17" t="str">
        <f aca="false">'ماجد بسطة'!D11</f>
        <v>عنب تركي</v>
      </c>
      <c r="D207" s="17" t="s">
        <v>97</v>
      </c>
      <c r="E207" s="7" t="s">
        <v>76</v>
      </c>
      <c r="F207" s="18" t="n">
        <f aca="false">IF('ماجد بسطة'!E11="","",'ماجد بسطة'!E11)</f>
        <v>5</v>
      </c>
      <c r="G207" s="19" t="n">
        <f aca="false">IF('ماجد بسطة'!F11="","",'ماجد بسطة'!F11)</f>
        <v>75</v>
      </c>
      <c r="H207" s="9" t="n">
        <f aca="false">IF(F207="","",ROUND(F207*G207,2))</f>
        <v>375</v>
      </c>
      <c r="I207" s="9" t="n">
        <f aca="false">IF(F207="","",ROUND(H207*IF(N('ماجد بسطة'!G11)&gt;1,'ماجد بسطة'!G11-1,0),2))</f>
        <v>0</v>
      </c>
      <c r="J207" s="9" t="n">
        <f aca="false">N('ماجد بسطة'!H11)</f>
        <v>375</v>
      </c>
      <c r="K207" s="9" t="n">
        <f aca="false">N('ماجد بسطة'!I11)</f>
        <v>0</v>
      </c>
    </row>
    <row r="208" customFormat="false" ht="15" hidden="false" customHeight="false" outlineLevel="0" collapsed="false">
      <c r="A208" s="17" t="s">
        <v>50</v>
      </c>
      <c r="B208" s="11" t="n">
        <f aca="false">'ماجد بسطة'!C12</f>
        <v>46319</v>
      </c>
      <c r="C208" s="17" t="str">
        <f aca="false">'ماجد بسطة'!D12</f>
        <v>سداد دفعه</v>
      </c>
      <c r="D208" s="17"/>
      <c r="E208" s="7" t="s">
        <v>78</v>
      </c>
      <c r="F208" s="7" t="str">
        <f aca="false">IF('ماجد بسطة'!E12="","",'ماجد بسطة'!E12)</f>
        <v/>
      </c>
      <c r="G208" s="19" t="str">
        <f aca="false">IF('ماجد بسطة'!F12="","",'ماجد بسطة'!F12)</f>
        <v/>
      </c>
      <c r="H208" s="9" t="str">
        <f aca="false">IF(F208="","",ROUND(F208*G208,2))</f>
        <v/>
      </c>
      <c r="I208" s="9" t="str">
        <f aca="false">IF(F208="","",ROUND(H208*IF(N('ماجد بسطة'!G12)&gt;1,'ماجد بسطة'!G12-1,0),2))</f>
        <v/>
      </c>
      <c r="J208" s="9" t="n">
        <f aca="false">N('ماجد بسطة'!H12)</f>
        <v>0</v>
      </c>
      <c r="K208" s="9" t="n">
        <f aca="false">N('ماجد بسطة'!I12)</f>
        <v>200</v>
      </c>
    </row>
    <row r="209" customFormat="false" ht="15" hidden="false" customHeight="false" outlineLevel="0" collapsed="false">
      <c r="A209" s="17" t="s">
        <v>50</v>
      </c>
      <c r="B209" s="11" t="n">
        <f aca="false">'ماجد بسطة'!C13</f>
        <v>46320</v>
      </c>
      <c r="C209" s="17" t="str">
        <f aca="false">'ماجد بسطة'!D13</f>
        <v>سداد دفعه</v>
      </c>
      <c r="D209" s="17"/>
      <c r="E209" s="7" t="s">
        <v>78</v>
      </c>
      <c r="F209" s="7" t="str">
        <f aca="false">IF('ماجد بسطة'!E13="","",'ماجد بسطة'!E13)</f>
        <v/>
      </c>
      <c r="G209" s="19" t="str">
        <f aca="false">IF('ماجد بسطة'!F13="","",'ماجد بسطة'!F13)</f>
        <v/>
      </c>
      <c r="H209" s="9" t="str">
        <f aca="false">IF(F209="","",ROUND(F209*G209,2))</f>
        <v/>
      </c>
      <c r="I209" s="9" t="str">
        <f aca="false">IF(F209="","",ROUND(H209*IF(N('ماجد بسطة'!G13)&gt;1,'ماجد بسطة'!G13-1,0),2))</f>
        <v/>
      </c>
      <c r="J209" s="9" t="n">
        <f aca="false">N('ماجد بسطة'!H13)</f>
        <v>0</v>
      </c>
      <c r="K209" s="9" t="n">
        <f aca="false">N('ماجد بسطة'!I13)</f>
        <v>200</v>
      </c>
    </row>
    <row r="210" customFormat="false" ht="15" hidden="false" customHeight="false" outlineLevel="0" collapsed="false">
      <c r="A210" s="17" t="s">
        <v>50</v>
      </c>
      <c r="B210" s="11" t="n">
        <f aca="false">'ماجد بسطة'!C14</f>
        <v>46321</v>
      </c>
      <c r="C210" s="17" t="str">
        <f aca="false">'ماجد بسطة'!D14</f>
        <v>سداد دفعه</v>
      </c>
      <c r="D210" s="17"/>
      <c r="E210" s="7" t="s">
        <v>78</v>
      </c>
      <c r="F210" s="7" t="str">
        <f aca="false">IF('ماجد بسطة'!E14="","",'ماجد بسطة'!E14)</f>
        <v/>
      </c>
      <c r="G210" s="19" t="str">
        <f aca="false">IF('ماجد بسطة'!F14="","",'ماجد بسطة'!F14)</f>
        <v/>
      </c>
      <c r="H210" s="9" t="str">
        <f aca="false">IF(F210="","",ROUND(F210*G210,2))</f>
        <v/>
      </c>
      <c r="I210" s="9" t="str">
        <f aca="false">IF(F210="","",ROUND(H210*IF(N('ماجد بسطة'!G14)&gt;1,'ماجد بسطة'!G14-1,0),2))</f>
        <v/>
      </c>
      <c r="J210" s="9" t="n">
        <f aca="false">N('ماجد بسطة'!H14)</f>
        <v>0</v>
      </c>
      <c r="K210" s="9" t="n">
        <f aca="false">N('ماجد بسطة'!I14)</f>
        <v>200</v>
      </c>
    </row>
    <row r="211" customFormat="false" ht="15" hidden="false" customHeight="false" outlineLevel="0" collapsed="false">
      <c r="A211" s="17" t="s">
        <v>51</v>
      </c>
      <c r="B211" s="11" t="n">
        <f aca="false">'سليم بنغالي'!C7</f>
        <v>46303</v>
      </c>
      <c r="C211" s="17" t="str">
        <f aca="false">'سليم بنغالي'!D7</f>
        <v>فراولة</v>
      </c>
      <c r="D211" s="17" t="s">
        <v>80</v>
      </c>
      <c r="E211" s="7" t="s">
        <v>76</v>
      </c>
      <c r="F211" s="18" t="n">
        <f aca="false">IF('سليم بنغالي'!E7="","",'سليم بنغالي'!E7)</f>
        <v>10</v>
      </c>
      <c r="G211" s="19" t="n">
        <f aca="false">IF('سليم بنغالي'!F7="","",'سليم بنغالي'!F7)</f>
        <v>120</v>
      </c>
      <c r="H211" s="9" t="n">
        <f aca="false">IF(F211="","",ROUND(F211*G211,2))</f>
        <v>1200</v>
      </c>
      <c r="I211" s="9" t="n">
        <f aca="false">IF(F211="","",ROUND(H211*IF(N('سليم بنغالي'!G7)&gt;1,'سليم بنغالي'!G7-1,0),2))</f>
        <v>0</v>
      </c>
      <c r="J211" s="9" t="n">
        <f aca="false">N('سليم بنغالي'!H7)</f>
        <v>1200</v>
      </c>
      <c r="K211" s="9" t="n">
        <f aca="false">N('سليم بنغالي'!I7)</f>
        <v>0</v>
      </c>
    </row>
    <row r="212" customFormat="false" ht="15" hidden="false" customHeight="false" outlineLevel="0" collapsed="false">
      <c r="A212" s="17" t="s">
        <v>51</v>
      </c>
      <c r="B212" s="11" t="n">
        <f aca="false">'سليم بنغالي'!C8</f>
        <v>46304</v>
      </c>
      <c r="C212" s="17" t="str">
        <f aca="false">'سليم بنغالي'!D8</f>
        <v>سداد فراولة</v>
      </c>
      <c r="D212" s="17"/>
      <c r="E212" s="7" t="s">
        <v>78</v>
      </c>
      <c r="F212" s="7" t="str">
        <f aca="false">IF('سليم بنغالي'!E8="","",'سليم بنغالي'!E8)</f>
        <v/>
      </c>
      <c r="G212" s="19" t="str">
        <f aca="false">IF('سليم بنغالي'!F8="","",'سليم بنغالي'!F8)</f>
        <v/>
      </c>
      <c r="H212" s="9" t="str">
        <f aca="false">IF(F212="","",ROUND(F212*G212,2))</f>
        <v/>
      </c>
      <c r="I212" s="9" t="str">
        <f aca="false">IF(F212="","",ROUND(H212*IF(N('سليم بنغالي'!G8)&gt;1,'سليم بنغالي'!G8-1,0),2))</f>
        <v/>
      </c>
      <c r="J212" s="9" t="n">
        <f aca="false">N('سليم بنغالي'!H8)</f>
        <v>0</v>
      </c>
      <c r="K212" s="9" t="n">
        <f aca="false">N('سليم بنغالي'!I8)</f>
        <v>1200</v>
      </c>
    </row>
    <row r="213" customFormat="false" ht="15" hidden="false" customHeight="false" outlineLevel="0" collapsed="false">
      <c r="A213" s="17" t="s">
        <v>51</v>
      </c>
      <c r="B213" s="11" t="n">
        <f aca="false">'سليم بنغالي'!C9</f>
        <v>46308</v>
      </c>
      <c r="C213" s="17" t="str">
        <f aca="false">'سليم بنغالي'!D9</f>
        <v>فراولة</v>
      </c>
      <c r="D213" s="17" t="s">
        <v>80</v>
      </c>
      <c r="E213" s="7" t="s">
        <v>76</v>
      </c>
      <c r="F213" s="18" t="n">
        <f aca="false">IF('سليم بنغالي'!E9="","",'سليم بنغالي'!E9)</f>
        <v>3</v>
      </c>
      <c r="G213" s="19" t="n">
        <f aca="false">IF('سليم بنغالي'!F9="","",'سليم بنغالي'!F9)</f>
        <v>130</v>
      </c>
      <c r="H213" s="9" t="n">
        <f aca="false">IF(F213="","",ROUND(F213*G213,2))</f>
        <v>390</v>
      </c>
      <c r="I213" s="9" t="n">
        <f aca="false">IF(F213="","",ROUND(H213*IF(N('سليم بنغالي'!G9)&gt;1,'سليم بنغالي'!G9-1,0),2))</f>
        <v>0</v>
      </c>
      <c r="J213" s="9" t="n">
        <f aca="false">N('سليم بنغالي'!H9)</f>
        <v>390</v>
      </c>
      <c r="K213" s="9" t="n">
        <f aca="false">N('سليم بنغالي'!I9)</f>
        <v>0</v>
      </c>
    </row>
    <row r="214" customFormat="false" ht="15" hidden="false" customHeight="false" outlineLevel="0" collapsed="false">
      <c r="A214" s="17" t="s">
        <v>51</v>
      </c>
      <c r="B214" s="11" t="n">
        <f aca="false">'سليم بنغالي'!C10</f>
        <v>46309</v>
      </c>
      <c r="C214" s="17" t="str">
        <f aca="false">'سليم بنغالي'!D10</f>
        <v>فراولة</v>
      </c>
      <c r="D214" s="17" t="s">
        <v>80</v>
      </c>
      <c r="E214" s="7" t="s">
        <v>76</v>
      </c>
      <c r="F214" s="18" t="n">
        <f aca="false">IF('سليم بنغالي'!E10="","",'سليم بنغالي'!E10)</f>
        <v>5</v>
      </c>
      <c r="G214" s="19" t="n">
        <f aca="false">IF('سليم بنغالي'!F10="","",'سليم بنغالي'!F10)</f>
        <v>120</v>
      </c>
      <c r="H214" s="9" t="n">
        <f aca="false">IF(F214="","",ROUND(F214*G214,2))</f>
        <v>600</v>
      </c>
      <c r="I214" s="9" t="n">
        <f aca="false">IF(F214="","",ROUND(H214*IF(N('سليم بنغالي'!G10)&gt;1,'سليم بنغالي'!G10-1,0),2))</f>
        <v>0</v>
      </c>
      <c r="J214" s="9" t="n">
        <f aca="false">N('سليم بنغالي'!H10)</f>
        <v>600</v>
      </c>
      <c r="K214" s="9" t="n">
        <f aca="false">N('سليم بنغالي'!I10)</f>
        <v>0</v>
      </c>
    </row>
    <row r="215" customFormat="false" ht="15" hidden="false" customHeight="false" outlineLevel="0" collapsed="false">
      <c r="A215" s="17" t="s">
        <v>51</v>
      </c>
      <c r="B215" s="11" t="n">
        <f aca="false">'سليم بنغالي'!C11</f>
        <v>46309</v>
      </c>
      <c r="C215" s="17" t="str">
        <f aca="false">'سليم بنغالي'!D11</f>
        <v>سداد فراولة</v>
      </c>
      <c r="D215" s="17"/>
      <c r="E215" s="7" t="s">
        <v>78</v>
      </c>
      <c r="F215" s="7" t="str">
        <f aca="false">IF('سليم بنغالي'!E11="","",'سليم بنغالي'!E11)</f>
        <v/>
      </c>
      <c r="G215" s="19" t="str">
        <f aca="false">IF('سليم بنغالي'!F11="","",'سليم بنغالي'!F11)</f>
        <v/>
      </c>
      <c r="H215" s="9" t="str">
        <f aca="false">IF(F215="","",ROUND(F215*G215,2))</f>
        <v/>
      </c>
      <c r="I215" s="9" t="str">
        <f aca="false">IF(F215="","",ROUND(H215*IF(N('سليم بنغالي'!G11)&gt;1,'سليم بنغالي'!G11-1,0),2))</f>
        <v/>
      </c>
      <c r="J215" s="9" t="n">
        <f aca="false">N('سليم بنغالي'!H11)</f>
        <v>0</v>
      </c>
      <c r="K215" s="9" t="n">
        <f aca="false">N('سليم بنغالي'!I11)</f>
        <v>990</v>
      </c>
    </row>
    <row r="216" customFormat="false" ht="15" hidden="false" customHeight="false" outlineLevel="0" collapsed="false">
      <c r="A216" s="17" t="s">
        <v>51</v>
      </c>
      <c r="B216" s="11" t="n">
        <f aca="false">'سليم بنغالي'!C12</f>
        <v>46310</v>
      </c>
      <c r="C216" s="17" t="str">
        <f aca="false">'سليم بنغالي'!D12</f>
        <v>فراولة</v>
      </c>
      <c r="D216" s="17" t="s">
        <v>80</v>
      </c>
      <c r="E216" s="7" t="s">
        <v>76</v>
      </c>
      <c r="F216" s="18" t="n">
        <f aca="false">IF('سليم بنغالي'!E12="","",'سليم بنغالي'!E12)</f>
        <v>30</v>
      </c>
      <c r="G216" s="19" t="n">
        <f aca="false">IF('سليم بنغالي'!F12="","",'سليم بنغالي'!F12)</f>
        <v>125</v>
      </c>
      <c r="H216" s="9" t="n">
        <f aca="false">IF(F216="","",ROUND(F216*G216,2))</f>
        <v>3750</v>
      </c>
      <c r="I216" s="9" t="n">
        <f aca="false">IF(F216="","",ROUND(H216*IF(N('سليم بنغالي'!G12)&gt;1,'سليم بنغالي'!G12-1,0),2))</f>
        <v>0</v>
      </c>
      <c r="J216" s="9" t="n">
        <f aca="false">N('سليم بنغالي'!H12)</f>
        <v>3750</v>
      </c>
      <c r="K216" s="9" t="n">
        <f aca="false">N('سليم بنغالي'!I12)</f>
        <v>0</v>
      </c>
    </row>
    <row r="217" customFormat="false" ht="15" hidden="false" customHeight="false" outlineLevel="0" collapsed="false">
      <c r="A217" s="17" t="s">
        <v>51</v>
      </c>
      <c r="B217" s="11" t="n">
        <f aca="false">'سليم بنغالي'!C13</f>
        <v>46311</v>
      </c>
      <c r="C217" s="17" t="str">
        <f aca="false">'سليم بنغالي'!D13</f>
        <v>فراولة</v>
      </c>
      <c r="D217" s="17" t="s">
        <v>80</v>
      </c>
      <c r="E217" s="7" t="s">
        <v>76</v>
      </c>
      <c r="F217" s="18" t="n">
        <f aca="false">IF('سليم بنغالي'!E13="","",'سليم بنغالي'!E13)</f>
        <v>23</v>
      </c>
      <c r="G217" s="19" t="n">
        <f aca="false">IF('سليم بنغالي'!F13="","",'سليم بنغالي'!F13)</f>
        <v>120</v>
      </c>
      <c r="H217" s="9" t="n">
        <f aca="false">IF(F217="","",ROUND(F217*G217,2))</f>
        <v>2760</v>
      </c>
      <c r="I217" s="9" t="n">
        <f aca="false">IF(F217="","",ROUND(H217*IF(N('سليم بنغالي'!G13)&gt;1,'سليم بنغالي'!G13-1,0),2))</f>
        <v>0</v>
      </c>
      <c r="J217" s="9" t="n">
        <f aca="false">N('سليم بنغالي'!H13)</f>
        <v>2760</v>
      </c>
      <c r="K217" s="9" t="n">
        <f aca="false">N('سليم بنغالي'!I13)</f>
        <v>0</v>
      </c>
    </row>
    <row r="218" customFormat="false" ht="15" hidden="false" customHeight="false" outlineLevel="0" collapsed="false">
      <c r="A218" s="17" t="s">
        <v>51</v>
      </c>
      <c r="B218" s="11" t="n">
        <f aca="false">'سليم بنغالي'!C14</f>
        <v>46311</v>
      </c>
      <c r="C218" s="17" t="str">
        <f aca="false">'سليم بنغالي'!D14</f>
        <v>سداد دفعة</v>
      </c>
      <c r="D218" s="17"/>
      <c r="E218" s="7" t="s">
        <v>78</v>
      </c>
      <c r="F218" s="7" t="str">
        <f aca="false">IF('سليم بنغالي'!E14="","",'سليم بنغالي'!E14)</f>
        <v/>
      </c>
      <c r="G218" s="19" t="str">
        <f aca="false">IF('سليم بنغالي'!F14="","",'سليم بنغالي'!F14)</f>
        <v/>
      </c>
      <c r="H218" s="9" t="str">
        <f aca="false">IF(F218="","",ROUND(F218*G218,2))</f>
        <v/>
      </c>
      <c r="I218" s="9" t="str">
        <f aca="false">IF(F218="","",ROUND(H218*IF(N('سليم بنغالي'!G14)&gt;1,'سليم بنغالي'!G14-1,0),2))</f>
        <v/>
      </c>
      <c r="J218" s="9" t="n">
        <f aca="false">N('سليم بنغالي'!H14)</f>
        <v>0</v>
      </c>
      <c r="K218" s="9" t="n">
        <f aca="false">N('سليم بنغالي'!I14)</f>
        <v>1750</v>
      </c>
    </row>
    <row r="219" customFormat="false" ht="15" hidden="false" customHeight="false" outlineLevel="0" collapsed="false">
      <c r="A219" s="17" t="s">
        <v>51</v>
      </c>
      <c r="B219" s="11" t="n">
        <f aca="false">'سليم بنغالي'!C15</f>
        <v>46312</v>
      </c>
      <c r="C219" s="17" t="str">
        <f aca="false">'سليم بنغالي'!D15</f>
        <v>سداد دفعة</v>
      </c>
      <c r="D219" s="17"/>
      <c r="E219" s="7" t="s">
        <v>78</v>
      </c>
      <c r="F219" s="7" t="str">
        <f aca="false">IF('سليم بنغالي'!E15="","",'سليم بنغالي'!E15)</f>
        <v/>
      </c>
      <c r="G219" s="19" t="str">
        <f aca="false">IF('سليم بنغالي'!F15="","",'سليم بنغالي'!F15)</f>
        <v/>
      </c>
      <c r="H219" s="9" t="str">
        <f aca="false">IF(F219="","",ROUND(F219*G219,2))</f>
        <v/>
      </c>
      <c r="I219" s="9" t="str">
        <f aca="false">IF(F219="","",ROUND(H219*IF(N('سليم بنغالي'!G15)&gt;1,'سليم بنغالي'!G15-1,0),2))</f>
        <v/>
      </c>
      <c r="J219" s="9" t="n">
        <f aca="false">N('سليم بنغالي'!H15)</f>
        <v>0</v>
      </c>
      <c r="K219" s="9" t="n">
        <f aca="false">N('سليم بنغالي'!I15)</f>
        <v>2000</v>
      </c>
    </row>
    <row r="220" customFormat="false" ht="15" hidden="false" customHeight="false" outlineLevel="0" collapsed="false">
      <c r="A220" s="17" t="s">
        <v>51</v>
      </c>
      <c r="B220" s="11" t="n">
        <f aca="false">'سليم بنغالي'!C16</f>
        <v>46313</v>
      </c>
      <c r="C220" s="17" t="str">
        <f aca="false">'سليم بنغالي'!D16</f>
        <v>فراولة</v>
      </c>
      <c r="D220" s="17" t="s">
        <v>80</v>
      </c>
      <c r="E220" s="7" t="s">
        <v>110</v>
      </c>
      <c r="F220" s="18" t="n">
        <f aca="false">IF('سليم بنغالي'!E16="","",'سليم بنغالي'!E16)</f>
        <v>10</v>
      </c>
      <c r="G220" s="19" t="n">
        <f aca="false">IF('سليم بنغالي'!F16="","",'سليم بنغالي'!F16)</f>
        <v>120</v>
      </c>
      <c r="H220" s="9" t="n">
        <f aca="false">IF(F220="","",ROUND(F220*G220,2))</f>
        <v>1200</v>
      </c>
      <c r="I220" s="9" t="n">
        <f aca="false">IF(F220="","",ROUND(H220*IF(N('سليم بنغالي'!G16)&gt;1,'سليم بنغالي'!G16-1,0),2))</f>
        <v>0</v>
      </c>
      <c r="J220" s="9" t="n">
        <f aca="false">N('سليم بنغالي'!H16)</f>
        <v>0</v>
      </c>
      <c r="K220" s="9" t="n">
        <f aca="false">N('سليم بنغالي'!I16)</f>
        <v>1200</v>
      </c>
    </row>
    <row r="221" customFormat="false" ht="15" hidden="false" customHeight="false" outlineLevel="0" collapsed="false">
      <c r="A221" s="17" t="s">
        <v>51</v>
      </c>
      <c r="B221" s="11" t="n">
        <f aca="false">'سليم بنغالي'!C17</f>
        <v>46316</v>
      </c>
      <c r="C221" s="17" t="str">
        <f aca="false">'سليم بنغالي'!D17</f>
        <v>سداد دفعه</v>
      </c>
      <c r="D221" s="17"/>
      <c r="E221" s="7" t="s">
        <v>78</v>
      </c>
      <c r="F221" s="7" t="str">
        <f aca="false">IF('سليم بنغالي'!E17="","",'سليم بنغالي'!E17)</f>
        <v/>
      </c>
      <c r="G221" s="19" t="str">
        <f aca="false">IF('سليم بنغالي'!F17="","",'سليم بنغالي'!F17)</f>
        <v/>
      </c>
      <c r="H221" s="9" t="str">
        <f aca="false">IF(F221="","",ROUND(F221*G221,2))</f>
        <v/>
      </c>
      <c r="I221" s="9" t="str">
        <f aca="false">IF(F221="","",ROUND(H221*IF(N('سليم بنغالي'!G17)&gt;1,'سليم بنغالي'!G17-1,0),2))</f>
        <v/>
      </c>
      <c r="J221" s="9" t="n">
        <f aca="false">N('سليم بنغالي'!H17)</f>
        <v>0</v>
      </c>
      <c r="K221" s="9" t="n">
        <f aca="false">N('سليم بنغالي'!I17)</f>
        <v>550</v>
      </c>
    </row>
    <row r="222" customFormat="false" ht="15" hidden="false" customHeight="false" outlineLevel="0" collapsed="false">
      <c r="A222" s="17" t="s">
        <v>51</v>
      </c>
      <c r="B222" s="11" t="n">
        <f aca="false">'سليم بنغالي'!C18</f>
        <v>46317</v>
      </c>
      <c r="C222" s="17" t="str">
        <f aca="false">'سليم بنغالي'!D18</f>
        <v>فراولة</v>
      </c>
      <c r="D222" s="17" t="s">
        <v>80</v>
      </c>
      <c r="E222" s="7" t="s">
        <v>76</v>
      </c>
      <c r="F222" s="18" t="n">
        <f aca="false">IF('سليم بنغالي'!E18="","",'سليم بنغالي'!E18)</f>
        <v>10</v>
      </c>
      <c r="G222" s="19" t="n">
        <f aca="false">IF('سليم بنغالي'!F18="","",'سليم بنغالي'!F18)</f>
        <v>130</v>
      </c>
      <c r="H222" s="9" t="n">
        <f aca="false">IF(F222="","",ROUND(F222*G222,2))</f>
        <v>1300</v>
      </c>
      <c r="I222" s="9" t="n">
        <f aca="false">IF(F222="","",ROUND(H222*IF(N('سليم بنغالي'!G18)&gt;1,'سليم بنغالي'!G18-1,0),2))</f>
        <v>0</v>
      </c>
      <c r="J222" s="9" t="n">
        <f aca="false">N('سليم بنغالي'!H18)</f>
        <v>1300</v>
      </c>
      <c r="K222" s="9" t="n">
        <f aca="false">N('سليم بنغالي'!I18)</f>
        <v>0</v>
      </c>
    </row>
    <row r="223" customFormat="false" ht="15" hidden="false" customHeight="false" outlineLevel="0" collapsed="false">
      <c r="A223" s="17" t="s">
        <v>51</v>
      </c>
      <c r="B223" s="11" t="n">
        <f aca="false">'سليم بنغالي'!C19</f>
        <v>46319</v>
      </c>
      <c r="C223" s="17" t="str">
        <f aca="false">'سليم بنغالي'!D19</f>
        <v>فراولة</v>
      </c>
      <c r="D223" s="17" t="s">
        <v>80</v>
      </c>
      <c r="E223" s="7" t="s">
        <v>110</v>
      </c>
      <c r="F223" s="18" t="n">
        <f aca="false">IF('سليم بنغالي'!E19="","",'سليم بنغالي'!E19)</f>
        <v>18</v>
      </c>
      <c r="G223" s="19" t="n">
        <f aca="false">IF('سليم بنغالي'!F19="","",'سليم بنغالي'!F19)</f>
        <v>130</v>
      </c>
      <c r="H223" s="9" t="n">
        <f aca="false">IF(F223="","",ROUND(F223*G223,2))</f>
        <v>2340</v>
      </c>
      <c r="I223" s="9" t="n">
        <f aca="false">IF(F223="","",ROUND(H223*IF(N('سليم بنغالي'!G19)&gt;1,'سليم بنغالي'!G19-1,0),2))</f>
        <v>0</v>
      </c>
      <c r="J223" s="9" t="n">
        <f aca="false">N('سليم بنغالي'!H19)</f>
        <v>0</v>
      </c>
      <c r="K223" s="9" t="n">
        <f aca="false">N('سليم بنغالي'!I19)</f>
        <v>2340</v>
      </c>
    </row>
    <row r="224" customFormat="false" ht="15" hidden="false" customHeight="false" outlineLevel="0" collapsed="false">
      <c r="A224" s="17" t="s">
        <v>51</v>
      </c>
      <c r="B224" s="11" t="n">
        <f aca="false">'سليم بنغالي'!C20</f>
        <v>46319</v>
      </c>
      <c r="C224" s="17" t="str">
        <f aca="false">'سليم بنغالي'!D20</f>
        <v>سداد دفعه</v>
      </c>
      <c r="D224" s="17"/>
      <c r="E224" s="7" t="s">
        <v>78</v>
      </c>
      <c r="F224" s="7" t="str">
        <f aca="false">IF('سليم بنغالي'!E20="","",'سليم بنغالي'!E20)</f>
        <v/>
      </c>
      <c r="G224" s="19" t="str">
        <f aca="false">IF('سليم بنغالي'!F20="","",'سليم بنغالي'!F20)</f>
        <v/>
      </c>
      <c r="H224" s="9" t="str">
        <f aca="false">IF(F224="","",ROUND(F224*G224,2))</f>
        <v/>
      </c>
      <c r="I224" s="9" t="str">
        <f aca="false">IF(F224="","",ROUND(H224*IF(N('سليم بنغالي'!G20)&gt;1,'سليم بنغالي'!G20-1,0),2))</f>
        <v/>
      </c>
      <c r="J224" s="9" t="n">
        <f aca="false">N('سليم بنغالي'!H20)</f>
        <v>0</v>
      </c>
      <c r="K224" s="9" t="n">
        <f aca="false">N('سليم بنغالي'!I20)</f>
        <v>1000</v>
      </c>
    </row>
    <row r="225" customFormat="false" ht="15" hidden="false" customHeight="false" outlineLevel="0" collapsed="false">
      <c r="A225" s="17" t="s">
        <v>51</v>
      </c>
      <c r="B225" s="11" t="n">
        <f aca="false">'سليم بنغالي'!C21</f>
        <v>46321</v>
      </c>
      <c r="C225" s="17" t="str">
        <f aca="false">'سليم بنغالي'!D21</f>
        <v>سداد دفعة</v>
      </c>
      <c r="D225" s="17"/>
      <c r="E225" s="7" t="s">
        <v>78</v>
      </c>
      <c r="F225" s="7" t="str">
        <f aca="false">IF('سليم بنغالي'!E21="","",'سليم بنغالي'!E21)</f>
        <v/>
      </c>
      <c r="G225" s="19" t="str">
        <f aca="false">IF('سليم بنغالي'!F21="","",'سليم بنغالي'!F21)</f>
        <v/>
      </c>
      <c r="H225" s="9" t="str">
        <f aca="false">IF(F225="","",ROUND(F225*G225,2))</f>
        <v/>
      </c>
      <c r="I225" s="9" t="str">
        <f aca="false">IF(F225="","",ROUND(H225*IF(N('سليم بنغالي'!G21)&gt;1,'سليم بنغالي'!G21-1,0),2))</f>
        <v/>
      </c>
      <c r="J225" s="9" t="n">
        <f aca="false">N('سليم بنغالي'!H21)</f>
        <v>850</v>
      </c>
      <c r="K225" s="9" t="n">
        <f aca="false">N('سليم بنغالي'!I21)</f>
        <v>0</v>
      </c>
    </row>
    <row r="226" customFormat="false" ht="15" hidden="false" customHeight="false" outlineLevel="0" collapsed="false">
      <c r="A226" s="17" t="s">
        <v>51</v>
      </c>
      <c r="B226" s="11" t="n">
        <f aca="false">'سليم بنغالي'!C22</f>
        <v>46323</v>
      </c>
      <c r="C226" s="17" t="str">
        <f aca="false">'سليم بنغالي'!D22</f>
        <v>سداد</v>
      </c>
      <c r="D226" s="17"/>
      <c r="E226" s="7" t="s">
        <v>78</v>
      </c>
      <c r="F226" s="7" t="str">
        <f aca="false">IF('سليم بنغالي'!E22="","",'سليم بنغالي'!E22)</f>
        <v/>
      </c>
      <c r="G226" s="19" t="str">
        <f aca="false">IF('سليم بنغالي'!F22="","",'سليم بنغالي'!F22)</f>
        <v/>
      </c>
      <c r="H226" s="9" t="str">
        <f aca="false">IF(F226="","",ROUND(F226*G226,2))</f>
        <v/>
      </c>
      <c r="I226" s="9" t="str">
        <f aca="false">IF(F226="","",ROUND(H226*IF(N('سليم بنغالي'!G22)&gt;1,'سليم بنغالي'!G22-1,0),2))</f>
        <v/>
      </c>
      <c r="J226" s="9" t="n">
        <f aca="false">N('سليم بنغالي'!H22)</f>
        <v>150</v>
      </c>
      <c r="K226" s="9" t="n">
        <f aca="false">N('سليم بنغالي'!I22)</f>
        <v>0</v>
      </c>
    </row>
    <row r="227" customFormat="false" ht="15" hidden="false" customHeight="false" outlineLevel="0" collapsed="false">
      <c r="A227" s="17" t="s">
        <v>51</v>
      </c>
      <c r="B227" s="11" t="n">
        <f aca="false">'سليم بنغالي'!C23</f>
        <v>46323</v>
      </c>
      <c r="C227" s="17" t="str">
        <f aca="false">'سليم بنغالي'!D23</f>
        <v>تم خصم من سليم</v>
      </c>
      <c r="D227" s="17"/>
      <c r="E227" s="7" t="s">
        <v>96</v>
      </c>
      <c r="F227" s="7" t="str">
        <f aca="false">IF('سليم بنغالي'!E23="","",'سليم بنغالي'!E23)</f>
        <v/>
      </c>
      <c r="G227" s="19" t="str">
        <f aca="false">IF('سليم بنغالي'!F23="","",'سليم بنغالي'!F23)</f>
        <v/>
      </c>
      <c r="H227" s="9" t="str">
        <f aca="false">IF(F227="","",ROUND(F227*G227,2))</f>
        <v/>
      </c>
      <c r="I227" s="9" t="str">
        <f aca="false">IF(F227="","",ROUND(H227*IF(N('سليم بنغالي'!G23)&gt;1,'سليم بنغالي'!G23-1,0),2))</f>
        <v/>
      </c>
      <c r="J227" s="9" t="n">
        <f aca="false">N('سليم بنغالي'!H23)</f>
        <v>30</v>
      </c>
      <c r="K227" s="9" t="n">
        <f aca="false">N('سليم بنغالي'!I23)</f>
        <v>0</v>
      </c>
    </row>
    <row r="228" customFormat="false" ht="15" hidden="false" customHeight="false" outlineLevel="0" collapsed="false">
      <c r="A228" s="17" t="s">
        <v>52</v>
      </c>
      <c r="B228" s="11" t="n">
        <f aca="false">'التخصص الذهبي'!C7</f>
        <v>46308</v>
      </c>
      <c r="C228" s="17" t="str">
        <f aca="false">'التخصص الذهبي'!D7</f>
        <v>افندي</v>
      </c>
      <c r="D228" s="17" t="s">
        <v>79</v>
      </c>
      <c r="E228" s="7" t="s">
        <v>76</v>
      </c>
      <c r="F228" s="18" t="n">
        <f aca="false">IF('التخصص الذهبي'!E7="","",'التخصص الذهبي'!E7)</f>
        <v>70</v>
      </c>
      <c r="G228" s="19" t="n">
        <f aca="false">IF('التخصص الذهبي'!F7="","",'التخصص الذهبي'!F7)</f>
        <v>45</v>
      </c>
      <c r="H228" s="9" t="n">
        <f aca="false">IF(F228="","",ROUND(F228*G228,2))</f>
        <v>3150</v>
      </c>
      <c r="I228" s="9" t="n">
        <f aca="false">IF(F228="","",ROUND(H228*IF(N('التخصص الذهبي'!G7)&gt;1,'التخصص الذهبي'!G7-1,0),2))</f>
        <v>472.5</v>
      </c>
      <c r="J228" s="9" t="n">
        <f aca="false">N('التخصص الذهبي'!H7)</f>
        <v>3622.5</v>
      </c>
      <c r="K228" s="9" t="n">
        <f aca="false">N('التخصص الذهبي'!I7)</f>
        <v>0</v>
      </c>
    </row>
    <row r="229" customFormat="false" ht="15" hidden="false" customHeight="false" outlineLevel="0" collapsed="false">
      <c r="A229" s="17" t="s">
        <v>52</v>
      </c>
      <c r="B229" s="11" t="n">
        <f aca="false">'التخصص الذهبي'!C8</f>
        <v>46309</v>
      </c>
      <c r="C229" s="17" t="str">
        <f aca="false">'التخصص الذهبي'!D8</f>
        <v>افندي</v>
      </c>
      <c r="D229" s="17" t="s">
        <v>79</v>
      </c>
      <c r="E229" s="7" t="s">
        <v>76</v>
      </c>
      <c r="F229" s="18" t="n">
        <f aca="false">IF('التخصص الذهبي'!E8="","",'التخصص الذهبي'!E8)</f>
        <v>72</v>
      </c>
      <c r="G229" s="19" t="n">
        <f aca="false">IF('التخصص الذهبي'!F8="","",'التخصص الذهبي'!F8)</f>
        <v>45</v>
      </c>
      <c r="H229" s="9" t="n">
        <f aca="false">IF(F229="","",ROUND(F229*G229,2))</f>
        <v>3240</v>
      </c>
      <c r="I229" s="9" t="n">
        <f aca="false">IF(F229="","",ROUND(H229*IF(N('التخصص الذهبي'!G8)&gt;1,'التخصص الذهبي'!G8-1,0),2))</f>
        <v>486</v>
      </c>
      <c r="J229" s="9" t="n">
        <f aca="false">N('التخصص الذهبي'!H8)</f>
        <v>3726</v>
      </c>
      <c r="K229" s="9" t="n">
        <f aca="false">N('التخصص الذهبي'!I8)</f>
        <v>0</v>
      </c>
    </row>
    <row r="230" customFormat="false" ht="15" hidden="false" customHeight="false" outlineLevel="0" collapsed="false">
      <c r="A230" s="17" t="s">
        <v>52</v>
      </c>
      <c r="B230" s="11" t="n">
        <f aca="false">'التخصص الذهبي'!C9</f>
        <v>46310</v>
      </c>
      <c r="C230" s="17" t="str">
        <f aca="false">'التخصص الذهبي'!D9</f>
        <v>سداد سند/0536</v>
      </c>
      <c r="D230" s="17"/>
      <c r="E230" s="7" t="s">
        <v>78</v>
      </c>
      <c r="F230" s="7" t="str">
        <f aca="false">IF('التخصص الذهبي'!E9="","",'التخصص الذهبي'!E9)</f>
        <v/>
      </c>
      <c r="G230" s="19" t="str">
        <f aca="false">IF('التخصص الذهبي'!F9="","",'التخصص الذهبي'!F9)</f>
        <v/>
      </c>
      <c r="H230" s="9" t="str">
        <f aca="false">IF(F230="","",ROUND(F230*G230,2))</f>
        <v/>
      </c>
      <c r="I230" s="9" t="str">
        <f aca="false">IF(F230="","",ROUND(H230*IF(N('التخصص الذهبي'!G9)&gt;1,'التخصص الذهبي'!G9-1,0),2))</f>
        <v/>
      </c>
      <c r="J230" s="9" t="n">
        <f aca="false">N('التخصص الذهبي'!H9)</f>
        <v>0</v>
      </c>
      <c r="K230" s="9" t="n">
        <f aca="false">N('التخصص الذهبي'!I9)</f>
        <v>3622.5</v>
      </c>
    </row>
    <row r="231" customFormat="false" ht="15" hidden="false" customHeight="false" outlineLevel="0" collapsed="false">
      <c r="A231" s="17" t="s">
        <v>52</v>
      </c>
      <c r="B231" s="11" t="n">
        <f aca="false">'التخصص الذهبي'!C10</f>
        <v>46312</v>
      </c>
      <c r="C231" s="17" t="str">
        <f aca="false">'التخصص الذهبي'!D10</f>
        <v>سداد سند/0550</v>
      </c>
      <c r="D231" s="17"/>
      <c r="E231" s="7" t="s">
        <v>78</v>
      </c>
      <c r="F231" s="7" t="str">
        <f aca="false">IF('التخصص الذهبي'!E10="","",'التخصص الذهبي'!E10)</f>
        <v/>
      </c>
      <c r="G231" s="19" t="str">
        <f aca="false">IF('التخصص الذهبي'!F10="","",'التخصص الذهبي'!F10)</f>
        <v/>
      </c>
      <c r="H231" s="9" t="str">
        <f aca="false">IF(F231="","",ROUND(F231*G231,2))</f>
        <v/>
      </c>
      <c r="I231" s="9" t="str">
        <f aca="false">IF(F231="","",ROUND(H231*IF(N('التخصص الذهبي'!G10)&gt;1,'التخصص الذهبي'!G10-1,0),2))</f>
        <v/>
      </c>
      <c r="J231" s="9" t="n">
        <f aca="false">N('التخصص الذهبي'!H10)</f>
        <v>0</v>
      </c>
      <c r="K231" s="9" t="n">
        <f aca="false">N('التخصص الذهبي'!I10)</f>
        <v>3726</v>
      </c>
    </row>
    <row r="232" customFormat="false" ht="15" hidden="false" customHeight="false" outlineLevel="0" collapsed="false">
      <c r="A232" s="17" t="s">
        <v>52</v>
      </c>
      <c r="B232" s="11" t="n">
        <f aca="false">'التخصص الذهبي'!C11</f>
        <v>46313</v>
      </c>
      <c r="C232" s="17" t="str">
        <f aca="false">'التخصص الذهبي'!D11</f>
        <v>تفاح سوري</v>
      </c>
      <c r="D232" s="17" t="s">
        <v>91</v>
      </c>
      <c r="E232" s="7" t="s">
        <v>76</v>
      </c>
      <c r="F232" s="18" t="n">
        <f aca="false">IF('التخصص الذهبي'!E11="","",'التخصص الذهبي'!E11)</f>
        <v>20</v>
      </c>
      <c r="G232" s="19" t="n">
        <f aca="false">IF('التخصص الذهبي'!F11="","",'التخصص الذهبي'!F11)</f>
        <v>8</v>
      </c>
      <c r="H232" s="9" t="n">
        <f aca="false">IF(F232="","",ROUND(F232*G232,2))</f>
        <v>160</v>
      </c>
      <c r="I232" s="9" t="n">
        <f aca="false">IF(F232="","",ROUND(H232*IF(N('التخصص الذهبي'!G11)&gt;1,'التخصص الذهبي'!G11-1,0),2))</f>
        <v>24</v>
      </c>
      <c r="J232" s="9" t="n">
        <f aca="false">N('التخصص الذهبي'!H11)</f>
        <v>184</v>
      </c>
      <c r="K232" s="9" t="n">
        <f aca="false">N('التخصص الذهبي'!I11)</f>
        <v>0</v>
      </c>
    </row>
    <row r="233" customFormat="false" ht="15" hidden="false" customHeight="false" outlineLevel="0" collapsed="false">
      <c r="A233" s="17" t="s">
        <v>52</v>
      </c>
      <c r="B233" s="11" t="n">
        <f aca="false">'التخصص الذهبي'!C12</f>
        <v>46314</v>
      </c>
      <c r="C233" s="17" t="str">
        <f aca="false">'التخصص الذهبي'!D12</f>
        <v>سداد سند/0100</v>
      </c>
      <c r="D233" s="17"/>
      <c r="E233" s="7" t="s">
        <v>78</v>
      </c>
      <c r="F233" s="7" t="str">
        <f aca="false">IF('التخصص الذهبي'!E12="","",'التخصص الذهبي'!E12)</f>
        <v/>
      </c>
      <c r="G233" s="19" t="str">
        <f aca="false">IF('التخصص الذهبي'!F12="","",'التخصص الذهبي'!F12)</f>
        <v/>
      </c>
      <c r="H233" s="9" t="str">
        <f aca="false">IF(F233="","",ROUND(F233*G233,2))</f>
        <v/>
      </c>
      <c r="I233" s="9" t="str">
        <f aca="false">IF(F233="","",ROUND(H233*IF(N('التخصص الذهبي'!G12)&gt;1,'التخصص الذهبي'!G12-1,0),2))</f>
        <v/>
      </c>
      <c r="J233" s="9" t="n">
        <f aca="false">N('التخصص الذهبي'!H12)</f>
        <v>0</v>
      </c>
      <c r="K233" s="9" t="n">
        <f aca="false">N('التخصص الذهبي'!I12)</f>
        <v>184</v>
      </c>
    </row>
    <row r="234" customFormat="false" ht="15" hidden="false" customHeight="false" outlineLevel="0" collapsed="false">
      <c r="A234" s="17" t="s">
        <v>52</v>
      </c>
      <c r="B234" s="11" t="n">
        <f aca="false">'التخصص الذهبي'!C13</f>
        <v>46315</v>
      </c>
      <c r="C234" s="17" t="str">
        <f aca="false">'التخصص الذهبي'!D13</f>
        <v>كيوي</v>
      </c>
      <c r="D234" s="17" t="s">
        <v>84</v>
      </c>
      <c r="E234" s="7" t="s">
        <v>76</v>
      </c>
      <c r="F234" s="18" t="n">
        <f aca="false">IF('التخصص الذهبي'!E13="","",'التخصص الذهبي'!E13)</f>
        <v>41</v>
      </c>
      <c r="G234" s="19" t="n">
        <f aca="false">IF('التخصص الذهبي'!F13="","",'التخصص الذهبي'!F13)</f>
        <v>38</v>
      </c>
      <c r="H234" s="9" t="n">
        <f aca="false">IF(F234="","",ROUND(F234*G234,2))</f>
        <v>1558</v>
      </c>
      <c r="I234" s="9" t="n">
        <f aca="false">IF(F234="","",ROUND(H234*IF(N('التخصص الذهبي'!G13)&gt;1,'التخصص الذهبي'!G13-1,0),2))</f>
        <v>233.7</v>
      </c>
      <c r="J234" s="9" t="n">
        <f aca="false">N('التخصص الذهبي'!H13)</f>
        <v>1791.7</v>
      </c>
      <c r="K234" s="9" t="n">
        <f aca="false">N('التخصص الذهبي'!I13)</f>
        <v>0</v>
      </c>
    </row>
    <row r="235" customFormat="false" ht="15" hidden="false" customHeight="false" outlineLevel="0" collapsed="false">
      <c r="A235" s="17" t="s">
        <v>52</v>
      </c>
      <c r="B235" s="11" t="n">
        <f aca="false">'التخصص الذهبي'!C14</f>
        <v>46316</v>
      </c>
      <c r="C235" s="17" t="str">
        <f aca="false">'التخصص الذهبي'!D14</f>
        <v>كيوي</v>
      </c>
      <c r="D235" s="17" t="s">
        <v>84</v>
      </c>
      <c r="E235" s="7" t="s">
        <v>76</v>
      </c>
      <c r="F235" s="18" t="n">
        <f aca="false">IF('التخصص الذهبي'!E14="","",'التخصص الذهبي'!E14)</f>
        <v>32</v>
      </c>
      <c r="G235" s="19" t="n">
        <f aca="false">IF('التخصص الذهبي'!F14="","",'التخصص الذهبي'!F14)</f>
        <v>37</v>
      </c>
      <c r="H235" s="9" t="n">
        <f aca="false">IF(F235="","",ROUND(F235*G235,2))</f>
        <v>1184</v>
      </c>
      <c r="I235" s="9" t="n">
        <f aca="false">IF(F235="","",ROUND(H235*IF(N('التخصص الذهبي'!G14)&gt;1,'التخصص الذهبي'!G14-1,0),2))</f>
        <v>177.6</v>
      </c>
      <c r="J235" s="9" t="n">
        <f aca="false">N('التخصص الذهبي'!H14)</f>
        <v>1361.6</v>
      </c>
      <c r="K235" s="9" t="n">
        <f aca="false">N('التخصص الذهبي'!I14)</f>
        <v>0</v>
      </c>
    </row>
    <row r="236" customFormat="false" ht="15" hidden="false" customHeight="false" outlineLevel="0" collapsed="false">
      <c r="A236" s="17" t="s">
        <v>52</v>
      </c>
      <c r="B236" s="11" t="n">
        <f aca="false">'التخصص الذهبي'!C15</f>
        <v>46316</v>
      </c>
      <c r="C236" s="17" t="str">
        <f aca="false">'التخصص الذهبي'!D15</f>
        <v>تفاح احمر</v>
      </c>
      <c r="D236" s="17" t="s">
        <v>93</v>
      </c>
      <c r="E236" s="7" t="s">
        <v>76</v>
      </c>
      <c r="F236" s="18" t="n">
        <f aca="false">IF('التخصص الذهبي'!E15="","",'التخصص الذهبي'!E15)</f>
        <v>30</v>
      </c>
      <c r="G236" s="19" t="n">
        <f aca="false">IF('التخصص الذهبي'!F15="","",'التخصص الذهبي'!F15)</f>
        <v>8</v>
      </c>
      <c r="H236" s="9" t="n">
        <f aca="false">IF(F236="","",ROUND(F236*G236,2))</f>
        <v>240</v>
      </c>
      <c r="I236" s="9" t="n">
        <f aca="false">IF(F236="","",ROUND(H236*IF(N('التخصص الذهبي'!G15)&gt;1,'التخصص الذهبي'!G15-1,0),2))</f>
        <v>36</v>
      </c>
      <c r="J236" s="9" t="n">
        <f aca="false">N('التخصص الذهبي'!H15)</f>
        <v>276</v>
      </c>
      <c r="K236" s="9" t="n">
        <f aca="false">N('التخصص الذهبي'!I15)</f>
        <v>0</v>
      </c>
    </row>
    <row r="237" customFormat="false" ht="15" hidden="false" customHeight="false" outlineLevel="0" collapsed="false">
      <c r="A237" s="17" t="s">
        <v>52</v>
      </c>
      <c r="B237" s="11" t="n">
        <f aca="false">'التخصص الذهبي'!C16</f>
        <v>46316</v>
      </c>
      <c r="C237" s="17" t="str">
        <f aca="false">'التخصص الذهبي'!D16</f>
        <v>تفاح اخضر</v>
      </c>
      <c r="D237" s="17" t="s">
        <v>95</v>
      </c>
      <c r="E237" s="7" t="s">
        <v>76</v>
      </c>
      <c r="F237" s="18" t="n">
        <f aca="false">IF('التخصص الذهبي'!E16="","",'التخصص الذهبي'!E16)</f>
        <v>5</v>
      </c>
      <c r="G237" s="19" t="n">
        <f aca="false">IF('التخصص الذهبي'!F16="","",'التخصص الذهبي'!F16)</f>
        <v>8</v>
      </c>
      <c r="H237" s="9" t="n">
        <f aca="false">IF(F237="","",ROUND(F237*G237,2))</f>
        <v>40</v>
      </c>
      <c r="I237" s="9" t="n">
        <f aca="false">IF(F237="","",ROUND(H237*IF(N('التخصص الذهبي'!G16)&gt;1,'التخصص الذهبي'!G16-1,0),2))</f>
        <v>6</v>
      </c>
      <c r="J237" s="9" t="n">
        <f aca="false">N('التخصص الذهبي'!H16)</f>
        <v>46</v>
      </c>
      <c r="K237" s="9" t="n">
        <f aca="false">N('التخصص الذهبي'!I16)</f>
        <v>0</v>
      </c>
    </row>
    <row r="238" customFormat="false" ht="15" hidden="false" customHeight="false" outlineLevel="0" collapsed="false">
      <c r="A238" s="17" t="s">
        <v>52</v>
      </c>
      <c r="B238" s="11" t="n">
        <f aca="false">'التخصص الذهبي'!C17</f>
        <v>46316</v>
      </c>
      <c r="C238" s="17" t="str">
        <f aca="false">'التخصص الذهبي'!D17</f>
        <v>رمان مصري</v>
      </c>
      <c r="D238" s="17" t="s">
        <v>87</v>
      </c>
      <c r="E238" s="7" t="s">
        <v>76</v>
      </c>
      <c r="F238" s="18" t="n">
        <f aca="false">IF('التخصص الذهبي'!E17="","",'التخصص الذهبي'!E17)</f>
        <v>37</v>
      </c>
      <c r="G238" s="19" t="n">
        <f aca="false">IF('التخصص الذهبي'!F17="","",'التخصص الذهبي'!F17)</f>
        <v>12</v>
      </c>
      <c r="H238" s="9" t="n">
        <f aca="false">IF(F238="","",ROUND(F238*G238,2))</f>
        <v>444</v>
      </c>
      <c r="I238" s="9" t="n">
        <f aca="false">IF(F238="","",ROUND(H238*IF(N('التخصص الذهبي'!G17)&gt;1,'التخصص الذهبي'!G17-1,0),2))</f>
        <v>66.6</v>
      </c>
      <c r="J238" s="9" t="n">
        <f aca="false">N('التخصص الذهبي'!H17)</f>
        <v>510.6</v>
      </c>
      <c r="K238" s="9" t="n">
        <f aca="false">N('التخصص الذهبي'!I17)</f>
        <v>0</v>
      </c>
    </row>
    <row r="239" customFormat="false" ht="15" hidden="false" customHeight="false" outlineLevel="0" collapsed="false">
      <c r="A239" s="17" t="s">
        <v>52</v>
      </c>
      <c r="B239" s="11" t="n">
        <f aca="false">'التخصص الذهبي'!C18</f>
        <v>46317</v>
      </c>
      <c r="C239" s="17" t="str">
        <f aca="false">'التخصص الذهبي'!D18</f>
        <v>سداد سند/0099</v>
      </c>
      <c r="D239" s="17"/>
      <c r="E239" s="7" t="s">
        <v>78</v>
      </c>
      <c r="F239" s="7" t="str">
        <f aca="false">IF('التخصص الذهبي'!E18="","",'التخصص الذهبي'!E18)</f>
        <v/>
      </c>
      <c r="G239" s="19" t="str">
        <f aca="false">IF('التخصص الذهبي'!F18="","",'التخصص الذهبي'!F18)</f>
        <v/>
      </c>
      <c r="H239" s="9" t="str">
        <f aca="false">IF(F239="","",ROUND(F239*G239,2))</f>
        <v/>
      </c>
      <c r="I239" s="9" t="str">
        <f aca="false">IF(F239="","",ROUND(H239*IF(N('التخصص الذهبي'!G18)&gt;1,'التخصص الذهبي'!G18-1,0),2))</f>
        <v/>
      </c>
      <c r="J239" s="9" t="n">
        <f aca="false">N('التخصص الذهبي'!H18)</f>
        <v>0</v>
      </c>
      <c r="K239" s="9" t="n">
        <f aca="false">N('التخصص الذهبي'!I18)</f>
        <v>1791</v>
      </c>
    </row>
    <row r="240" customFormat="false" ht="15" hidden="false" customHeight="false" outlineLevel="0" collapsed="false">
      <c r="A240" s="17" t="s">
        <v>52</v>
      </c>
      <c r="B240" s="11" t="n">
        <f aca="false">'التخصص الذهبي'!C19</f>
        <v>46317</v>
      </c>
      <c r="C240" s="17" t="str">
        <f aca="false">'التخصص الذهبي'!D19</f>
        <v>كيوي</v>
      </c>
      <c r="D240" s="17" t="s">
        <v>84</v>
      </c>
      <c r="E240" s="7" t="s">
        <v>76</v>
      </c>
      <c r="F240" s="18" t="n">
        <f aca="false">IF('التخصص الذهبي'!E19="","",'التخصص الذهبي'!E19)</f>
        <v>39</v>
      </c>
      <c r="G240" s="19" t="n">
        <f aca="false">IF('التخصص الذهبي'!F19="","",'التخصص الذهبي'!F19)</f>
        <v>35</v>
      </c>
      <c r="H240" s="9" t="n">
        <f aca="false">IF(F240="","",ROUND(F240*G240,2))</f>
        <v>1365</v>
      </c>
      <c r="I240" s="9" t="n">
        <f aca="false">IF(F240="","",ROUND(H240*IF(N('التخصص الذهبي'!G19)&gt;1,'التخصص الذهبي'!G19-1,0),2))</f>
        <v>204.75</v>
      </c>
      <c r="J240" s="9" t="n">
        <f aca="false">N('التخصص الذهبي'!H19)</f>
        <v>1569.75</v>
      </c>
      <c r="K240" s="9" t="n">
        <f aca="false">N('التخصص الذهبي'!I19)</f>
        <v>0</v>
      </c>
    </row>
    <row r="241" customFormat="false" ht="15" hidden="false" customHeight="false" outlineLevel="0" collapsed="false">
      <c r="A241" s="17" t="s">
        <v>52</v>
      </c>
      <c r="B241" s="11" t="n">
        <f aca="false">'التخصص الذهبي'!C20</f>
        <v>46317</v>
      </c>
      <c r="C241" s="17" t="str">
        <f aca="false">'التخصص الذهبي'!D20</f>
        <v>عنب تركي</v>
      </c>
      <c r="D241" s="17" t="s">
        <v>97</v>
      </c>
      <c r="E241" s="7" t="s">
        <v>76</v>
      </c>
      <c r="F241" s="18" t="n">
        <f aca="false">IF('التخصص الذهبي'!E20="","",'التخصص الذهبي'!E20)</f>
        <v>35</v>
      </c>
      <c r="G241" s="19" t="n">
        <f aca="false">IF('التخصص الذهبي'!F20="","",'التخصص الذهبي'!F20)</f>
        <v>67</v>
      </c>
      <c r="H241" s="9" t="n">
        <f aca="false">IF(F241="","",ROUND(F241*G241,2))</f>
        <v>2345</v>
      </c>
      <c r="I241" s="9" t="n">
        <f aca="false">IF(F241="","",ROUND(H241*IF(N('التخصص الذهبي'!G20)&gt;1,'التخصص الذهبي'!G20-1,0),2))</f>
        <v>351.75</v>
      </c>
      <c r="J241" s="9" t="n">
        <f aca="false">N('التخصص الذهبي'!H20)</f>
        <v>2696.75</v>
      </c>
      <c r="K241" s="9" t="n">
        <f aca="false">N('التخصص الذهبي'!I20)</f>
        <v>0</v>
      </c>
    </row>
    <row r="242" customFormat="false" ht="15" hidden="false" customHeight="false" outlineLevel="0" collapsed="false">
      <c r="A242" s="17" t="s">
        <v>52</v>
      </c>
      <c r="B242" s="11" t="n">
        <f aca="false">'التخصص الذهبي'!C21</f>
        <v>46318</v>
      </c>
      <c r="C242" s="17" t="str">
        <f aca="false">'التخصص الذهبي'!D21</f>
        <v>كيوي</v>
      </c>
      <c r="D242" s="17" t="s">
        <v>84</v>
      </c>
      <c r="E242" s="7" t="s">
        <v>76</v>
      </c>
      <c r="F242" s="18" t="n">
        <f aca="false">IF('التخصص الذهبي'!E21="","",'التخصص الذهبي'!E21)</f>
        <v>57</v>
      </c>
      <c r="G242" s="19" t="n">
        <f aca="false">IF('التخصص الذهبي'!F21="","",'التخصص الذهبي'!F21)</f>
        <v>35</v>
      </c>
      <c r="H242" s="9" t="n">
        <f aca="false">IF(F242="","",ROUND(F242*G242,2))</f>
        <v>1995</v>
      </c>
      <c r="I242" s="9" t="n">
        <f aca="false">IF(F242="","",ROUND(H242*IF(N('التخصص الذهبي'!G21)&gt;1,'التخصص الذهبي'!G21-1,0),2))</f>
        <v>299.25</v>
      </c>
      <c r="J242" s="9" t="n">
        <f aca="false">N('التخصص الذهبي'!H21)</f>
        <v>2294.25</v>
      </c>
      <c r="K242" s="9" t="n">
        <f aca="false">N('التخصص الذهبي'!I21)</f>
        <v>0</v>
      </c>
    </row>
    <row r="243" customFormat="false" ht="15" hidden="false" customHeight="false" outlineLevel="0" collapsed="false">
      <c r="A243" s="17" t="s">
        <v>52</v>
      </c>
      <c r="B243" s="11" t="n">
        <f aca="false">'التخصص الذهبي'!C22</f>
        <v>46318</v>
      </c>
      <c r="C243" s="17" t="str">
        <f aca="false">'التخصص الذهبي'!D22</f>
        <v>عنب تركي</v>
      </c>
      <c r="D243" s="17" t="s">
        <v>97</v>
      </c>
      <c r="E243" s="7" t="s">
        <v>76</v>
      </c>
      <c r="F243" s="18" t="n">
        <f aca="false">IF('التخصص الذهبي'!E22="","",'التخصص الذهبي'!E22)</f>
        <v>30</v>
      </c>
      <c r="G243" s="19" t="n">
        <f aca="false">IF('التخصص الذهبي'!F22="","",'التخصص الذهبي'!F22)</f>
        <v>66</v>
      </c>
      <c r="H243" s="9" t="n">
        <f aca="false">IF(F243="","",ROUND(F243*G243,2))</f>
        <v>1980</v>
      </c>
      <c r="I243" s="9" t="n">
        <f aca="false">IF(F243="","",ROUND(H243*IF(N('التخصص الذهبي'!G22)&gt;1,'التخصص الذهبي'!G22-1,0),2))</f>
        <v>297</v>
      </c>
      <c r="J243" s="9" t="n">
        <f aca="false">N('التخصص الذهبي'!H22)</f>
        <v>2277</v>
      </c>
      <c r="K243" s="9" t="n">
        <f aca="false">N('التخصص الذهبي'!I22)</f>
        <v>0</v>
      </c>
    </row>
    <row r="244" customFormat="false" ht="15" hidden="false" customHeight="false" outlineLevel="0" collapsed="false">
      <c r="A244" s="17" t="s">
        <v>52</v>
      </c>
      <c r="B244" s="11" t="n">
        <f aca="false">'التخصص الذهبي'!C23</f>
        <v>46318</v>
      </c>
      <c r="C244" s="17" t="str">
        <f aca="false">'التخصص الذهبي'!D23</f>
        <v>سداد سند/0069</v>
      </c>
      <c r="D244" s="17"/>
      <c r="E244" s="7" t="s">
        <v>78</v>
      </c>
      <c r="F244" s="7" t="str">
        <f aca="false">IF('التخصص الذهبي'!E23="","",'التخصص الذهبي'!E23)</f>
        <v/>
      </c>
      <c r="G244" s="19" t="str">
        <f aca="false">IF('التخصص الذهبي'!F23="","",'التخصص الذهبي'!F23)</f>
        <v/>
      </c>
      <c r="H244" s="9" t="str">
        <f aca="false">IF(F244="","",ROUND(F244*G244,2))</f>
        <v/>
      </c>
      <c r="I244" s="9" t="str">
        <f aca="false">IF(F244="","",ROUND(H244*IF(N('التخصص الذهبي'!G23)&gt;1,'التخصص الذهبي'!G23-1,0),2))</f>
        <v/>
      </c>
      <c r="J244" s="9" t="n">
        <f aca="false">N('التخصص الذهبي'!H23)</f>
        <v>0</v>
      </c>
      <c r="K244" s="9" t="n">
        <f aca="false">N('التخصص الذهبي'!I23)</f>
        <v>2194</v>
      </c>
    </row>
    <row r="245" customFormat="false" ht="15" hidden="false" customHeight="false" outlineLevel="0" collapsed="false">
      <c r="A245" s="17" t="s">
        <v>52</v>
      </c>
      <c r="B245" s="11" t="n">
        <f aca="false">'التخصص الذهبي'!C24</f>
        <v>46319</v>
      </c>
      <c r="C245" s="17" t="str">
        <f aca="false">'التخصص الذهبي'!D24</f>
        <v>سداد سند/0097</v>
      </c>
      <c r="D245" s="17"/>
      <c r="E245" s="7" t="s">
        <v>78</v>
      </c>
      <c r="F245" s="7" t="str">
        <f aca="false">IF('التخصص الذهبي'!E24="","",'التخصص الذهبي'!E24)</f>
        <v/>
      </c>
      <c r="G245" s="19" t="str">
        <f aca="false">IF('التخصص الذهبي'!F24="","",'التخصص الذهبي'!F24)</f>
        <v/>
      </c>
      <c r="H245" s="9" t="str">
        <f aca="false">IF(F245="","",ROUND(F245*G245,2))</f>
        <v/>
      </c>
      <c r="I245" s="9" t="str">
        <f aca="false">IF(F245="","",ROUND(H245*IF(N('التخصص الذهبي'!G24)&gt;1,'التخصص الذهبي'!G24-1,0),2))</f>
        <v/>
      </c>
      <c r="J245" s="9" t="n">
        <f aca="false">N('التخصص الذهبي'!H24)</f>
        <v>0</v>
      </c>
      <c r="K245" s="9" t="n">
        <f aca="false">N('التخصص الذهبي'!I24)</f>
        <v>4266.5</v>
      </c>
    </row>
    <row r="246" customFormat="false" ht="15" hidden="false" customHeight="false" outlineLevel="0" collapsed="false">
      <c r="A246" s="17" t="s">
        <v>52</v>
      </c>
      <c r="B246" s="11" t="n">
        <f aca="false">'التخصص الذهبي'!C25</f>
        <v>46319</v>
      </c>
      <c r="C246" s="17" t="str">
        <f aca="false">'التخصص الذهبي'!D25</f>
        <v>عنب تركي</v>
      </c>
      <c r="D246" s="17" t="s">
        <v>97</v>
      </c>
      <c r="E246" s="7" t="s">
        <v>76</v>
      </c>
      <c r="F246" s="18" t="n">
        <f aca="false">IF('التخصص الذهبي'!E25="","",'التخصص الذهبي'!E25)</f>
        <v>25</v>
      </c>
      <c r="G246" s="19" t="n">
        <f aca="false">IF('التخصص الذهبي'!F25="","",'التخصص الذهبي'!F25)</f>
        <v>63</v>
      </c>
      <c r="H246" s="9" t="n">
        <f aca="false">IF(F246="","",ROUND(F246*G246,2))</f>
        <v>1575</v>
      </c>
      <c r="I246" s="9" t="n">
        <f aca="false">IF(F246="","",ROUND(H246*IF(N('التخصص الذهبي'!G25)&gt;1,'التخصص الذهبي'!G25-1,0),2))</f>
        <v>236.25</v>
      </c>
      <c r="J246" s="9" t="n">
        <f aca="false">N('التخصص الذهبي'!H25)</f>
        <v>1811.25</v>
      </c>
      <c r="K246" s="9" t="n">
        <f aca="false">N('التخصص الذهبي'!I25)</f>
        <v>0</v>
      </c>
    </row>
    <row r="247" customFormat="false" ht="15" hidden="false" customHeight="false" outlineLevel="0" collapsed="false">
      <c r="A247" s="17" t="s">
        <v>52</v>
      </c>
      <c r="B247" s="11" t="n">
        <f aca="false">'التخصص الذهبي'!C26</f>
        <v>46319</v>
      </c>
      <c r="C247" s="17" t="str">
        <f aca="false">'التخصص الذهبي'!D26</f>
        <v>كيوي</v>
      </c>
      <c r="D247" s="17" t="s">
        <v>84</v>
      </c>
      <c r="E247" s="7" t="s">
        <v>76</v>
      </c>
      <c r="F247" s="18" t="n">
        <f aca="false">IF('التخصص الذهبي'!E26="","",'التخصص الذهبي'!E26)</f>
        <v>54</v>
      </c>
      <c r="G247" s="19" t="n">
        <f aca="false">IF('التخصص الذهبي'!F26="","",'التخصص الذهبي'!F26)</f>
        <v>34</v>
      </c>
      <c r="H247" s="9" t="n">
        <f aca="false">IF(F247="","",ROUND(F247*G247,2))</f>
        <v>1836</v>
      </c>
      <c r="I247" s="9" t="n">
        <f aca="false">IF(F247="","",ROUND(H247*IF(N('التخصص الذهبي'!G26)&gt;1,'التخصص الذهبي'!G26-1,0),2))</f>
        <v>275.4</v>
      </c>
      <c r="J247" s="9" t="n">
        <f aca="false">N('التخصص الذهبي'!H26)</f>
        <v>2111.4</v>
      </c>
      <c r="K247" s="9" t="n">
        <f aca="false">N('التخصص الذهبي'!I26)</f>
        <v>0</v>
      </c>
    </row>
    <row r="248" customFormat="false" ht="15" hidden="false" customHeight="false" outlineLevel="0" collapsed="false">
      <c r="A248" s="17" t="s">
        <v>52</v>
      </c>
      <c r="B248" s="11" t="n">
        <f aca="false">'التخصص الذهبي'!C27</f>
        <v>46320</v>
      </c>
      <c r="C248" s="17" t="str">
        <f aca="false">'التخصص الذهبي'!D27</f>
        <v>سداد سند/0095</v>
      </c>
      <c r="D248" s="17"/>
      <c r="E248" s="7" t="s">
        <v>78</v>
      </c>
      <c r="F248" s="7" t="str">
        <f aca="false">IF('التخصص الذهبي'!E27="","",'التخصص الذهبي'!E27)</f>
        <v/>
      </c>
      <c r="G248" s="19" t="str">
        <f aca="false">IF('التخصص الذهبي'!F27="","",'التخصص الذهبي'!F27)</f>
        <v/>
      </c>
      <c r="H248" s="9" t="str">
        <f aca="false">IF(F248="","",ROUND(F248*G248,2))</f>
        <v/>
      </c>
      <c r="I248" s="9" t="str">
        <f aca="false">IF(F248="","",ROUND(H248*IF(N('التخصص الذهبي'!G27)&gt;1,'التخصص الذهبي'!G27-1,0),2))</f>
        <v/>
      </c>
      <c r="J248" s="9" t="n">
        <f aca="false">N('التخصص الذهبي'!H27)</f>
        <v>0</v>
      </c>
      <c r="K248" s="9" t="n">
        <f aca="false">N('التخصص الذهبي'!I27)</f>
        <v>4570</v>
      </c>
    </row>
    <row r="249" customFormat="false" ht="15" hidden="false" customHeight="false" outlineLevel="0" collapsed="false">
      <c r="A249" s="17" t="s">
        <v>52</v>
      </c>
      <c r="B249" s="11" t="n">
        <f aca="false">'التخصص الذهبي'!C28</f>
        <v>46320</v>
      </c>
      <c r="C249" s="17" t="str">
        <f aca="false">'التخصص الذهبي'!D28</f>
        <v>افندي</v>
      </c>
      <c r="D249" s="17" t="s">
        <v>79</v>
      </c>
      <c r="E249" s="7" t="s">
        <v>76</v>
      </c>
      <c r="F249" s="18" t="n">
        <f aca="false">IF('التخصص الذهبي'!E28="","",'التخصص الذهبي'!E28)</f>
        <v>40</v>
      </c>
      <c r="G249" s="19" t="n">
        <f aca="false">IF('التخصص الذهبي'!F28="","",'التخصص الذهبي'!F28)</f>
        <v>58</v>
      </c>
      <c r="H249" s="9" t="n">
        <f aca="false">IF(F249="","",ROUND(F249*G249,2))</f>
        <v>2320</v>
      </c>
      <c r="I249" s="9" t="n">
        <f aca="false">IF(F249="","",ROUND(H249*IF(N('التخصص الذهبي'!G28)&gt;1,'التخصص الذهبي'!G28-1,0),2))</f>
        <v>348</v>
      </c>
      <c r="J249" s="9" t="n">
        <f aca="false">N('التخصص الذهبي'!H28)</f>
        <v>2668</v>
      </c>
      <c r="K249" s="9" t="n">
        <f aca="false">N('التخصص الذهبي'!I28)</f>
        <v>0</v>
      </c>
    </row>
    <row r="250" customFormat="false" ht="15" hidden="false" customHeight="false" outlineLevel="0" collapsed="false">
      <c r="A250" s="17" t="s">
        <v>52</v>
      </c>
      <c r="B250" s="11" t="n">
        <f aca="false">'التخصص الذهبي'!C29</f>
        <v>46320</v>
      </c>
      <c r="C250" s="17" t="str">
        <f aca="false">'التخصص الذهبي'!D29</f>
        <v>افندي تركي</v>
      </c>
      <c r="D250" s="17" t="s">
        <v>112</v>
      </c>
      <c r="E250" s="7" t="s">
        <v>76</v>
      </c>
      <c r="F250" s="18" t="n">
        <f aca="false">IF('التخصص الذهبي'!E29="","",'التخصص الذهبي'!E29)</f>
        <v>85</v>
      </c>
      <c r="G250" s="19" t="n">
        <f aca="false">IF('التخصص الذهبي'!F29="","",'التخصص الذهبي'!F29)</f>
        <v>14</v>
      </c>
      <c r="H250" s="9" t="n">
        <f aca="false">IF(F250="","",ROUND(F250*G250,2))</f>
        <v>1190</v>
      </c>
      <c r="I250" s="9" t="n">
        <f aca="false">IF(F250="","",ROUND(H250*IF(N('التخصص الذهبي'!G29)&gt;1,'التخصص الذهبي'!G29-1,0),2))</f>
        <v>178.5</v>
      </c>
      <c r="J250" s="9" t="n">
        <f aca="false">N('التخصص الذهبي'!H29)</f>
        <v>1368.5</v>
      </c>
      <c r="K250" s="9" t="n">
        <f aca="false">N('التخصص الذهبي'!I29)</f>
        <v>0</v>
      </c>
    </row>
    <row r="251" customFormat="false" ht="15" hidden="false" customHeight="false" outlineLevel="0" collapsed="false">
      <c r="A251" s="17" t="s">
        <v>52</v>
      </c>
      <c r="B251" s="11" t="n">
        <f aca="false">'التخصص الذهبي'!C30</f>
        <v>46320</v>
      </c>
      <c r="C251" s="17" t="str">
        <f aca="false">'التخصص الذهبي'!D30</f>
        <v>عنب تركي</v>
      </c>
      <c r="D251" s="17" t="s">
        <v>97</v>
      </c>
      <c r="E251" s="7" t="s">
        <v>76</v>
      </c>
      <c r="F251" s="18" t="n">
        <f aca="false">IF('التخصص الذهبي'!E30="","",'التخصص الذهبي'!E30)</f>
        <v>42</v>
      </c>
      <c r="G251" s="19" t="n">
        <f aca="false">IF('التخصص الذهبي'!F30="","",'التخصص الذهبي'!F30)</f>
        <v>61</v>
      </c>
      <c r="H251" s="9" t="n">
        <f aca="false">IF(F251="","",ROUND(F251*G251,2))</f>
        <v>2562</v>
      </c>
      <c r="I251" s="9" t="n">
        <f aca="false">IF(F251="","",ROUND(H251*IF(N('التخصص الذهبي'!G30)&gt;1,'التخصص الذهبي'!G30-1,0),2))</f>
        <v>384.3</v>
      </c>
      <c r="J251" s="9" t="n">
        <f aca="false">N('التخصص الذهبي'!H30)</f>
        <v>2946.3</v>
      </c>
      <c r="K251" s="9" t="n">
        <f aca="false">N('التخصص الذهبي'!I30)</f>
        <v>0</v>
      </c>
    </row>
    <row r="252" customFormat="false" ht="15" hidden="false" customHeight="false" outlineLevel="0" collapsed="false">
      <c r="A252" s="17" t="s">
        <v>52</v>
      </c>
      <c r="B252" s="11" t="n">
        <f aca="false">'التخصص الذهبي'!C31</f>
        <v>46320</v>
      </c>
      <c r="C252" s="17" t="str">
        <f aca="false">'التخصص الذهبي'!D31</f>
        <v>كيوي</v>
      </c>
      <c r="D252" s="17" t="s">
        <v>84</v>
      </c>
      <c r="E252" s="7" t="s">
        <v>76</v>
      </c>
      <c r="F252" s="18" t="n">
        <f aca="false">IF('التخصص الذهبي'!E31="","",'التخصص الذهبي'!E31)</f>
        <v>62</v>
      </c>
      <c r="G252" s="19" t="n">
        <f aca="false">IF('التخصص الذهبي'!F31="","",'التخصص الذهبي'!F31)</f>
        <v>33</v>
      </c>
      <c r="H252" s="9" t="n">
        <f aca="false">IF(F252="","",ROUND(F252*G252,2))</f>
        <v>2046</v>
      </c>
      <c r="I252" s="9" t="n">
        <f aca="false">IF(F252="","",ROUND(H252*IF(N('التخصص الذهبي'!G31)&gt;1,'التخصص الذهبي'!G31-1,0),2))</f>
        <v>306.9</v>
      </c>
      <c r="J252" s="9" t="n">
        <f aca="false">N('التخصص الذهبي'!H31)</f>
        <v>2352.9</v>
      </c>
      <c r="K252" s="9" t="n">
        <f aca="false">N('التخصص الذهبي'!I31)</f>
        <v>0</v>
      </c>
    </row>
    <row r="253" customFormat="false" ht="15" hidden="false" customHeight="false" outlineLevel="0" collapsed="false">
      <c r="A253" s="17" t="s">
        <v>52</v>
      </c>
      <c r="B253" s="11" t="n">
        <f aca="false">'التخصص الذهبي'!C32</f>
        <v>46321</v>
      </c>
      <c r="C253" s="17" t="str">
        <f aca="false">'التخصص الذهبي'!D32</f>
        <v>سداد سند/0094</v>
      </c>
      <c r="D253" s="17"/>
      <c r="E253" s="7" t="s">
        <v>78</v>
      </c>
      <c r="F253" s="7" t="str">
        <f aca="false">IF('التخصص الذهبي'!E32="","",'التخصص الذهبي'!E32)</f>
        <v/>
      </c>
      <c r="G253" s="19" t="str">
        <f aca="false">IF('التخصص الذهبي'!F32="","",'التخصص الذهبي'!F32)</f>
        <v/>
      </c>
      <c r="H253" s="9" t="str">
        <f aca="false">IF(F253="","",ROUND(F253*G253,2))</f>
        <v/>
      </c>
      <c r="I253" s="9" t="str">
        <f aca="false">IF(F253="","",ROUND(H253*IF(N('التخصص الذهبي'!G32)&gt;1,'التخصص الذهبي'!G32-1,0),2))</f>
        <v/>
      </c>
      <c r="J253" s="9" t="n">
        <f aca="false">N('التخصص الذهبي'!H32)</f>
        <v>0</v>
      </c>
      <c r="K253" s="9" t="n">
        <f aca="false">N('التخصص الذهبي'!I32)</f>
        <v>3922</v>
      </c>
    </row>
    <row r="254" customFormat="false" ht="15" hidden="false" customHeight="false" outlineLevel="0" collapsed="false">
      <c r="A254" s="17" t="s">
        <v>52</v>
      </c>
      <c r="B254" s="11" t="n">
        <f aca="false">'التخصص الذهبي'!C33</f>
        <v>46321</v>
      </c>
      <c r="C254" s="17" t="str">
        <f aca="false">'التخصص الذهبي'!D33</f>
        <v>عنب تركي</v>
      </c>
      <c r="D254" s="17" t="s">
        <v>97</v>
      </c>
      <c r="E254" s="7" t="s">
        <v>76</v>
      </c>
      <c r="F254" s="18" t="n">
        <f aca="false">IF('التخصص الذهبي'!E33="","",'التخصص الذهبي'!E33)</f>
        <v>40</v>
      </c>
      <c r="G254" s="19" t="n">
        <f aca="false">IF('التخصص الذهبي'!F33="","",'التخصص الذهبي'!F33)</f>
        <v>61</v>
      </c>
      <c r="H254" s="9" t="n">
        <f aca="false">IF(F254="","",ROUND(F254*G254,2))</f>
        <v>2440</v>
      </c>
      <c r="I254" s="9" t="n">
        <f aca="false">IF(F254="","",ROUND(H254*IF(N('التخصص الذهبي'!G33)&gt;1,'التخصص الذهبي'!G33-1,0),2))</f>
        <v>366</v>
      </c>
      <c r="J254" s="9" t="n">
        <f aca="false">N('التخصص الذهبي'!H33)</f>
        <v>2806</v>
      </c>
      <c r="K254" s="9" t="n">
        <f aca="false">N('التخصص الذهبي'!I33)</f>
        <v>0</v>
      </c>
    </row>
    <row r="255" customFormat="false" ht="15" hidden="false" customHeight="false" outlineLevel="0" collapsed="false">
      <c r="A255" s="17" t="s">
        <v>52</v>
      </c>
      <c r="B255" s="11" t="n">
        <f aca="false">'التخصص الذهبي'!C34</f>
        <v>46321</v>
      </c>
      <c r="C255" s="17" t="str">
        <f aca="false">'التخصص الذهبي'!D34</f>
        <v>افندي تركي</v>
      </c>
      <c r="D255" s="17" t="s">
        <v>112</v>
      </c>
      <c r="E255" s="7" t="s">
        <v>76</v>
      </c>
      <c r="F255" s="18" t="n">
        <f aca="false">IF('التخصص الذهبي'!E34="","",'التخصص الذهبي'!E34)</f>
        <v>35</v>
      </c>
      <c r="G255" s="19" t="n">
        <f aca="false">IF('التخصص الذهبي'!F34="","",'التخصص الذهبي'!F34)</f>
        <v>13</v>
      </c>
      <c r="H255" s="9" t="n">
        <f aca="false">IF(F255="","",ROUND(F255*G255,2))</f>
        <v>455</v>
      </c>
      <c r="I255" s="9" t="n">
        <f aca="false">IF(F255="","",ROUND(H255*IF(N('التخصص الذهبي'!G34)&gt;1,'التخصص الذهبي'!G34-1,0),2))</f>
        <v>68.25</v>
      </c>
      <c r="J255" s="9" t="n">
        <f aca="false">N('التخصص الذهبي'!H34)</f>
        <v>523.25</v>
      </c>
      <c r="K255" s="9" t="n">
        <f aca="false">N('التخصص الذهبي'!I34)</f>
        <v>0</v>
      </c>
    </row>
    <row r="256" customFormat="false" ht="15" hidden="false" customHeight="false" outlineLevel="0" collapsed="false">
      <c r="A256" s="17" t="s">
        <v>52</v>
      </c>
      <c r="B256" s="11" t="n">
        <f aca="false">'التخصص الذهبي'!C35</f>
        <v>46322</v>
      </c>
      <c r="C256" s="17" t="str">
        <f aca="false">'التخصص الذهبي'!D35</f>
        <v>سداد سند/0093</v>
      </c>
      <c r="D256" s="17"/>
      <c r="E256" s="7" t="s">
        <v>78</v>
      </c>
      <c r="F256" s="7" t="str">
        <f aca="false">IF('التخصص الذهبي'!E35="","",'التخصص الذهبي'!E35)</f>
        <v/>
      </c>
      <c r="G256" s="19" t="str">
        <f aca="false">IF('التخصص الذهبي'!F35="","",'التخصص الذهبي'!F35)</f>
        <v/>
      </c>
      <c r="H256" s="9" t="str">
        <f aca="false">IF(F256="","",ROUND(F256*G256,2))</f>
        <v/>
      </c>
      <c r="I256" s="9" t="str">
        <f aca="false">IF(F256="","",ROUND(H256*IF(N('التخصص الذهبي'!G35)&gt;1,'التخصص الذهبي'!G35-1,0),2))</f>
        <v/>
      </c>
      <c r="J256" s="9" t="n">
        <f aca="false">N('التخصص الذهبي'!H35)</f>
        <v>0</v>
      </c>
      <c r="K256" s="9" t="n">
        <f aca="false">N('التخصص الذهبي'!I35)</f>
        <v>9335</v>
      </c>
    </row>
    <row r="257" customFormat="false" ht="15" hidden="false" customHeight="false" outlineLevel="0" collapsed="false">
      <c r="A257" s="17" t="s">
        <v>52</v>
      </c>
      <c r="B257" s="11" t="n">
        <f aca="false">'التخصص الذهبي'!C36</f>
        <v>46322</v>
      </c>
      <c r="C257" s="17" t="str">
        <f aca="false">'التخصص الذهبي'!D36</f>
        <v>كيوي</v>
      </c>
      <c r="D257" s="17" t="s">
        <v>84</v>
      </c>
      <c r="E257" s="7" t="s">
        <v>76</v>
      </c>
      <c r="F257" s="18" t="n">
        <f aca="false">IF('التخصص الذهبي'!E36="","",'التخصص الذهبي'!E36)</f>
        <v>52</v>
      </c>
      <c r="G257" s="19" t="n">
        <f aca="false">IF('التخصص الذهبي'!F36="","",'التخصص الذهبي'!F36)</f>
        <v>35</v>
      </c>
      <c r="H257" s="9" t="n">
        <f aca="false">IF(F257="","",ROUND(F257*G257,2))</f>
        <v>1820</v>
      </c>
      <c r="I257" s="9" t="n">
        <f aca="false">IF(F257="","",ROUND(H257*IF(N('التخصص الذهبي'!G36)&gt;1,'التخصص الذهبي'!G36-1,0),2))</f>
        <v>273</v>
      </c>
      <c r="J257" s="9" t="n">
        <f aca="false">N('التخصص الذهبي'!H36)</f>
        <v>2093</v>
      </c>
      <c r="K257" s="9" t="n">
        <f aca="false">N('التخصص الذهبي'!I36)</f>
        <v>0</v>
      </c>
    </row>
    <row r="258" customFormat="false" ht="15" hidden="false" customHeight="false" outlineLevel="0" collapsed="false">
      <c r="A258" s="17" t="s">
        <v>52</v>
      </c>
      <c r="B258" s="11" t="n">
        <f aca="false">'التخصص الذهبي'!C37</f>
        <v>46323</v>
      </c>
      <c r="C258" s="17" t="str">
        <f aca="false">'التخصص الذهبي'!D37</f>
        <v>سداد سند/0092</v>
      </c>
      <c r="D258" s="17"/>
      <c r="E258" s="7" t="s">
        <v>78</v>
      </c>
      <c r="F258" s="7" t="str">
        <f aca="false">IF('التخصص الذهبي'!E37="","",'التخصص الذهبي'!E37)</f>
        <v/>
      </c>
      <c r="G258" s="19" t="str">
        <f aca="false">IF('التخصص الذهبي'!F37="","",'التخصص الذهبي'!F37)</f>
        <v/>
      </c>
      <c r="H258" s="9" t="str">
        <f aca="false">IF(F258="","",ROUND(F258*G258,2))</f>
        <v/>
      </c>
      <c r="I258" s="9" t="str">
        <f aca="false">IF(F258="","",ROUND(H258*IF(N('التخصص الذهبي'!G37)&gt;1,'التخصص الذهبي'!G37-1,0),2))</f>
        <v/>
      </c>
      <c r="J258" s="9" t="n">
        <f aca="false">N('التخصص الذهبي'!H37)</f>
        <v>0</v>
      </c>
      <c r="K258" s="9" t="n">
        <f aca="false">N('التخصص الذهبي'!I37)</f>
        <v>3329</v>
      </c>
    </row>
    <row r="259" customFormat="false" ht="15" hidden="false" customHeight="false" outlineLevel="0" collapsed="false">
      <c r="A259" s="17" t="s">
        <v>52</v>
      </c>
      <c r="B259" s="11" t="n">
        <f aca="false">'التخصص الذهبي'!C38</f>
        <v>46323</v>
      </c>
      <c r="C259" s="17" t="str">
        <f aca="false">'التخصص الذهبي'!D38</f>
        <v>تفاح احمر</v>
      </c>
      <c r="D259" s="17" t="s">
        <v>93</v>
      </c>
      <c r="E259" s="7" t="s">
        <v>76</v>
      </c>
      <c r="F259" s="18" t="n">
        <f aca="false">IF('التخصص الذهبي'!E38="","",'التخصص الذهبي'!E38)</f>
        <v>32</v>
      </c>
      <c r="G259" s="19" t="n">
        <f aca="false">IF('التخصص الذهبي'!F38="","",'التخصص الذهبي'!F38)</f>
        <v>43</v>
      </c>
      <c r="H259" s="9" t="n">
        <f aca="false">IF(F259="","",ROUND(F259*G259,2))</f>
        <v>1376</v>
      </c>
      <c r="I259" s="9" t="n">
        <f aca="false">IF(F259="","",ROUND(H259*IF(N('التخصص الذهبي'!G38)&gt;1,'التخصص الذهبي'!G38-1,0),2))</f>
        <v>206.4</v>
      </c>
      <c r="J259" s="9" t="n">
        <f aca="false">N('التخصص الذهبي'!H38)</f>
        <v>1582.4</v>
      </c>
      <c r="K259" s="9" t="n">
        <f aca="false">N('التخصص الذهبي'!I38)</f>
        <v>0</v>
      </c>
    </row>
    <row r="260" customFormat="false" ht="15" hidden="false" customHeight="false" outlineLevel="0" collapsed="false">
      <c r="A260" s="17" t="s">
        <v>52</v>
      </c>
      <c r="B260" s="11" t="n">
        <f aca="false">'التخصص الذهبي'!C39</f>
        <v>46323</v>
      </c>
      <c r="C260" s="17" t="str">
        <f aca="false">'التخصص الذهبي'!D39</f>
        <v>تفاح اخضر</v>
      </c>
      <c r="D260" s="17" t="s">
        <v>95</v>
      </c>
      <c r="E260" s="7" t="s">
        <v>76</v>
      </c>
      <c r="F260" s="18" t="n">
        <f aca="false">IF('التخصص الذهبي'!E39="","",'التخصص الذهبي'!E39)</f>
        <v>25</v>
      </c>
      <c r="G260" s="19" t="n">
        <f aca="false">IF('التخصص الذهبي'!F39="","",'التخصص الذهبي'!F39)</f>
        <v>30</v>
      </c>
      <c r="H260" s="9" t="n">
        <f aca="false">IF(F260="","",ROUND(F260*G260,2))</f>
        <v>750</v>
      </c>
      <c r="I260" s="9" t="n">
        <f aca="false">IF(F260="","",ROUND(H260*IF(N('التخصص الذهبي'!G39)&gt;1,'التخصص الذهبي'!G39-1,0),2))</f>
        <v>112.5</v>
      </c>
      <c r="J260" s="9" t="n">
        <f aca="false">N('التخصص الذهبي'!H39)</f>
        <v>862.5</v>
      </c>
      <c r="K260" s="9" t="n">
        <f aca="false">N('التخصص الذهبي'!I39)</f>
        <v>0</v>
      </c>
    </row>
    <row r="261" customFormat="false" ht="15" hidden="false" customHeight="false" outlineLevel="0" collapsed="false">
      <c r="A261" s="17" t="s">
        <v>52</v>
      </c>
      <c r="B261" s="11" t="n">
        <f aca="false">'التخصص الذهبي'!C40</f>
        <v>46323</v>
      </c>
      <c r="C261" s="17" t="str">
        <f aca="false">'التخصص الذهبي'!D40</f>
        <v>كيوي</v>
      </c>
      <c r="D261" s="17" t="s">
        <v>84</v>
      </c>
      <c r="E261" s="7" t="s">
        <v>76</v>
      </c>
      <c r="F261" s="18" t="n">
        <f aca="false">IF('التخصص الذهبي'!E40="","",'التخصص الذهبي'!E40)</f>
        <v>52</v>
      </c>
      <c r="G261" s="19" t="n">
        <f aca="false">IF('التخصص الذهبي'!F40="","",'التخصص الذهبي'!F40)</f>
        <v>35</v>
      </c>
      <c r="H261" s="9" t="n">
        <f aca="false">IF(F261="","",ROUND(F261*G261,2))</f>
        <v>1820</v>
      </c>
      <c r="I261" s="9" t="n">
        <f aca="false">IF(F261="","",ROUND(H261*IF(N('التخصص الذهبي'!G40)&gt;1,'التخصص الذهبي'!G40-1,0),2))</f>
        <v>273</v>
      </c>
      <c r="J261" s="9" t="n">
        <f aca="false">N('التخصص الذهبي'!H40)</f>
        <v>2093</v>
      </c>
      <c r="K261" s="9" t="n">
        <f aca="false">N('التخصص الذهبي'!I40)</f>
        <v>0</v>
      </c>
    </row>
    <row r="262" customFormat="false" ht="15" hidden="false" customHeight="false" outlineLevel="0" collapsed="false">
      <c r="A262" s="17" t="s">
        <v>52</v>
      </c>
      <c r="B262" s="11" t="n">
        <f aca="false">'التخصص الذهبي'!C41</f>
        <v>46323</v>
      </c>
      <c r="C262" s="17" t="str">
        <f aca="false">'التخصص الذهبي'!D41</f>
        <v>جريب فروت</v>
      </c>
      <c r="D262" s="17" t="s">
        <v>113</v>
      </c>
      <c r="E262" s="7" t="s">
        <v>76</v>
      </c>
      <c r="F262" s="18" t="n">
        <f aca="false">IF('التخصص الذهبي'!E41="","",'التخصص الذهبي'!E41)</f>
        <v>5</v>
      </c>
      <c r="G262" s="19" t="n">
        <f aca="false">IF('التخصص الذهبي'!F41="","",'التخصص الذهبي'!F41)</f>
        <v>64</v>
      </c>
      <c r="H262" s="9" t="n">
        <f aca="false">IF(F262="","",ROUND(F262*G262,2))</f>
        <v>320</v>
      </c>
      <c r="I262" s="9" t="n">
        <f aca="false">IF(F262="","",ROUND(H262*IF(N('التخصص الذهبي'!G41)&gt;1,'التخصص الذهبي'!G41-1,0),2))</f>
        <v>48</v>
      </c>
      <c r="J262" s="9" t="n">
        <f aca="false">N('التخصص الذهبي'!H41)</f>
        <v>368</v>
      </c>
      <c r="K262" s="9" t="n">
        <f aca="false">N('التخصص الذهبي'!I41)</f>
        <v>0</v>
      </c>
    </row>
    <row r="263" customFormat="false" ht="15" hidden="false" customHeight="false" outlineLevel="0" collapsed="false">
      <c r="A263" s="17" t="s">
        <v>52</v>
      </c>
      <c r="B263" s="11" t="n">
        <f aca="false">'التخصص الذهبي'!C42</f>
        <v>46324</v>
      </c>
      <c r="C263" s="17" t="str">
        <f aca="false">'التخصص الذهبي'!D42</f>
        <v>سداد سند/0091</v>
      </c>
      <c r="D263" s="17"/>
      <c r="E263" s="7" t="s">
        <v>78</v>
      </c>
      <c r="F263" s="7" t="str">
        <f aca="false">IF('التخصص الذهبي'!E42="","",'التخصص الذهبي'!E42)</f>
        <v/>
      </c>
      <c r="G263" s="19" t="str">
        <f aca="false">IF('التخصص الذهبي'!F42="","",'التخصص الذهبي'!F42)</f>
        <v/>
      </c>
      <c r="H263" s="9" t="str">
        <f aca="false">IF(F263="","",ROUND(F263*G263,2))</f>
        <v/>
      </c>
      <c r="I263" s="9" t="str">
        <f aca="false">IF(F263="","",ROUND(H263*IF(N('التخصص الذهبي'!G42)&gt;1,'التخصص الذهبي'!G42-1,0),2))</f>
        <v/>
      </c>
      <c r="J263" s="9" t="n">
        <f aca="false">N('التخصص الذهبي'!H42)</f>
        <v>0</v>
      </c>
      <c r="K263" s="9" t="n">
        <f aca="false">N('التخصص الذهبي'!I42)</f>
        <v>2090</v>
      </c>
    </row>
    <row r="264" customFormat="false" ht="15" hidden="false" customHeight="false" outlineLevel="0" collapsed="false">
      <c r="A264" s="17" t="s">
        <v>52</v>
      </c>
      <c r="B264" s="11" t="n">
        <f aca="false">'التخصص الذهبي'!C43</f>
        <v>46324</v>
      </c>
      <c r="C264" s="17" t="str">
        <f aca="false">'التخصص الذهبي'!D43</f>
        <v>تم خصم 3 ريال</v>
      </c>
      <c r="D264" s="17"/>
      <c r="E264" s="7" t="s">
        <v>96</v>
      </c>
      <c r="F264" s="7" t="str">
        <f aca="false">IF('التخصص الذهبي'!E43="","",'التخصص الذهبي'!E43)</f>
        <v/>
      </c>
      <c r="G264" s="19" t="str">
        <f aca="false">IF('التخصص الذهبي'!F43="","",'التخصص الذهبي'!F43)</f>
        <v/>
      </c>
      <c r="H264" s="9" t="str">
        <f aca="false">IF(F264="","",ROUND(F264*G264,2))</f>
        <v/>
      </c>
      <c r="I264" s="9" t="str">
        <f aca="false">IF(F264="","",ROUND(H264*IF(N('التخصص الذهبي'!G43)&gt;1,'التخصص الذهبي'!G43-1,0),2))</f>
        <v/>
      </c>
      <c r="J264" s="9" t="n">
        <f aca="false">N('التخصص الذهبي'!H43)</f>
        <v>0</v>
      </c>
      <c r="K264" s="9" t="n">
        <f aca="false">N('التخصص الذهبي'!I43)</f>
        <v>3</v>
      </c>
    </row>
    <row r="265" customFormat="false" ht="15" hidden="false" customHeight="false" outlineLevel="0" collapsed="false">
      <c r="A265" s="17" t="s">
        <v>52</v>
      </c>
      <c r="B265" s="11" t="n">
        <f aca="false">'التخصص الذهبي'!C44</f>
        <v>46324</v>
      </c>
      <c r="C265" s="17" t="str">
        <f aca="false">'التخصص الذهبي'!D44</f>
        <v>تفاح احمر</v>
      </c>
      <c r="D265" s="17" t="s">
        <v>93</v>
      </c>
      <c r="E265" s="7" t="s">
        <v>76</v>
      </c>
      <c r="F265" s="18" t="n">
        <f aca="false">IF('التخصص الذهبي'!E44="","",'التخصص الذهبي'!E44)</f>
        <v>42</v>
      </c>
      <c r="G265" s="19" t="n">
        <f aca="false">IF('التخصص الذهبي'!F44="","",'التخصص الذهبي'!F44)</f>
        <v>43</v>
      </c>
      <c r="H265" s="9" t="n">
        <f aca="false">IF(F265="","",ROUND(F265*G265,2))</f>
        <v>1806</v>
      </c>
      <c r="I265" s="9" t="n">
        <f aca="false">IF(F265="","",ROUND(H265*IF(N('التخصص الذهبي'!G44)&gt;1,'التخصص الذهبي'!G44-1,0),2))</f>
        <v>270.9</v>
      </c>
      <c r="J265" s="9" t="n">
        <f aca="false">N('التخصص الذهبي'!H44)</f>
        <v>2076.9</v>
      </c>
      <c r="K265" s="9" t="n">
        <f aca="false">N('التخصص الذهبي'!I44)</f>
        <v>0</v>
      </c>
    </row>
    <row r="266" customFormat="false" ht="15" hidden="false" customHeight="false" outlineLevel="0" collapsed="false">
      <c r="A266" s="17" t="s">
        <v>52</v>
      </c>
      <c r="B266" s="11" t="n">
        <f aca="false">'التخصص الذهبي'!C45</f>
        <v>46324</v>
      </c>
      <c r="C266" s="17" t="str">
        <f aca="false">'التخصص الذهبي'!D45</f>
        <v>تفاح اخضر</v>
      </c>
      <c r="D266" s="17" t="s">
        <v>95</v>
      </c>
      <c r="E266" s="7" t="s">
        <v>76</v>
      </c>
      <c r="F266" s="18" t="n">
        <f aca="false">IF('التخصص الذهبي'!E45="","",'التخصص الذهبي'!E45)</f>
        <v>34</v>
      </c>
      <c r="G266" s="19" t="n">
        <f aca="false">IF('التخصص الذهبي'!F45="","",'التخصص الذهبي'!F45)</f>
        <v>31</v>
      </c>
      <c r="H266" s="9" t="n">
        <f aca="false">IF(F266="","",ROUND(F266*G266,2))</f>
        <v>1054</v>
      </c>
      <c r="I266" s="9" t="n">
        <f aca="false">IF(F266="","",ROUND(H266*IF(N('التخصص الذهبي'!G45)&gt;1,'التخصص الذهبي'!G45-1,0),2))</f>
        <v>158.1</v>
      </c>
      <c r="J266" s="9" t="n">
        <f aca="false">N('التخصص الذهبي'!H45)</f>
        <v>1212.1</v>
      </c>
      <c r="K266" s="9" t="n">
        <f aca="false">N('التخصص الذهبي'!I45)</f>
        <v>0</v>
      </c>
    </row>
    <row r="267" customFormat="false" ht="15" hidden="false" customHeight="false" outlineLevel="0" collapsed="false">
      <c r="A267" s="17" t="s">
        <v>52</v>
      </c>
      <c r="B267" s="11" t="n">
        <f aca="false">'التخصص الذهبي'!C46</f>
        <v>46324</v>
      </c>
      <c r="C267" s="17" t="str">
        <f aca="false">'التخصص الذهبي'!D46</f>
        <v>كيوي</v>
      </c>
      <c r="D267" s="17" t="s">
        <v>84</v>
      </c>
      <c r="E267" s="7" t="s">
        <v>76</v>
      </c>
      <c r="F267" s="18" t="n">
        <f aca="false">IF('التخصص الذهبي'!E46="","",'التخصص الذهبي'!E46)</f>
        <v>69</v>
      </c>
      <c r="G267" s="19" t="n">
        <f aca="false">IF('التخصص الذهبي'!F46="","",'التخصص الذهبي'!F46)</f>
        <v>34</v>
      </c>
      <c r="H267" s="9" t="n">
        <f aca="false">IF(F267="","",ROUND(F267*G267,2))</f>
        <v>2346</v>
      </c>
      <c r="I267" s="9" t="n">
        <f aca="false">IF(F267="","",ROUND(H267*IF(N('التخصص الذهبي'!G46)&gt;1,'التخصص الذهبي'!G46-1,0),2))</f>
        <v>351.9</v>
      </c>
      <c r="J267" s="9" t="n">
        <f aca="false">N('التخصص الذهبي'!H46)</f>
        <v>2697.9</v>
      </c>
      <c r="K267" s="9" t="n">
        <f aca="false">N('التخصص الذهبي'!I46)</f>
        <v>0</v>
      </c>
    </row>
    <row r="268" customFormat="false" ht="15" hidden="false" customHeight="false" outlineLevel="0" collapsed="false">
      <c r="A268" s="17" t="s">
        <v>52</v>
      </c>
      <c r="B268" s="11" t="n">
        <f aca="false">'التخصص الذهبي'!C47</f>
        <v>46324</v>
      </c>
      <c r="C268" s="17" t="str">
        <f aca="false">'التخصص الذهبي'!D47</f>
        <v>عنب تركي</v>
      </c>
      <c r="D268" s="17" t="s">
        <v>97</v>
      </c>
      <c r="E268" s="7" t="s">
        <v>76</v>
      </c>
      <c r="F268" s="18" t="n">
        <f aca="false">IF('التخصص الذهبي'!E47="","",'التخصص الذهبي'!E47)</f>
        <v>60</v>
      </c>
      <c r="G268" s="19" t="n">
        <f aca="false">IF('التخصص الذهبي'!F47="","",'التخصص الذهبي'!F47)</f>
        <v>53</v>
      </c>
      <c r="H268" s="9" t="n">
        <f aca="false">IF(F268="","",ROUND(F268*G268,2))</f>
        <v>3180</v>
      </c>
      <c r="I268" s="9" t="n">
        <f aca="false">IF(F268="","",ROUND(H268*IF(N('التخصص الذهبي'!G47)&gt;1,'التخصص الذهبي'!G47-1,0),2))</f>
        <v>477</v>
      </c>
      <c r="J268" s="9" t="n">
        <f aca="false">N('التخصص الذهبي'!H47)</f>
        <v>3657</v>
      </c>
      <c r="K268" s="9" t="n">
        <f aca="false">N('التخصص الذهبي'!I47)</f>
        <v>0</v>
      </c>
    </row>
    <row r="269" customFormat="false" ht="15" hidden="false" customHeight="false" outlineLevel="0" collapsed="false">
      <c r="A269" s="17" t="s">
        <v>52</v>
      </c>
      <c r="B269" s="11" t="n">
        <f aca="false">'التخصص الذهبي'!C48</f>
        <v>46325</v>
      </c>
      <c r="C269" s="17" t="str">
        <f aca="false">'التخصص الذهبي'!D48</f>
        <v>سداد سند/0250</v>
      </c>
      <c r="D269" s="17"/>
      <c r="E269" s="7" t="s">
        <v>78</v>
      </c>
      <c r="F269" s="7" t="str">
        <f aca="false">IF('التخصص الذهبي'!E48="","",'التخصص الذهبي'!E48)</f>
        <v/>
      </c>
      <c r="G269" s="19" t="str">
        <f aca="false">IF('التخصص الذهبي'!F48="","",'التخصص الذهبي'!F48)</f>
        <v/>
      </c>
      <c r="H269" s="9" t="str">
        <f aca="false">IF(F269="","",ROUND(F269*G269,2))</f>
        <v/>
      </c>
      <c r="I269" s="9" t="str">
        <f aca="false">IF(F269="","",ROUND(H269*IF(N('التخصص الذهبي'!G48)&gt;1,'التخصص الذهبي'!G48-1,0),2))</f>
        <v/>
      </c>
      <c r="J269" s="9" t="n">
        <f aca="false">N('التخصص الذهبي'!H48)</f>
        <v>0</v>
      </c>
      <c r="K269" s="9" t="n">
        <f aca="false">N('التخصص الذهبي'!I48)</f>
        <v>4905</v>
      </c>
    </row>
    <row r="270" customFormat="false" ht="15" hidden="false" customHeight="false" outlineLevel="0" collapsed="false">
      <c r="A270" s="17" t="s">
        <v>52</v>
      </c>
      <c r="B270" s="11" t="n">
        <f aca="false">'التخصص الذهبي'!C49</f>
        <v>46325</v>
      </c>
      <c r="C270" s="17" t="str">
        <f aca="false">'التخصص الذهبي'!D49</f>
        <v>كيوي</v>
      </c>
      <c r="D270" s="17" t="s">
        <v>84</v>
      </c>
      <c r="E270" s="7" t="s">
        <v>76</v>
      </c>
      <c r="F270" s="18" t="n">
        <f aca="false">IF('التخصص الذهبي'!E49="","",'التخصص الذهبي'!E49)</f>
        <v>63</v>
      </c>
      <c r="G270" s="19" t="n">
        <f aca="false">IF('التخصص الذهبي'!F49="","",'التخصص الذهبي'!F49)</f>
        <v>34</v>
      </c>
      <c r="H270" s="9" t="n">
        <f aca="false">IF(F270="","",ROUND(F270*G270,2))</f>
        <v>2142</v>
      </c>
      <c r="I270" s="9" t="n">
        <f aca="false">IF(F270="","",ROUND(H270*IF(N('التخصص الذهبي'!G49)&gt;1,'التخصص الذهبي'!G49-1,0),2))</f>
        <v>321.3</v>
      </c>
      <c r="J270" s="9" t="n">
        <f aca="false">N('التخصص الذهبي'!H49)</f>
        <v>2463.3</v>
      </c>
      <c r="K270" s="9" t="n">
        <f aca="false">N('التخصص الذهبي'!I49)</f>
        <v>0</v>
      </c>
    </row>
    <row r="271" customFormat="false" ht="15" hidden="false" customHeight="false" outlineLevel="0" collapsed="false">
      <c r="A271" s="17" t="s">
        <v>52</v>
      </c>
      <c r="B271" s="11" t="n">
        <f aca="false">'التخصص الذهبي'!C50</f>
        <v>46325</v>
      </c>
      <c r="C271" s="17" t="str">
        <f aca="false">'التخصص الذهبي'!D50</f>
        <v>جريب فروت</v>
      </c>
      <c r="D271" s="17" t="s">
        <v>113</v>
      </c>
      <c r="E271" s="7" t="s">
        <v>76</v>
      </c>
      <c r="F271" s="18" t="n">
        <f aca="false">IF('التخصص الذهبي'!E50="","",'التخصص الذهبي'!E50)</f>
        <v>9</v>
      </c>
      <c r="G271" s="19" t="n">
        <f aca="false">IF('التخصص الذهبي'!F50="","",'التخصص الذهبي'!F50)</f>
        <v>61</v>
      </c>
      <c r="H271" s="9" t="n">
        <f aca="false">IF(F271="","",ROUND(F271*G271,2))</f>
        <v>549</v>
      </c>
      <c r="I271" s="9" t="n">
        <f aca="false">IF(F271="","",ROUND(H271*IF(N('التخصص الذهبي'!G50)&gt;1,'التخصص الذهبي'!G50-1,0),2))</f>
        <v>82.35</v>
      </c>
      <c r="J271" s="9" t="n">
        <f aca="false">N('التخصص الذهبي'!H50)</f>
        <v>631.35</v>
      </c>
      <c r="K271" s="9" t="n">
        <f aca="false">N('التخصص الذهبي'!I50)</f>
        <v>0</v>
      </c>
    </row>
    <row r="272" customFormat="false" ht="15" hidden="false" customHeight="false" outlineLevel="0" collapsed="false">
      <c r="A272" s="17" t="s">
        <v>53</v>
      </c>
      <c r="B272" s="11" t="n">
        <f aca="false">'عبدالرحمن قدري'!C7</f>
        <v>46323</v>
      </c>
      <c r="C272" s="17" t="str">
        <f aca="false">'عبدالرحمن قدري'!D7</f>
        <v>افندي</v>
      </c>
      <c r="D272" s="17" t="s">
        <v>79</v>
      </c>
      <c r="E272" s="7" t="s">
        <v>76</v>
      </c>
      <c r="F272" s="18" t="n">
        <f aca="false">IF('عبدالرحمن قدري'!E7="","",'عبدالرحمن قدري'!E7)</f>
        <v>91</v>
      </c>
      <c r="G272" s="19" t="n">
        <f aca="false">IF('عبدالرحمن قدري'!F7="","",'عبدالرحمن قدري'!F7)</f>
        <v>86</v>
      </c>
      <c r="H272" s="9" t="n">
        <f aca="false">IF(F272="","",ROUND(F272*G272,2))</f>
        <v>7826</v>
      </c>
      <c r="I272" s="9" t="n">
        <f aca="false">IF(F272="","",ROUND(H272*IF(N('عبدالرحمن قدري'!G7)&gt;1,'عبدالرحمن قدري'!G7-1,0),2))</f>
        <v>0</v>
      </c>
      <c r="J272" s="9" t="n">
        <f aca="false">N('عبدالرحمن قدري'!H7)</f>
        <v>7826</v>
      </c>
      <c r="K272" s="9" t="n">
        <f aca="false">N('عبدالرحمن قدري'!I7)</f>
        <v>0</v>
      </c>
    </row>
    <row r="273" customFormat="false" ht="15" hidden="false" customHeight="false" outlineLevel="0" collapsed="false">
      <c r="A273" s="17" t="s">
        <v>53</v>
      </c>
      <c r="B273" s="11" t="n">
        <f aca="false">'عبدالرحمن قدري'!C8</f>
        <v>46323</v>
      </c>
      <c r="C273" s="17" t="str">
        <f aca="false">'عبدالرحمن قدري'!D8</f>
        <v>سداد دفعه</v>
      </c>
      <c r="D273" s="17"/>
      <c r="E273" s="7" t="s">
        <v>78</v>
      </c>
      <c r="F273" s="7" t="str">
        <f aca="false">IF('عبدالرحمن قدري'!E8="","",'عبدالرحمن قدري'!E8)</f>
        <v/>
      </c>
      <c r="G273" s="19" t="str">
        <f aca="false">IF('عبدالرحمن قدري'!F8="","",'عبدالرحمن قدري'!F8)</f>
        <v/>
      </c>
      <c r="H273" s="9" t="str">
        <f aca="false">IF(F273="","",ROUND(F273*G273,2))</f>
        <v/>
      </c>
      <c r="I273" s="9" t="str">
        <f aca="false">IF(F273="","",ROUND(H273*IF(N('عبدالرحمن قدري'!G8)&gt;1,'عبدالرحمن قدري'!G8-1,0),2))</f>
        <v/>
      </c>
      <c r="J273" s="9" t="n">
        <f aca="false">N('عبدالرحمن قدري'!H8)</f>
        <v>0</v>
      </c>
      <c r="K273" s="9" t="n">
        <f aca="false">N('عبدالرحمن قدري'!I8)</f>
        <v>3000</v>
      </c>
    </row>
    <row r="274" customFormat="false" ht="15" hidden="false" customHeight="false" outlineLevel="0" collapsed="false">
      <c r="A274" s="17" t="s">
        <v>53</v>
      </c>
      <c r="B274" s="11" t="n">
        <f aca="false">'عبدالرحمن قدري'!C9</f>
        <v>46325</v>
      </c>
      <c r="C274" s="17" t="str">
        <f aca="false">'عبدالرحمن قدري'!D9</f>
        <v>سداد دفعه</v>
      </c>
      <c r="D274" s="17"/>
      <c r="E274" s="7" t="s">
        <v>78</v>
      </c>
      <c r="F274" s="7" t="str">
        <f aca="false">IF('عبدالرحمن قدري'!E9="","",'عبدالرحمن قدري'!E9)</f>
        <v/>
      </c>
      <c r="G274" s="19" t="str">
        <f aca="false">IF('عبدالرحمن قدري'!F9="","",'عبدالرحمن قدري'!F9)</f>
        <v/>
      </c>
      <c r="H274" s="9" t="str">
        <f aca="false">IF(F274="","",ROUND(F274*G274,2))</f>
        <v/>
      </c>
      <c r="I274" s="9" t="str">
        <f aca="false">IF(F274="","",ROUND(H274*IF(N('عبدالرحمن قدري'!G9)&gt;1,'عبدالرحمن قدري'!G9-1,0),2))</f>
        <v/>
      </c>
      <c r="J274" s="9" t="n">
        <f aca="false">N('عبدالرحمن قدري'!H9)</f>
        <v>0</v>
      </c>
      <c r="K274" s="9" t="n">
        <f aca="false">N('عبدالرحمن قدري'!I9)</f>
        <v>4740</v>
      </c>
    </row>
    <row r="275" customFormat="false" ht="15" hidden="false" customHeight="false" outlineLevel="0" collapsed="false">
      <c r="A275" s="17" t="s">
        <v>53</v>
      </c>
      <c r="B275" s="11" t="n">
        <f aca="false">'عبدالرحمن قدري'!C10</f>
        <v>46325</v>
      </c>
      <c r="C275" s="17" t="str">
        <f aca="false">'عبدالرحمن قدري'!D10</f>
        <v>تم خصم 1 صندوق</v>
      </c>
      <c r="D275" s="17"/>
      <c r="E275" s="7" t="s">
        <v>96</v>
      </c>
      <c r="F275" s="7" t="str">
        <f aca="false">IF('عبدالرحمن قدري'!E10="","",'عبدالرحمن قدري'!E10)</f>
        <v/>
      </c>
      <c r="G275" s="19" t="str">
        <f aca="false">IF('عبدالرحمن قدري'!F10="","",'عبدالرحمن قدري'!F10)</f>
        <v/>
      </c>
      <c r="H275" s="9" t="str">
        <f aca="false">IF(F275="","",ROUND(F275*G275,2))</f>
        <v/>
      </c>
      <c r="I275" s="9" t="str">
        <f aca="false">IF(F275="","",ROUND(H275*IF(N('عبدالرحمن قدري'!G10)&gt;1,'عبدالرحمن قدري'!G10-1,0),2))</f>
        <v/>
      </c>
      <c r="J275" s="9" t="n">
        <f aca="false">N('عبدالرحمن قدري'!H10)</f>
        <v>0</v>
      </c>
      <c r="K275" s="9" t="n">
        <f aca="false">N('عبدالرحمن قدري'!I10)</f>
        <v>86</v>
      </c>
    </row>
    <row r="276" customFormat="false" ht="15" hidden="false" customHeight="false" outlineLevel="0" collapsed="false">
      <c r="A276" s="17" t="s">
        <v>54</v>
      </c>
      <c r="B276" s="11" t="n">
        <f aca="false">محسن!C7</f>
        <v>46322</v>
      </c>
      <c r="C276" s="17" t="str">
        <f aca="false">محسن!D7</f>
        <v>افندي</v>
      </c>
      <c r="D276" s="17" t="s">
        <v>79</v>
      </c>
      <c r="E276" s="7" t="s">
        <v>76</v>
      </c>
      <c r="F276" s="18" t="n">
        <f aca="false">IF(محسن!E7="","",محسن!E7)</f>
        <v>30</v>
      </c>
      <c r="G276" s="19" t="n">
        <f aca="false">IF(محسن!F7="","",محسن!F7)</f>
        <v>88</v>
      </c>
      <c r="H276" s="9" t="n">
        <f aca="false">IF(F276="","",ROUND(F276*G276,2))</f>
        <v>2640</v>
      </c>
      <c r="I276" s="9" t="n">
        <f aca="false">IF(F276="","",ROUND(H276*IF(N(محسن!G7)&gt;1,محسن!G7-1,0),2))</f>
        <v>0</v>
      </c>
      <c r="J276" s="9" t="n">
        <f aca="false">N(محسن!H7)</f>
        <v>2640</v>
      </c>
      <c r="K276" s="9" t="n">
        <f aca="false">N(محسن!I7)</f>
        <v>0</v>
      </c>
    </row>
    <row r="277" customFormat="false" ht="15" hidden="false" customHeight="false" outlineLevel="0" collapsed="false">
      <c r="A277" s="17" t="s">
        <v>54</v>
      </c>
      <c r="B277" s="11" t="n">
        <f aca="false">محسن!C8</f>
        <v>46324</v>
      </c>
      <c r="C277" s="17" t="str">
        <f aca="false">محسن!D8</f>
        <v>سداد</v>
      </c>
      <c r="D277" s="17"/>
      <c r="E277" s="7" t="s">
        <v>78</v>
      </c>
      <c r="F277" s="7" t="str">
        <f aca="false">IF(محسن!E8="","",محسن!E8)</f>
        <v/>
      </c>
      <c r="G277" s="19" t="str">
        <f aca="false">IF(محسن!F8="","",محسن!F8)</f>
        <v/>
      </c>
      <c r="H277" s="9" t="str">
        <f aca="false">IF(F277="","",ROUND(F277*G277,2))</f>
        <v/>
      </c>
      <c r="I277" s="9" t="str">
        <f aca="false">IF(F277="","",ROUND(H277*IF(N(محسن!G8)&gt;1,محسن!G8-1,0),2))</f>
        <v/>
      </c>
      <c r="J277" s="9" t="n">
        <f aca="false">N(محسن!H8)</f>
        <v>0</v>
      </c>
      <c r="K277" s="9" t="n">
        <f aca="false">N(محسن!I8)</f>
        <v>2640</v>
      </c>
    </row>
    <row r="278" customFormat="false" ht="15" hidden="false" customHeight="false" outlineLevel="0" collapsed="false">
      <c r="A278" s="17" t="s">
        <v>55</v>
      </c>
      <c r="B278" s="11" t="n">
        <f aca="false">انعام!C7</f>
        <v>46324</v>
      </c>
      <c r="C278" s="17" t="str">
        <f aca="false">انعام!D7</f>
        <v>فراولة</v>
      </c>
      <c r="D278" s="17" t="s">
        <v>80</v>
      </c>
      <c r="E278" s="7" t="s">
        <v>76</v>
      </c>
      <c r="F278" s="18" t="n">
        <f aca="false">IF(انعام!E7="","",انعام!E7)</f>
        <v>25</v>
      </c>
      <c r="G278" s="19" t="n">
        <f aca="false">IF(انعام!F7="","",انعام!F7)</f>
        <v>105</v>
      </c>
      <c r="H278" s="9" t="n">
        <f aca="false">IF(F278="","",ROUND(F278*G278,2))</f>
        <v>2625</v>
      </c>
      <c r="I278" s="9" t="n">
        <f aca="false">IF(F278="","",ROUND(H278*IF(N(انعام!G7)&gt;1,انعام!G7-1,0),2))</f>
        <v>393.75</v>
      </c>
      <c r="J278" s="9" t="n">
        <f aca="false">N(انعام!H7)</f>
        <v>3018.75</v>
      </c>
      <c r="K278" s="9" t="n">
        <f aca="false">N(انعام!I7)</f>
        <v>0</v>
      </c>
    </row>
    <row r="279" customFormat="false" ht="15" hidden="false" customHeight="false" outlineLevel="0" collapsed="false">
      <c r="A279" s="17" t="s">
        <v>56</v>
      </c>
      <c r="B279" s="11" t="n">
        <f aca="false">'طلال القبيشي'!C7</f>
        <v>46317</v>
      </c>
      <c r="C279" s="17" t="str">
        <f aca="false">'طلال القبيشي'!D7</f>
        <v>فراولة</v>
      </c>
      <c r="D279" s="17" t="s">
        <v>80</v>
      </c>
      <c r="E279" s="7" t="s">
        <v>76</v>
      </c>
      <c r="F279" s="18" t="n">
        <f aca="false">IF('طلال القبيشي'!E7="","",'طلال القبيشي'!E7)</f>
        <v>10</v>
      </c>
      <c r="G279" s="19" t="n">
        <f aca="false">IF('طلال القبيشي'!F7="","",'طلال القبيشي'!F7)</f>
        <v>125</v>
      </c>
      <c r="H279" s="9" t="n">
        <f aca="false">IF(F279="","",ROUND(F279*G279,2))</f>
        <v>1250</v>
      </c>
      <c r="I279" s="9" t="n">
        <f aca="false">IF(F279="","",ROUND(H279*IF(N('طلال القبيشي'!G7)&gt;1,'طلال القبيشي'!G7-1,0),2))</f>
        <v>0</v>
      </c>
      <c r="J279" s="9" t="n">
        <f aca="false">N('طلال القبيشي'!H7)</f>
        <v>1250</v>
      </c>
      <c r="K279" s="9" t="n">
        <f aca="false">N('طلال القبيشي'!I7)</f>
        <v>0</v>
      </c>
    </row>
    <row r="280" customFormat="false" ht="15" hidden="false" customHeight="false" outlineLevel="0" collapsed="false">
      <c r="A280" s="17" t="s">
        <v>56</v>
      </c>
      <c r="B280" s="11" t="n">
        <f aca="false">'طلال القبيشي'!C8</f>
        <v>46318</v>
      </c>
      <c r="C280" s="17" t="str">
        <f aca="false">'طلال القبيشي'!D8</f>
        <v>سداد</v>
      </c>
      <c r="D280" s="17"/>
      <c r="E280" s="7" t="s">
        <v>78</v>
      </c>
      <c r="F280" s="7" t="str">
        <f aca="false">IF('طلال القبيشي'!E8="","",'طلال القبيشي'!E8)</f>
        <v/>
      </c>
      <c r="G280" s="19" t="str">
        <f aca="false">IF('طلال القبيشي'!F8="","",'طلال القبيشي'!F8)</f>
        <v/>
      </c>
      <c r="H280" s="9" t="str">
        <f aca="false">IF(F280="","",ROUND(F280*G280,2))</f>
        <v/>
      </c>
      <c r="I280" s="9" t="str">
        <f aca="false">IF(F280="","",ROUND(H280*IF(N('طلال القبيشي'!G8)&gt;1,'طلال القبيشي'!G8-1,0),2))</f>
        <v/>
      </c>
      <c r="J280" s="9" t="n">
        <f aca="false">N('طلال القبيشي'!H8)</f>
        <v>0</v>
      </c>
      <c r="K280" s="9" t="n">
        <f aca="false">N('طلال القبيشي'!I8)</f>
        <v>1250</v>
      </c>
    </row>
    <row r="281" customFormat="false" ht="15" hidden="false" customHeight="false" outlineLevel="0" collapsed="false">
      <c r="A281" s="17" t="s">
        <v>56</v>
      </c>
      <c r="B281" s="11" t="n">
        <f aca="false">'طلال القبيشي'!C9</f>
        <v>46319</v>
      </c>
      <c r="C281" s="17" t="str">
        <f aca="false">'طلال القبيشي'!D9</f>
        <v>فراولة</v>
      </c>
      <c r="D281" s="17" t="s">
        <v>80</v>
      </c>
      <c r="E281" s="7" t="s">
        <v>76</v>
      </c>
      <c r="F281" s="18" t="n">
        <f aca="false">IF('طلال القبيشي'!E9="","",'طلال القبيشي'!E9)</f>
        <v>10</v>
      </c>
      <c r="G281" s="19" t="n">
        <f aca="false">IF('طلال القبيشي'!F9="","",'طلال القبيشي'!F9)</f>
        <v>135</v>
      </c>
      <c r="H281" s="9" t="n">
        <f aca="false">IF(F281="","",ROUND(F281*G281,2))</f>
        <v>1350</v>
      </c>
      <c r="I281" s="9" t="n">
        <f aca="false">IF(F281="","",ROUND(H281*IF(N('طلال القبيشي'!G9)&gt;1,'طلال القبيشي'!G9-1,0),2))</f>
        <v>0</v>
      </c>
      <c r="J281" s="9" t="n">
        <f aca="false">N('طلال القبيشي'!H9)</f>
        <v>1350</v>
      </c>
      <c r="K281" s="9" t="n">
        <f aca="false">N('طلال القبيشي'!I9)</f>
        <v>0</v>
      </c>
    </row>
    <row r="282" customFormat="false" ht="15" hidden="false" customHeight="false" outlineLevel="0" collapsed="false">
      <c r="A282" s="17" t="s">
        <v>56</v>
      </c>
      <c r="B282" s="11" t="n">
        <f aca="false">'طلال القبيشي'!C10</f>
        <v>46321</v>
      </c>
      <c r="C282" s="17" t="str">
        <f aca="false">'طلال القبيشي'!D10</f>
        <v>سداد</v>
      </c>
      <c r="D282" s="17"/>
      <c r="E282" s="7" t="s">
        <v>78</v>
      </c>
      <c r="F282" s="7" t="str">
        <f aca="false">IF('طلال القبيشي'!E10="","",'طلال القبيشي'!E10)</f>
        <v/>
      </c>
      <c r="G282" s="19" t="str">
        <f aca="false">IF('طلال القبيشي'!F10="","",'طلال القبيشي'!F10)</f>
        <v/>
      </c>
      <c r="H282" s="9" t="str">
        <f aca="false">IF(F282="","",ROUND(F282*G282,2))</f>
        <v/>
      </c>
      <c r="I282" s="9" t="str">
        <f aca="false">IF(F282="","",ROUND(H282*IF(N('طلال القبيشي'!G10)&gt;1,'طلال القبيشي'!G10-1,0),2))</f>
        <v/>
      </c>
      <c r="J282" s="9" t="n">
        <f aca="false">N('طلال القبيشي'!H10)</f>
        <v>0</v>
      </c>
      <c r="K282" s="9" t="n">
        <f aca="false">N('طلال القبيشي'!I10)</f>
        <v>1350</v>
      </c>
    </row>
    <row r="283" customFormat="false" ht="15" hidden="false" customHeight="false" outlineLevel="0" collapsed="false">
      <c r="A283" s="17" t="s">
        <v>56</v>
      </c>
      <c r="B283" s="11" t="n">
        <f aca="false">'طلال القبيشي'!C11</f>
        <v>46324</v>
      </c>
      <c r="C283" s="17" t="str">
        <f aca="false">'طلال القبيشي'!D11</f>
        <v>فراولة</v>
      </c>
      <c r="D283" s="17" t="s">
        <v>80</v>
      </c>
      <c r="E283" s="7" t="s">
        <v>76</v>
      </c>
      <c r="F283" s="18" t="n">
        <f aca="false">IF('طلال القبيشي'!E11="","",'طلال القبيشي'!E11)</f>
        <v>10</v>
      </c>
      <c r="G283" s="19" t="n">
        <f aca="false">IF('طلال القبيشي'!F11="","",'طلال القبيشي'!F11)</f>
        <v>123</v>
      </c>
      <c r="H283" s="9" t="n">
        <f aca="false">IF(F283="","",ROUND(F283*G283,2))</f>
        <v>1230</v>
      </c>
      <c r="I283" s="9" t="n">
        <f aca="false">IF(F283="","",ROUND(H283*IF(N('طلال القبيشي'!G11)&gt;1,'طلال القبيشي'!G11-1,0),2))</f>
        <v>0</v>
      </c>
      <c r="J283" s="9" t="n">
        <f aca="false">N('طلال القبيشي'!H11)</f>
        <v>1230</v>
      </c>
      <c r="K283" s="9" t="n">
        <f aca="false">N('طلال القبيشي'!I11)</f>
        <v>0</v>
      </c>
    </row>
    <row r="284" customFormat="false" ht="15" hidden="false" customHeight="false" outlineLevel="0" collapsed="false">
      <c r="A284" s="17" t="s">
        <v>57</v>
      </c>
      <c r="B284" s="11" t="n">
        <f aca="false">'عبدالرحمن زبون'!C7</f>
        <v>46323</v>
      </c>
      <c r="C284" s="17" t="str">
        <f aca="false">'عبدالرحمن زبون'!D7</f>
        <v>رمان</v>
      </c>
      <c r="D284" s="17" t="s">
        <v>102</v>
      </c>
      <c r="E284" s="7" t="s">
        <v>76</v>
      </c>
      <c r="F284" s="18" t="n">
        <f aca="false">IF('عبدالرحمن زبون'!E7="","",'عبدالرحمن زبون'!E7)</f>
        <v>7</v>
      </c>
      <c r="G284" s="19" t="n">
        <f aca="false">IF('عبدالرحمن زبون'!F7="","",'عبدالرحمن زبون'!F7)</f>
        <v>20</v>
      </c>
      <c r="H284" s="9" t="n">
        <f aca="false">IF(F284="","",ROUND(F284*G284,2))</f>
        <v>140</v>
      </c>
      <c r="I284" s="9" t="n">
        <f aca="false">IF(F284="","",ROUND(H284*IF(N('عبدالرحمن زبون'!G7)&gt;1,'عبدالرحمن زبون'!G7-1,0),2))</f>
        <v>0</v>
      </c>
      <c r="J284" s="9" t="n">
        <f aca="false">N('عبدالرحمن زبون'!H7)</f>
        <v>140</v>
      </c>
      <c r="K284" s="9" t="n">
        <f aca="false">N('عبدالرحمن زبون'!I7)</f>
        <v>0</v>
      </c>
    </row>
    <row r="285" customFormat="false" ht="15" hidden="false" customHeight="false" outlineLevel="0" collapsed="false">
      <c r="A285" s="17" t="s">
        <v>58</v>
      </c>
      <c r="B285" s="11" t="n">
        <f aca="false">'متجر منافس'!C7</f>
        <v>46302</v>
      </c>
      <c r="C285" s="17" t="str">
        <f aca="false">'متجر منافس'!D7</f>
        <v>رمان مصري</v>
      </c>
      <c r="D285" s="17" t="s">
        <v>87</v>
      </c>
      <c r="E285" s="7" t="s">
        <v>76</v>
      </c>
      <c r="F285" s="18" t="n">
        <f aca="false">IF('متجر منافس'!E7="","",'متجر منافس'!E7)</f>
        <v>114</v>
      </c>
      <c r="G285" s="19" t="n">
        <f aca="false">IF('متجر منافس'!F7="","",'متجر منافس'!F7)</f>
        <v>12</v>
      </c>
      <c r="H285" s="9" t="n">
        <f aca="false">IF(F285="","",ROUND(F285*G285,2))</f>
        <v>1368</v>
      </c>
      <c r="I285" s="9" t="n">
        <f aca="false">IF(F285="","",ROUND(H285*IF(N('متجر منافس'!G7)&gt;1,'متجر منافس'!G7-1,0),2))</f>
        <v>0</v>
      </c>
      <c r="J285" s="9" t="n">
        <f aca="false">N('متجر منافس'!H7)</f>
        <v>1368</v>
      </c>
      <c r="K285" s="9" t="n">
        <f aca="false">N('متجر منافس'!I7)</f>
        <v>0</v>
      </c>
    </row>
    <row r="286" customFormat="false" ht="15" hidden="false" customHeight="false" outlineLevel="0" collapsed="false">
      <c r="A286" s="17" t="s">
        <v>58</v>
      </c>
      <c r="B286" s="11" t="n">
        <f aca="false">'متجر منافس'!C8</f>
        <v>46303</v>
      </c>
      <c r="C286" s="17" t="str">
        <f aca="false">'متجر منافس'!D8</f>
        <v>رمان مصري</v>
      </c>
      <c r="D286" s="17" t="s">
        <v>87</v>
      </c>
      <c r="E286" s="7" t="s">
        <v>76</v>
      </c>
      <c r="F286" s="18" t="n">
        <f aca="false">IF('متجر منافس'!E8="","",'متجر منافس'!E8)</f>
        <v>340</v>
      </c>
      <c r="G286" s="19" t="n">
        <f aca="false">IF('متجر منافس'!F8="","",'متجر منافس'!F8)</f>
        <v>12</v>
      </c>
      <c r="H286" s="9" t="n">
        <f aca="false">IF(F286="","",ROUND(F286*G286,2))</f>
        <v>4080</v>
      </c>
      <c r="I286" s="9" t="n">
        <f aca="false">IF(F286="","",ROUND(H286*IF(N('متجر منافس'!G8)&gt;1,'متجر منافس'!G8-1,0),2))</f>
        <v>0</v>
      </c>
      <c r="J286" s="9" t="n">
        <f aca="false">N('متجر منافس'!H8)</f>
        <v>4080</v>
      </c>
      <c r="K286" s="9" t="n">
        <f aca="false">N('متجر منافس'!I8)</f>
        <v>0</v>
      </c>
    </row>
    <row r="287" customFormat="false" ht="15" hidden="false" customHeight="false" outlineLevel="0" collapsed="false">
      <c r="A287" s="17" t="s">
        <v>58</v>
      </c>
      <c r="B287" s="11" t="n">
        <f aca="false">'متجر منافس'!C9</f>
        <v>46305</v>
      </c>
      <c r="C287" s="17" t="str">
        <f aca="false">'متجر منافس'!D9</f>
        <v>سداد رمان مصري</v>
      </c>
      <c r="D287" s="17"/>
      <c r="E287" s="7" t="s">
        <v>78</v>
      </c>
      <c r="F287" s="7" t="str">
        <f aca="false">IF('متجر منافس'!E9="","",'متجر منافس'!E9)</f>
        <v/>
      </c>
      <c r="G287" s="19" t="str">
        <f aca="false">IF('متجر منافس'!F9="","",'متجر منافس'!F9)</f>
        <v/>
      </c>
      <c r="H287" s="9" t="str">
        <f aca="false">IF(F287="","",ROUND(F287*G287,2))</f>
        <v/>
      </c>
      <c r="I287" s="9" t="str">
        <f aca="false">IF(F287="","",ROUND(H287*IF(N('متجر منافس'!G9)&gt;1,'متجر منافس'!G9-1,0),2))</f>
        <v/>
      </c>
      <c r="J287" s="9" t="n">
        <f aca="false">N('متجر منافس'!H9)</f>
        <v>0</v>
      </c>
      <c r="K287" s="9" t="n">
        <f aca="false">N('متجر منافس'!I9)</f>
        <v>5436</v>
      </c>
    </row>
    <row r="288" customFormat="false" ht="15" hidden="false" customHeight="false" outlineLevel="0" collapsed="false">
      <c r="A288" s="17" t="s">
        <v>58</v>
      </c>
      <c r="B288" s="11" t="n">
        <f aca="false">'متجر منافس'!C10</f>
        <v>46305</v>
      </c>
      <c r="C288" s="17" t="str">
        <f aca="false">'متجر منافس'!D10</f>
        <v>سداد تالف 1 صندوق</v>
      </c>
      <c r="D288" s="17"/>
      <c r="E288" s="7" t="s">
        <v>96</v>
      </c>
      <c r="F288" s="7" t="str">
        <f aca="false">IF('متجر منافس'!E10="","",'متجر منافس'!E10)</f>
        <v/>
      </c>
      <c r="G288" s="19" t="str">
        <f aca="false">IF('متجر منافس'!F10="","",'متجر منافس'!F10)</f>
        <v/>
      </c>
      <c r="H288" s="9" t="str">
        <f aca="false">IF(F288="","",ROUND(F288*G288,2))</f>
        <v/>
      </c>
      <c r="I288" s="9" t="str">
        <f aca="false">IF(F288="","",ROUND(H288*IF(N('متجر منافس'!G10)&gt;1,'متجر منافس'!G10-1,0),2))</f>
        <v/>
      </c>
      <c r="J288" s="9" t="n">
        <f aca="false">N('متجر منافس'!H10)</f>
        <v>0</v>
      </c>
      <c r="K288" s="9" t="n">
        <f aca="false">N('متجر منافس'!I10)</f>
        <v>12</v>
      </c>
    </row>
    <row r="289" customFormat="false" ht="15" hidden="false" customHeight="false" outlineLevel="0" collapsed="false">
      <c r="A289" s="17" t="s">
        <v>58</v>
      </c>
      <c r="B289" s="11" t="n">
        <f aca="false">'متجر منافس'!C11</f>
        <v>46307</v>
      </c>
      <c r="C289" s="17" t="str">
        <f aca="false">'متجر منافس'!D11</f>
        <v>رمان مصري</v>
      </c>
      <c r="D289" s="17" t="s">
        <v>87</v>
      </c>
      <c r="E289" s="7" t="s">
        <v>76</v>
      </c>
      <c r="F289" s="18" t="n">
        <f aca="false">IF('متجر منافس'!E11="","",'متجر منافس'!E11)</f>
        <v>193</v>
      </c>
      <c r="G289" s="19" t="n">
        <f aca="false">IF('متجر منافس'!F11="","",'متجر منافس'!F11)</f>
        <v>15</v>
      </c>
      <c r="H289" s="9" t="n">
        <f aca="false">IF(F289="","",ROUND(F289*G289,2))</f>
        <v>2895</v>
      </c>
      <c r="I289" s="9" t="n">
        <f aca="false">IF(F289="","",ROUND(H289*IF(N('متجر منافس'!G11)&gt;1,'متجر منافس'!G11-1,0),2))</f>
        <v>0</v>
      </c>
      <c r="J289" s="9" t="n">
        <f aca="false">N('متجر منافس'!H11)</f>
        <v>2895</v>
      </c>
      <c r="K289" s="9" t="n">
        <f aca="false">N('متجر منافس'!I11)</f>
        <v>0</v>
      </c>
    </row>
    <row r="290" customFormat="false" ht="15" hidden="false" customHeight="false" outlineLevel="0" collapsed="false">
      <c r="A290" s="17" t="s">
        <v>58</v>
      </c>
      <c r="B290" s="11" t="n">
        <f aca="false">'متجر منافس'!C12</f>
        <v>46309</v>
      </c>
      <c r="C290" s="17" t="str">
        <f aca="false">'متجر منافس'!D12</f>
        <v>سداد رمان مصري</v>
      </c>
      <c r="D290" s="17"/>
      <c r="E290" s="7" t="s">
        <v>78</v>
      </c>
      <c r="F290" s="7" t="str">
        <f aca="false">IF('متجر منافس'!E12="","",'متجر منافس'!E12)</f>
        <v/>
      </c>
      <c r="G290" s="19" t="str">
        <f aca="false">IF('متجر منافس'!F12="","",'متجر منافس'!F12)</f>
        <v/>
      </c>
      <c r="H290" s="9" t="str">
        <f aca="false">IF(F290="","",ROUND(F290*G290,2))</f>
        <v/>
      </c>
      <c r="I290" s="9" t="str">
        <f aca="false">IF(F290="","",ROUND(H290*IF(N('متجر منافس'!G12)&gt;1,'متجر منافس'!G12-1,0),2))</f>
        <v/>
      </c>
      <c r="J290" s="9" t="n">
        <f aca="false">N('متجر منافس'!H12)</f>
        <v>0</v>
      </c>
      <c r="K290" s="9" t="n">
        <f aca="false">N('متجر منافس'!I12)</f>
        <v>2865</v>
      </c>
    </row>
    <row r="291" customFormat="false" ht="15" hidden="false" customHeight="false" outlineLevel="0" collapsed="false">
      <c r="A291" s="17" t="s">
        <v>58</v>
      </c>
      <c r="B291" s="11" t="n">
        <f aca="false">'متجر منافس'!C13</f>
        <v>46309</v>
      </c>
      <c r="C291" s="17" t="str">
        <f aca="false">'متجر منافس'!D13</f>
        <v>سداد تالف 2 صندوق</v>
      </c>
      <c r="D291" s="17"/>
      <c r="E291" s="7" t="s">
        <v>96</v>
      </c>
      <c r="F291" s="7" t="str">
        <f aca="false">IF('متجر منافس'!E13="","",'متجر منافس'!E13)</f>
        <v/>
      </c>
      <c r="G291" s="19" t="str">
        <f aca="false">IF('متجر منافس'!F13="","",'متجر منافس'!F13)</f>
        <v/>
      </c>
      <c r="H291" s="9" t="str">
        <f aca="false">IF(F291="","",ROUND(F291*G291,2))</f>
        <v/>
      </c>
      <c r="I291" s="9" t="str">
        <f aca="false">IF(F291="","",ROUND(H291*IF(N('متجر منافس'!G13)&gt;1,'متجر منافس'!G13-1,0),2))</f>
        <v/>
      </c>
      <c r="J291" s="9" t="n">
        <f aca="false">N('متجر منافس'!H13)</f>
        <v>0</v>
      </c>
      <c r="K291" s="9" t="n">
        <f aca="false">N('متجر منافس'!I13)</f>
        <v>30</v>
      </c>
    </row>
    <row r="292" customFormat="false" ht="15" hidden="false" customHeight="false" outlineLevel="0" collapsed="false">
      <c r="A292" s="17" t="s">
        <v>58</v>
      </c>
      <c r="B292" s="11" t="n">
        <f aca="false">'متجر منافس'!C14</f>
        <v>46309</v>
      </c>
      <c r="C292" s="17" t="str">
        <f aca="false">'متجر منافس'!D14</f>
        <v>رمان مصري</v>
      </c>
      <c r="D292" s="17" t="s">
        <v>87</v>
      </c>
      <c r="E292" s="7" t="s">
        <v>76</v>
      </c>
      <c r="F292" s="18" t="n">
        <f aca="false">IF('متجر منافس'!E14="","",'متجر منافس'!E14)</f>
        <v>50</v>
      </c>
      <c r="G292" s="19" t="n">
        <f aca="false">IF('متجر منافس'!F14="","",'متجر منافس'!F14)</f>
        <v>15</v>
      </c>
      <c r="H292" s="9" t="n">
        <f aca="false">IF(F292="","",ROUND(F292*G292,2))</f>
        <v>750</v>
      </c>
      <c r="I292" s="9" t="n">
        <f aca="false">IF(F292="","",ROUND(H292*IF(N('متجر منافس'!G14)&gt;1,'متجر منافس'!G14-1,0),2))</f>
        <v>0</v>
      </c>
      <c r="J292" s="9" t="n">
        <f aca="false">N('متجر منافس'!H14)</f>
        <v>750</v>
      </c>
      <c r="K292" s="9" t="n">
        <f aca="false">N('متجر منافس'!I14)</f>
        <v>0</v>
      </c>
    </row>
    <row r="293" customFormat="false" ht="15" hidden="false" customHeight="false" outlineLevel="0" collapsed="false">
      <c r="A293" s="17" t="s">
        <v>58</v>
      </c>
      <c r="B293" s="11" t="n">
        <f aca="false">'متجر منافس'!C15</f>
        <v>46311</v>
      </c>
      <c r="C293" s="17" t="str">
        <f aca="false">'متجر منافس'!D15</f>
        <v>رمان مصري</v>
      </c>
      <c r="D293" s="17" t="s">
        <v>87</v>
      </c>
      <c r="E293" s="7" t="s">
        <v>76</v>
      </c>
      <c r="F293" s="18" t="n">
        <f aca="false">IF('متجر منافس'!E15="","",'متجر منافس'!E15)</f>
        <v>50</v>
      </c>
      <c r="G293" s="19" t="n">
        <f aca="false">IF('متجر منافس'!F15="","",'متجر منافس'!F15)</f>
        <v>14</v>
      </c>
      <c r="H293" s="9" t="n">
        <f aca="false">IF(F293="","",ROUND(F293*G293,2))</f>
        <v>700</v>
      </c>
      <c r="I293" s="9" t="n">
        <f aca="false">IF(F293="","",ROUND(H293*IF(N('متجر منافس'!G15)&gt;1,'متجر منافس'!G15-1,0),2))</f>
        <v>0</v>
      </c>
      <c r="J293" s="9" t="n">
        <f aca="false">N('متجر منافس'!H15)</f>
        <v>700</v>
      </c>
      <c r="K293" s="9" t="n">
        <f aca="false">N('متجر منافس'!I15)</f>
        <v>0</v>
      </c>
    </row>
    <row r="294" customFormat="false" ht="15" hidden="false" customHeight="false" outlineLevel="0" collapsed="false">
      <c r="A294" s="17" t="s">
        <v>58</v>
      </c>
      <c r="B294" s="11" t="n">
        <f aca="false">'متجر منافس'!C16</f>
        <v>46312</v>
      </c>
      <c r="C294" s="17" t="str">
        <f aca="false">'متجر منافس'!D16</f>
        <v>سداد رمان مصري</v>
      </c>
      <c r="D294" s="17"/>
      <c r="E294" s="7" t="s">
        <v>78</v>
      </c>
      <c r="F294" s="7" t="str">
        <f aca="false">IF('متجر منافس'!E16="","",'متجر منافس'!E16)</f>
        <v/>
      </c>
      <c r="G294" s="19" t="str">
        <f aca="false">IF('متجر منافس'!F16="","",'متجر منافس'!F16)</f>
        <v/>
      </c>
      <c r="H294" s="9" t="str">
        <f aca="false">IF(F294="","",ROUND(F294*G294,2))</f>
        <v/>
      </c>
      <c r="I294" s="9" t="str">
        <f aca="false">IF(F294="","",ROUND(H294*IF(N('متجر منافس'!G16)&gt;1,'متجر منافس'!G16-1,0),2))</f>
        <v/>
      </c>
      <c r="J294" s="9" t="n">
        <f aca="false">N('متجر منافس'!H16)</f>
        <v>0</v>
      </c>
      <c r="K294" s="9" t="n">
        <f aca="false">N('متجر منافس'!I16)</f>
        <v>750</v>
      </c>
    </row>
    <row r="295" customFormat="false" ht="15" hidden="false" customHeight="false" outlineLevel="0" collapsed="false">
      <c r="A295" s="17" t="s">
        <v>58</v>
      </c>
      <c r="B295" s="11" t="n">
        <f aca="false">'متجر منافس'!C17</f>
        <v>46315</v>
      </c>
      <c r="C295" s="17" t="str">
        <f aca="false">'متجر منافس'!D17</f>
        <v>اناناس</v>
      </c>
      <c r="D295" s="17" t="s">
        <v>114</v>
      </c>
      <c r="E295" s="7" t="s">
        <v>76</v>
      </c>
      <c r="F295" s="18" t="n">
        <f aca="false">IF('متجر منافس'!E17="","",'متجر منافس'!E17)</f>
        <v>10</v>
      </c>
      <c r="G295" s="19" t="n">
        <f aca="false">IF('متجر منافس'!F17="","",'متجر منافس'!F17)</f>
        <v>75</v>
      </c>
      <c r="H295" s="9" t="n">
        <f aca="false">IF(F295="","",ROUND(F295*G295,2))</f>
        <v>750</v>
      </c>
      <c r="I295" s="9" t="n">
        <f aca="false">IF(F295="","",ROUND(H295*IF(N('متجر منافس'!G17)&gt;1,'متجر منافس'!G17-1,0),2))</f>
        <v>0</v>
      </c>
      <c r="J295" s="9" t="n">
        <f aca="false">N('متجر منافس'!H17)</f>
        <v>750</v>
      </c>
      <c r="K295" s="9" t="n">
        <f aca="false">N('متجر منافس'!I17)</f>
        <v>0</v>
      </c>
    </row>
    <row r="296" customFormat="false" ht="15" hidden="false" customHeight="false" outlineLevel="0" collapsed="false">
      <c r="A296" s="17" t="s">
        <v>58</v>
      </c>
      <c r="B296" s="11" t="n">
        <f aca="false">'متجر منافس'!C18</f>
        <v>46318</v>
      </c>
      <c r="C296" s="17" t="str">
        <f aca="false">'متجر منافس'!D18</f>
        <v>كاكا</v>
      </c>
      <c r="D296" s="17" t="s">
        <v>85</v>
      </c>
      <c r="E296" s="7" t="s">
        <v>76</v>
      </c>
      <c r="F296" s="18" t="n">
        <f aca="false">IF('متجر منافس'!E18="","",'متجر منافس'!E18)</f>
        <v>146</v>
      </c>
      <c r="G296" s="19" t="n">
        <f aca="false">IF('متجر منافس'!F18="","",'متجر منافس'!F18)</f>
        <v>19.5</v>
      </c>
      <c r="H296" s="9" t="n">
        <f aca="false">IF(F296="","",ROUND(F296*G296,2))</f>
        <v>2847</v>
      </c>
      <c r="I296" s="9" t="n">
        <f aca="false">IF(F296="","",ROUND(H296*IF(N('متجر منافس'!G18)&gt;1,'متجر منافس'!G18-1,0),2))</f>
        <v>0</v>
      </c>
      <c r="J296" s="9" t="n">
        <f aca="false">N('متجر منافس'!H18)</f>
        <v>2847</v>
      </c>
      <c r="K296" s="9" t="n">
        <f aca="false">N('متجر منافس'!I18)</f>
        <v>0</v>
      </c>
    </row>
    <row r="297" customFormat="false" ht="15" hidden="false" customHeight="false" outlineLevel="0" collapsed="false">
      <c r="A297" s="17" t="s">
        <v>58</v>
      </c>
      <c r="B297" s="11" t="n">
        <f aca="false">'متجر منافس'!C19</f>
        <v>46320</v>
      </c>
      <c r="C297" s="17" t="str">
        <f aca="false">'متجر منافس'!D19</f>
        <v>سداد</v>
      </c>
      <c r="D297" s="17"/>
      <c r="E297" s="7" t="s">
        <v>78</v>
      </c>
      <c r="F297" s="7" t="str">
        <f aca="false">IF('متجر منافس'!E19="","",'متجر منافس'!E19)</f>
        <v/>
      </c>
      <c r="G297" s="19" t="str">
        <f aca="false">IF('متجر منافس'!F19="","",'متجر منافس'!F19)</f>
        <v/>
      </c>
      <c r="H297" s="9" t="str">
        <f aca="false">IF(F297="","",ROUND(F297*G297,2))</f>
        <v/>
      </c>
      <c r="I297" s="9" t="str">
        <f aca="false">IF(F297="","",ROUND(H297*IF(N('متجر منافس'!G19)&gt;1,'متجر منافس'!G19-1,0),2))</f>
        <v/>
      </c>
      <c r="J297" s="9" t="n">
        <f aca="false">N('متجر منافس'!H19)</f>
        <v>0</v>
      </c>
      <c r="K297" s="9" t="n">
        <f aca="false">N('متجر منافس'!I19)</f>
        <v>3910</v>
      </c>
    </row>
    <row r="298" customFormat="false" ht="15" hidden="false" customHeight="false" outlineLevel="0" collapsed="false">
      <c r="A298" s="17" t="s">
        <v>58</v>
      </c>
      <c r="B298" s="11" t="n">
        <f aca="false">'متجر منافس'!C20</f>
        <v>46320</v>
      </c>
      <c r="C298" s="17" t="str">
        <f aca="false">'متجر منافس'!D20</f>
        <v>اناناس خصم</v>
      </c>
      <c r="D298" s="17" t="s">
        <v>115</v>
      </c>
      <c r="E298" s="7" t="s">
        <v>110</v>
      </c>
      <c r="F298" s="18" t="n">
        <f aca="false">IF('متجر منافس'!E20="","",'متجر منافس'!E20)</f>
        <v>5</v>
      </c>
      <c r="G298" s="19" t="n">
        <f aca="false">IF('متجر منافس'!F20="","",'متجر منافس'!F20)</f>
        <v>75</v>
      </c>
      <c r="H298" s="9" t="n">
        <f aca="false">IF(F298="","",ROUND(F298*G298,2))</f>
        <v>375</v>
      </c>
      <c r="I298" s="9" t="n">
        <f aca="false">IF(F298="","",ROUND(H298*IF(N('متجر منافس'!G20)&gt;1,'متجر منافس'!G20-1,0),2))</f>
        <v>0</v>
      </c>
      <c r="J298" s="9" t="n">
        <f aca="false">N('متجر منافس'!H20)</f>
        <v>0</v>
      </c>
      <c r="K298" s="9" t="n">
        <f aca="false">N('متجر منافس'!I20)</f>
        <v>375</v>
      </c>
    </row>
    <row r="299" customFormat="false" ht="15" hidden="false" customHeight="false" outlineLevel="0" collapsed="false">
      <c r="A299" s="17" t="s">
        <v>58</v>
      </c>
      <c r="B299" s="11" t="n">
        <f aca="false">'متجر منافس'!C21</f>
        <v>46320</v>
      </c>
      <c r="C299" s="17" t="str">
        <f aca="false">'متجر منافس'!D21</f>
        <v>رمان خصم</v>
      </c>
      <c r="D299" s="17" t="s">
        <v>116</v>
      </c>
      <c r="E299" s="7" t="s">
        <v>110</v>
      </c>
      <c r="F299" s="18" t="n">
        <f aca="false">IF('متجر منافس'!E21="","",'متجر منافس'!E21)</f>
        <v>1</v>
      </c>
      <c r="G299" s="19" t="n">
        <f aca="false">IF('متجر منافس'!F21="","",'متجر منافس'!F21)</f>
        <v>14</v>
      </c>
      <c r="H299" s="9" t="n">
        <f aca="false">IF(F299="","",ROUND(F299*G299,2))</f>
        <v>14</v>
      </c>
      <c r="I299" s="9" t="n">
        <f aca="false">IF(F299="","",ROUND(H299*IF(N('متجر منافس'!G21)&gt;1,'متجر منافس'!G21-1,0),2))</f>
        <v>0</v>
      </c>
      <c r="J299" s="9" t="n">
        <f aca="false">N('متجر منافس'!H21)</f>
        <v>0</v>
      </c>
      <c r="K299" s="9" t="n">
        <f aca="false">N('متجر منافس'!I21)</f>
        <v>14</v>
      </c>
    </row>
    <row r="300" customFormat="false" ht="15" hidden="false" customHeight="false" outlineLevel="0" collapsed="false">
      <c r="A300" s="17" t="s">
        <v>59</v>
      </c>
      <c r="B300" s="11" t="n">
        <f aca="false">'نقاوة بلس'!C7</f>
        <v>46304</v>
      </c>
      <c r="C300" s="17" t="str">
        <f aca="false">'نقاوة بلس'!D7</f>
        <v>رمان وسط</v>
      </c>
      <c r="D300" s="17" t="s">
        <v>77</v>
      </c>
      <c r="E300" s="7" t="s">
        <v>76</v>
      </c>
      <c r="F300" s="18" t="n">
        <f aca="false">IF('نقاوة بلس'!E7="","",'نقاوة بلس'!E7)</f>
        <v>220</v>
      </c>
      <c r="G300" s="19" t="n">
        <f aca="false">IF('نقاوة بلس'!F7="","",'نقاوة بلس'!F7)</f>
        <v>16</v>
      </c>
      <c r="H300" s="9" t="n">
        <f aca="false">IF(F300="","",ROUND(F300*G300,2))</f>
        <v>3520</v>
      </c>
      <c r="I300" s="9" t="n">
        <f aca="false">IF(F300="","",ROUND(H300*IF(N('نقاوة بلس'!G7)&gt;1,'نقاوة بلس'!G7-1,0),2))</f>
        <v>528</v>
      </c>
      <c r="J300" s="9" t="n">
        <f aca="false">N('نقاوة بلس'!H7)</f>
        <v>4048</v>
      </c>
      <c r="K300" s="9" t="n">
        <f aca="false">N('نقاوة بلس'!I7)</f>
        <v>0</v>
      </c>
    </row>
    <row r="301" customFormat="false" ht="15" hidden="false" customHeight="false" outlineLevel="0" collapsed="false">
      <c r="A301" s="17" t="s">
        <v>59</v>
      </c>
      <c r="B301" s="11" t="n">
        <f aca="false">'نقاوة بلس'!C8</f>
        <v>46304</v>
      </c>
      <c r="C301" s="17" t="str">
        <f aca="false">'نقاوة بلس'!D8</f>
        <v>ليمون تركي</v>
      </c>
      <c r="D301" s="17" t="s">
        <v>117</v>
      </c>
      <c r="E301" s="7" t="s">
        <v>76</v>
      </c>
      <c r="F301" s="18" t="n">
        <f aca="false">IF('نقاوة بلس'!E8="","",'نقاوة بلس'!E8)</f>
        <v>100</v>
      </c>
      <c r="G301" s="19" t="n">
        <f aca="false">IF('نقاوة بلس'!F8="","",'نقاوة بلس'!F8)</f>
        <v>32</v>
      </c>
      <c r="H301" s="9" t="n">
        <f aca="false">IF(F301="","",ROUND(F301*G301,2))</f>
        <v>3200</v>
      </c>
      <c r="I301" s="9" t="n">
        <f aca="false">IF(F301="","",ROUND(H301*IF(N('نقاوة بلس'!G8)&gt;1,'نقاوة بلس'!G8-1,0),2))</f>
        <v>480</v>
      </c>
      <c r="J301" s="9" t="n">
        <f aca="false">N('نقاوة بلس'!H8)</f>
        <v>3680</v>
      </c>
      <c r="K301" s="9" t="n">
        <f aca="false">N('نقاوة بلس'!I8)</f>
        <v>0</v>
      </c>
    </row>
    <row r="302" customFormat="false" ht="15" hidden="false" customHeight="false" outlineLevel="0" collapsed="false">
      <c r="A302" s="17" t="s">
        <v>59</v>
      </c>
      <c r="B302" s="11" t="n">
        <f aca="false">'نقاوة بلس'!C9</f>
        <v>46305</v>
      </c>
      <c r="C302" s="17" t="str">
        <f aca="false">'نقاوة بلس'!D9</f>
        <v>سداد حوالة</v>
      </c>
      <c r="D302" s="17"/>
      <c r="E302" s="7" t="s">
        <v>98</v>
      </c>
      <c r="F302" s="7" t="str">
        <f aca="false">IF('نقاوة بلس'!E9="","",'نقاوة بلس'!E9)</f>
        <v/>
      </c>
      <c r="G302" s="19" t="str">
        <f aca="false">IF('نقاوة بلس'!F9="","",'نقاوة بلس'!F9)</f>
        <v/>
      </c>
      <c r="H302" s="9" t="str">
        <f aca="false">IF(F302="","",ROUND(F302*G302,2))</f>
        <v/>
      </c>
      <c r="I302" s="9" t="str">
        <f aca="false">IF(F302="","",ROUND(H302*IF(N('نقاوة بلس'!G9)&gt;1,'نقاوة بلس'!G9-1,0),2))</f>
        <v/>
      </c>
      <c r="J302" s="9" t="n">
        <f aca="false">N('نقاوة بلس'!H9)</f>
        <v>0</v>
      </c>
      <c r="K302" s="9" t="n">
        <f aca="false">N('نقاوة بلس'!I9)</f>
        <v>7728</v>
      </c>
    </row>
    <row r="303" customFormat="false" ht="15" hidden="false" customHeight="false" outlineLevel="0" collapsed="false">
      <c r="A303" s="17" t="s">
        <v>59</v>
      </c>
      <c r="B303" s="11" t="n">
        <f aca="false">'نقاوة بلس'!C10</f>
        <v>46306</v>
      </c>
      <c r="C303" s="17" t="str">
        <f aca="false">'نقاوة بلس'!D10</f>
        <v>ليمون تركي</v>
      </c>
      <c r="D303" s="17" t="s">
        <v>117</v>
      </c>
      <c r="E303" s="7" t="s">
        <v>76</v>
      </c>
      <c r="F303" s="18" t="n">
        <f aca="false">IF('نقاوة بلس'!E10="","",'نقاوة بلس'!E10)</f>
        <v>100</v>
      </c>
      <c r="G303" s="19" t="n">
        <f aca="false">IF('نقاوة بلس'!F10="","",'نقاوة بلس'!F10)</f>
        <v>30</v>
      </c>
      <c r="H303" s="9" t="n">
        <f aca="false">IF(F303="","",ROUND(F303*G303,2))</f>
        <v>3000</v>
      </c>
      <c r="I303" s="9" t="n">
        <f aca="false">IF(F303="","",ROUND(H303*IF(N('نقاوة بلس'!G10)&gt;1,'نقاوة بلس'!G10-1,0),2))</f>
        <v>450</v>
      </c>
      <c r="J303" s="9" t="n">
        <f aca="false">N('نقاوة بلس'!H10)</f>
        <v>3450</v>
      </c>
      <c r="K303" s="9" t="n">
        <f aca="false">N('نقاوة بلس'!I10)</f>
        <v>0</v>
      </c>
    </row>
    <row r="304" customFormat="false" ht="15" hidden="false" customHeight="false" outlineLevel="0" collapsed="false">
      <c r="A304" s="17" t="s">
        <v>59</v>
      </c>
      <c r="B304" s="11" t="n">
        <f aca="false">'نقاوة بلس'!C11</f>
        <v>46308</v>
      </c>
      <c r="C304" s="17" t="str">
        <f aca="false">'نقاوة بلس'!D11</f>
        <v>سداد حوالة</v>
      </c>
      <c r="D304" s="17"/>
      <c r="E304" s="7" t="s">
        <v>98</v>
      </c>
      <c r="F304" s="7" t="str">
        <f aca="false">IF('نقاوة بلس'!E11="","",'نقاوة بلس'!E11)</f>
        <v/>
      </c>
      <c r="G304" s="19" t="str">
        <f aca="false">IF('نقاوة بلس'!F11="","",'نقاوة بلس'!F11)</f>
        <v/>
      </c>
      <c r="H304" s="9" t="str">
        <f aca="false">IF(F304="","",ROUND(F304*G304,2))</f>
        <v/>
      </c>
      <c r="I304" s="9" t="str">
        <f aca="false">IF(F304="","",ROUND(H304*IF(N('نقاوة بلس'!G11)&gt;1,'نقاوة بلس'!G11-1,0),2))</f>
        <v/>
      </c>
      <c r="J304" s="9" t="n">
        <f aca="false">N('نقاوة بلس'!H11)</f>
        <v>0</v>
      </c>
      <c r="K304" s="9" t="n">
        <f aca="false">N('نقاوة بلس'!I11)</f>
        <v>3450</v>
      </c>
    </row>
    <row r="305" customFormat="false" ht="15" hidden="false" customHeight="false" outlineLevel="0" collapsed="false">
      <c r="A305" s="17" t="s">
        <v>59</v>
      </c>
      <c r="B305" s="11" t="n">
        <f aca="false">'نقاوة بلس'!C12</f>
        <v>46312</v>
      </c>
      <c r="C305" s="17" t="str">
        <f aca="false">'نقاوة بلس'!D12</f>
        <v>رمان وسط</v>
      </c>
      <c r="D305" s="17" t="s">
        <v>77</v>
      </c>
      <c r="E305" s="7" t="s">
        <v>76</v>
      </c>
      <c r="F305" s="18" t="n">
        <f aca="false">IF('نقاوة بلس'!E12="","",'نقاوة بلس'!E12)</f>
        <v>132</v>
      </c>
      <c r="G305" s="19" t="n">
        <f aca="false">IF('نقاوة بلس'!F12="","",'نقاوة بلس'!F12)</f>
        <v>16</v>
      </c>
      <c r="H305" s="9" t="n">
        <f aca="false">IF(F305="","",ROUND(F305*G305,2))</f>
        <v>2112</v>
      </c>
      <c r="I305" s="9" t="n">
        <f aca="false">IF(F305="","",ROUND(H305*IF(N('نقاوة بلس'!G12)&gt;1,'نقاوة بلس'!G12-1,0),2))</f>
        <v>316.8</v>
      </c>
      <c r="J305" s="9" t="n">
        <f aca="false">N('نقاوة بلس'!H12)</f>
        <v>2428.8</v>
      </c>
      <c r="K305" s="9" t="n">
        <f aca="false">N('نقاوة بلس'!I12)</f>
        <v>0</v>
      </c>
    </row>
    <row r="306" customFormat="false" ht="15" hidden="false" customHeight="false" outlineLevel="0" collapsed="false">
      <c r="A306" s="17" t="s">
        <v>59</v>
      </c>
      <c r="B306" s="11" t="n">
        <f aca="false">'نقاوة بلس'!C13</f>
        <v>46313</v>
      </c>
      <c r="C306" s="17" t="str">
        <f aca="false">'نقاوة بلس'!D13</f>
        <v>سداد حوالة</v>
      </c>
      <c r="D306" s="17"/>
      <c r="E306" s="7" t="s">
        <v>98</v>
      </c>
      <c r="F306" s="7" t="str">
        <f aca="false">IF('نقاوة بلس'!E13="","",'نقاوة بلس'!E13)</f>
        <v/>
      </c>
      <c r="G306" s="19" t="str">
        <f aca="false">IF('نقاوة بلس'!F13="","",'نقاوة بلس'!F13)</f>
        <v/>
      </c>
      <c r="H306" s="9" t="str">
        <f aca="false">IF(F306="","",ROUND(F306*G306,2))</f>
        <v/>
      </c>
      <c r="I306" s="9" t="str">
        <f aca="false">IF(F306="","",ROUND(H306*IF(N('نقاوة بلس'!G13)&gt;1,'نقاوة بلس'!G13-1,0),2))</f>
        <v/>
      </c>
      <c r="J306" s="9" t="n">
        <f aca="false">N('نقاوة بلس'!H13)</f>
        <v>0</v>
      </c>
      <c r="K306" s="9" t="n">
        <f aca="false">N('نقاوة بلس'!I13)</f>
        <v>2428</v>
      </c>
    </row>
    <row r="307" customFormat="false" ht="15" hidden="false" customHeight="false" outlineLevel="0" collapsed="false">
      <c r="A307" s="17" t="s">
        <v>59</v>
      </c>
      <c r="B307" s="11" t="n">
        <f aca="false">'نقاوة بلس'!C14</f>
        <v>46318</v>
      </c>
      <c r="C307" s="17" t="str">
        <f aca="false">'نقاوة بلس'!D14</f>
        <v>ليمون</v>
      </c>
      <c r="D307" s="17" t="s">
        <v>117</v>
      </c>
      <c r="E307" s="7" t="s">
        <v>76</v>
      </c>
      <c r="F307" s="18" t="n">
        <f aca="false">IF('نقاوة بلس'!E14="","",'نقاوة بلس'!E14)</f>
        <v>70</v>
      </c>
      <c r="G307" s="19" t="n">
        <f aca="false">IF('نقاوة بلس'!F14="","",'نقاوة بلس'!F14)</f>
        <v>50</v>
      </c>
      <c r="H307" s="9" t="n">
        <f aca="false">IF(F307="","",ROUND(F307*G307,2))</f>
        <v>3500</v>
      </c>
      <c r="I307" s="9" t="n">
        <f aca="false">IF(F307="","",ROUND(H307*IF(N('نقاوة بلس'!G14)&gt;1,'نقاوة بلس'!G14-1,0),2))</f>
        <v>525</v>
      </c>
      <c r="J307" s="9" t="n">
        <f aca="false">N('نقاوة بلس'!H14)</f>
        <v>4025</v>
      </c>
      <c r="K307" s="9" t="n">
        <f aca="false">N('نقاوة بلس'!I14)</f>
        <v>0</v>
      </c>
    </row>
    <row r="308" customFormat="false" ht="15" hidden="false" customHeight="false" outlineLevel="0" collapsed="false">
      <c r="A308" s="17" t="s">
        <v>59</v>
      </c>
      <c r="B308" s="11" t="n">
        <f aca="false">'نقاوة بلس'!C15</f>
        <v>46318</v>
      </c>
      <c r="C308" s="17" t="str">
        <f aca="false">'نقاوة بلس'!D15</f>
        <v>برتقال عصير</v>
      </c>
      <c r="D308" s="17" t="s">
        <v>118</v>
      </c>
      <c r="E308" s="7" t="s">
        <v>76</v>
      </c>
      <c r="F308" s="18" t="n">
        <f aca="false">IF('نقاوة بلس'!E15="","",'نقاوة بلس'!E15)</f>
        <v>79</v>
      </c>
      <c r="G308" s="19" t="n">
        <f aca="false">IF('نقاوة بلس'!F15="","",'نقاوة بلس'!F15)</f>
        <v>89</v>
      </c>
      <c r="H308" s="9" t="n">
        <f aca="false">IF(F308="","",ROUND(F308*G308,2))</f>
        <v>7031</v>
      </c>
      <c r="I308" s="9" t="n">
        <f aca="false">IF(F308="","",ROUND(H308*IF(N('نقاوة بلس'!G15)&gt;1,'نقاوة بلس'!G15-1,0),2))</f>
        <v>1054.65</v>
      </c>
      <c r="J308" s="9" t="n">
        <f aca="false">N('نقاوة بلس'!H15)</f>
        <v>8085.65</v>
      </c>
      <c r="K308" s="9" t="n">
        <f aca="false">N('نقاوة بلس'!I15)</f>
        <v>0</v>
      </c>
    </row>
    <row r="309" customFormat="false" ht="15" hidden="false" customHeight="false" outlineLevel="0" collapsed="false">
      <c r="A309" s="17" t="s">
        <v>59</v>
      </c>
      <c r="B309" s="11" t="n">
        <f aca="false">'نقاوة بلس'!C16</f>
        <v>46320</v>
      </c>
      <c r="C309" s="17" t="str">
        <f aca="false">'نقاوة بلس'!D16</f>
        <v>سداد حوالة دفعة لجبار</v>
      </c>
      <c r="D309" s="17"/>
      <c r="E309" s="7" t="s">
        <v>98</v>
      </c>
      <c r="F309" s="7" t="str">
        <f aca="false">IF('نقاوة بلس'!E16="","",'نقاوة بلس'!E16)</f>
        <v/>
      </c>
      <c r="G309" s="19" t="str">
        <f aca="false">IF('نقاوة بلس'!F16="","",'نقاوة بلس'!F16)</f>
        <v/>
      </c>
      <c r="H309" s="9" t="str">
        <f aca="false">IF(F309="","",ROUND(F309*G309,2))</f>
        <v/>
      </c>
      <c r="I309" s="9" t="str">
        <f aca="false">IF(F309="","",ROUND(H309*IF(N('نقاوة بلس'!G16)&gt;1,'نقاوة بلس'!G16-1,0),2))</f>
        <v/>
      </c>
      <c r="J309" s="9" t="n">
        <f aca="false">N('نقاوة بلس'!H16)</f>
        <v>0</v>
      </c>
      <c r="K309" s="9" t="n">
        <f aca="false">N('نقاوة بلس'!I16)</f>
        <v>7000</v>
      </c>
    </row>
    <row r="310" customFormat="false" ht="15" hidden="false" customHeight="false" outlineLevel="0" collapsed="false">
      <c r="A310" s="17" t="s">
        <v>59</v>
      </c>
      <c r="B310" s="11" t="n">
        <f aca="false">'نقاوة بلس'!C17</f>
        <v>46321</v>
      </c>
      <c r="C310" s="17" t="str">
        <f aca="false">'نقاوة بلس'!D17</f>
        <v>رمان وسط</v>
      </c>
      <c r="D310" s="17" t="s">
        <v>77</v>
      </c>
      <c r="E310" s="7" t="s">
        <v>76</v>
      </c>
      <c r="F310" s="18" t="n">
        <f aca="false">IF('نقاوة بلس'!E17="","",'نقاوة بلس'!E17)</f>
        <v>110</v>
      </c>
      <c r="G310" s="19" t="n">
        <f aca="false">IF('نقاوة بلس'!F17="","",'نقاوة بلس'!F17)</f>
        <v>17</v>
      </c>
      <c r="H310" s="9" t="n">
        <f aca="false">IF(F310="","",ROUND(F310*G310,2))</f>
        <v>1870</v>
      </c>
      <c r="I310" s="9" t="n">
        <f aca="false">IF(F310="","",ROUND(H310*IF(N('نقاوة بلس'!G17)&gt;1,'نقاوة بلس'!G17-1,0),2))</f>
        <v>280.5</v>
      </c>
      <c r="J310" s="9" t="n">
        <f aca="false">N('نقاوة بلس'!H17)</f>
        <v>2150.5</v>
      </c>
      <c r="K310" s="9" t="n">
        <f aca="false">N('نقاوة بلس'!I17)</f>
        <v>0</v>
      </c>
    </row>
    <row r="311" customFormat="false" ht="15" hidden="false" customHeight="false" outlineLevel="0" collapsed="false">
      <c r="A311" s="17" t="s">
        <v>59</v>
      </c>
      <c r="B311" s="11" t="n">
        <f aca="false">'نقاوة بلس'!C18</f>
        <v>46321</v>
      </c>
      <c r="C311" s="17" t="str">
        <f aca="false">'نقاوة بلس'!D18</f>
        <v>برتقال عصير</v>
      </c>
      <c r="D311" s="17" t="s">
        <v>118</v>
      </c>
      <c r="E311" s="7" t="s">
        <v>76</v>
      </c>
      <c r="F311" s="18" t="n">
        <f aca="false">IF('نقاوة بلس'!E18="","",'نقاوة بلس'!E18)</f>
        <v>80</v>
      </c>
      <c r="G311" s="19" t="n">
        <f aca="false">IF('نقاوة بلس'!F18="","",'نقاوة بلس'!F18)</f>
        <v>78</v>
      </c>
      <c r="H311" s="9" t="n">
        <f aca="false">IF(F311="","",ROUND(F311*G311,2))</f>
        <v>6240</v>
      </c>
      <c r="I311" s="9" t="n">
        <f aca="false">IF(F311="","",ROUND(H311*IF(N('نقاوة بلس'!G18)&gt;1,'نقاوة بلس'!G18-1,0),2))</f>
        <v>936</v>
      </c>
      <c r="J311" s="9" t="n">
        <f aca="false">N('نقاوة بلس'!H18)</f>
        <v>7176</v>
      </c>
      <c r="K311" s="9" t="n">
        <f aca="false">N('نقاوة بلس'!I18)</f>
        <v>0</v>
      </c>
    </row>
    <row r="312" customFormat="false" ht="15" hidden="false" customHeight="false" outlineLevel="0" collapsed="false">
      <c r="A312" s="17" t="s">
        <v>59</v>
      </c>
      <c r="B312" s="11" t="n">
        <f aca="false">'نقاوة بلس'!C19</f>
        <v>46321</v>
      </c>
      <c r="C312" s="17" t="str">
        <f aca="false">'نقاوة بلس'!D19</f>
        <v>سداد حوالة</v>
      </c>
      <c r="D312" s="17"/>
      <c r="E312" s="7" t="s">
        <v>98</v>
      </c>
      <c r="F312" s="7" t="str">
        <f aca="false">IF('نقاوة بلس'!E19="","",'نقاوة بلس'!E19)</f>
        <v/>
      </c>
      <c r="G312" s="19" t="str">
        <f aca="false">IF('نقاوة بلس'!F19="","",'نقاوة بلس'!F19)</f>
        <v/>
      </c>
      <c r="H312" s="9" t="str">
        <f aca="false">IF(F312="","",ROUND(F312*G312,2))</f>
        <v/>
      </c>
      <c r="I312" s="9" t="str">
        <f aca="false">IF(F312="","",ROUND(H312*IF(N('نقاوة بلس'!G19)&gt;1,'نقاوة بلس'!G19-1,0),2))</f>
        <v/>
      </c>
      <c r="J312" s="9" t="n">
        <f aca="false">N('نقاوة بلس'!H19)</f>
        <v>0</v>
      </c>
      <c r="K312" s="9" t="n">
        <f aca="false">N('نقاوة بلس'!I19)</f>
        <v>5110</v>
      </c>
    </row>
    <row r="313" customFormat="false" ht="15" hidden="false" customHeight="false" outlineLevel="0" collapsed="false">
      <c r="A313" s="17" t="s">
        <v>59</v>
      </c>
      <c r="B313" s="11" t="n">
        <f aca="false">'نقاوة بلس'!C20</f>
        <v>46323</v>
      </c>
      <c r="C313" s="17" t="str">
        <f aca="false">'نقاوة بلس'!D20</f>
        <v>حوالة لجبار البيشي</v>
      </c>
      <c r="D313" s="17"/>
      <c r="E313" s="7" t="s">
        <v>98</v>
      </c>
      <c r="F313" s="7" t="str">
        <f aca="false">IF('نقاوة بلس'!E20="","",'نقاوة بلس'!E20)</f>
        <v/>
      </c>
      <c r="G313" s="19" t="str">
        <f aca="false">IF('نقاوة بلس'!F20="","",'نقاوة بلس'!F20)</f>
        <v/>
      </c>
      <c r="H313" s="9" t="str">
        <f aca="false">IF(F313="","",ROUND(F313*G313,2))</f>
        <v/>
      </c>
      <c r="I313" s="9" t="str">
        <f aca="false">IF(F313="","",ROUND(H313*IF(N('نقاوة بلس'!G20)&gt;1,'نقاوة بلس'!G20-1,0),2))</f>
        <v/>
      </c>
      <c r="J313" s="9" t="n">
        <f aca="false">N('نقاوة بلس'!H20)</f>
        <v>0</v>
      </c>
      <c r="K313" s="9" t="n">
        <f aca="false">N('نقاوة بلس'!I20)</f>
        <v>5000</v>
      </c>
    </row>
    <row r="314" customFormat="false" ht="15" hidden="false" customHeight="false" outlineLevel="0" collapsed="false">
      <c r="A314" s="17" t="s">
        <v>59</v>
      </c>
      <c r="B314" s="11" t="n">
        <f aca="false">'نقاوة بلس'!C21</f>
        <v>46323</v>
      </c>
      <c r="C314" s="17" t="str">
        <f aca="false">'نقاوة بلس'!D21</f>
        <v>حوالة لجبار البيشي</v>
      </c>
      <c r="D314" s="17"/>
      <c r="E314" s="7" t="s">
        <v>98</v>
      </c>
      <c r="F314" s="7" t="str">
        <f aca="false">IF('نقاوة بلس'!E21="","",'نقاوة بلس'!E21)</f>
        <v/>
      </c>
      <c r="G314" s="19" t="str">
        <f aca="false">IF('نقاوة بلس'!F21="","",'نقاوة بلس'!F21)</f>
        <v/>
      </c>
      <c r="H314" s="9" t="str">
        <f aca="false">IF(F314="","",ROUND(F314*G314,2))</f>
        <v/>
      </c>
      <c r="I314" s="9" t="str">
        <f aca="false">IF(F314="","",ROUND(H314*IF(N('نقاوة بلس'!G21)&gt;1,'نقاوة بلس'!G21-1,0),2))</f>
        <v/>
      </c>
      <c r="J314" s="9" t="n">
        <f aca="false">N('نقاوة بلس'!H21)</f>
        <v>0</v>
      </c>
      <c r="K314" s="9" t="n">
        <f aca="false">N('نقاوة بلس'!I21)</f>
        <v>4326</v>
      </c>
    </row>
    <row r="315" customFormat="false" ht="15" hidden="false" customHeight="false" outlineLevel="0" collapsed="false">
      <c r="A315" s="17" t="s">
        <v>59</v>
      </c>
      <c r="B315" s="11" t="n">
        <f aca="false">'نقاوة بلس'!C22</f>
        <v>46323</v>
      </c>
      <c r="C315" s="17" t="str">
        <f aca="false">'نقاوة بلس'!D22</f>
        <v>خصم</v>
      </c>
      <c r="D315" s="17"/>
      <c r="E315" s="7" t="s">
        <v>96</v>
      </c>
      <c r="F315" s="7" t="str">
        <f aca="false">IF('نقاوة بلس'!E22="","",'نقاوة بلس'!E22)</f>
        <v/>
      </c>
      <c r="G315" s="19" t="str">
        <f aca="false">IF('نقاوة بلس'!F22="","",'نقاوة بلس'!F22)</f>
        <v/>
      </c>
      <c r="H315" s="9" t="str">
        <f aca="false">IF(F315="","",ROUND(F315*G315,2))</f>
        <v/>
      </c>
      <c r="I315" s="9" t="str">
        <f aca="false">IF(F315="","",ROUND(H315*IF(N('نقاوة بلس'!G22)&gt;1,'نقاوة بلس'!G22-1,0),2))</f>
        <v/>
      </c>
      <c r="J315" s="9" t="n">
        <f aca="false">N('نقاوة بلس'!H22)</f>
        <v>0</v>
      </c>
      <c r="K315" s="9" t="n">
        <f aca="false">N('نقاوة بلس'!I22)</f>
        <v>1.95</v>
      </c>
    </row>
    <row r="316" customFormat="false" ht="15" hidden="false" customHeight="false" outlineLevel="0" collapsed="false">
      <c r="A316" s="17" t="s">
        <v>60</v>
      </c>
      <c r="B316" s="11" t="n">
        <f aca="false">'بلال بنغالي'!C7</f>
        <v>46303</v>
      </c>
      <c r="C316" s="17" t="str">
        <f aca="false">'بلال بنغالي'!D7</f>
        <v>رمان</v>
      </c>
      <c r="D316" s="17" t="s">
        <v>102</v>
      </c>
      <c r="E316" s="7" t="s">
        <v>76</v>
      </c>
      <c r="F316" s="18" t="n">
        <f aca="false">IF('بلال بنغالي'!E7="","",'بلال بنغالي'!E7)</f>
        <v>5</v>
      </c>
      <c r="G316" s="19" t="n">
        <f aca="false">IF('بلال بنغالي'!F7="","",'بلال بنغالي'!F7)</f>
        <v>12</v>
      </c>
      <c r="H316" s="9" t="n">
        <f aca="false">IF(F316="","",ROUND(F316*G316,2))</f>
        <v>60</v>
      </c>
      <c r="I316" s="9" t="n">
        <f aca="false">IF(F316="","",ROUND(H316*IF(N('بلال بنغالي'!G7)&gt;1,'بلال بنغالي'!G7-1,0),2))</f>
        <v>0</v>
      </c>
      <c r="J316" s="9" t="n">
        <f aca="false">N('بلال بنغالي'!H7)</f>
        <v>60</v>
      </c>
      <c r="K316" s="9" t="n">
        <f aca="false">N('بلال بنغالي'!I7)</f>
        <v>0</v>
      </c>
    </row>
    <row r="317" customFormat="false" ht="15" hidden="false" customHeight="false" outlineLevel="0" collapsed="false">
      <c r="A317" s="17" t="s">
        <v>60</v>
      </c>
      <c r="B317" s="11" t="n">
        <f aca="false">'بلال بنغالي'!C8</f>
        <v>46304</v>
      </c>
      <c r="C317" s="17" t="str">
        <f aca="false">'بلال بنغالي'!D8</f>
        <v>سداد رمان</v>
      </c>
      <c r="D317" s="17"/>
      <c r="E317" s="7" t="s">
        <v>78</v>
      </c>
      <c r="F317" s="7" t="str">
        <f aca="false">IF('بلال بنغالي'!E8="","",'بلال بنغالي'!E8)</f>
        <v/>
      </c>
      <c r="G317" s="19" t="str">
        <f aca="false">IF('بلال بنغالي'!F8="","",'بلال بنغالي'!F8)</f>
        <v/>
      </c>
      <c r="H317" s="9" t="str">
        <f aca="false">IF(F317="","",ROUND(F317*G317,2))</f>
        <v/>
      </c>
      <c r="I317" s="9" t="str">
        <f aca="false">IF(F317="","",ROUND(H317*IF(N('بلال بنغالي'!G8)&gt;1,'بلال بنغالي'!G8-1,0),2))</f>
        <v/>
      </c>
      <c r="J317" s="9" t="n">
        <f aca="false">N('بلال بنغالي'!H8)</f>
        <v>0</v>
      </c>
      <c r="K317" s="9" t="n">
        <f aca="false">N('بلال بنغالي'!I8)</f>
        <v>60</v>
      </c>
    </row>
    <row r="318" customFormat="false" ht="15" hidden="false" customHeight="false" outlineLevel="0" collapsed="false">
      <c r="A318" s="17" t="s">
        <v>60</v>
      </c>
      <c r="B318" s="11" t="n">
        <f aca="false">'بلال بنغالي'!C9</f>
        <v>46307</v>
      </c>
      <c r="C318" s="17" t="str">
        <f aca="false">'بلال بنغالي'!D9</f>
        <v>رمان مصري</v>
      </c>
      <c r="D318" s="17" t="s">
        <v>87</v>
      </c>
      <c r="E318" s="7" t="s">
        <v>76</v>
      </c>
      <c r="F318" s="18" t="n">
        <f aca="false">IF('بلال بنغالي'!E9="","",'بلال بنغالي'!E9)</f>
        <v>5</v>
      </c>
      <c r="G318" s="19" t="n">
        <f aca="false">IF('بلال بنغالي'!F9="","",'بلال بنغالي'!F9)</f>
        <v>14</v>
      </c>
      <c r="H318" s="9" t="n">
        <f aca="false">IF(F318="","",ROUND(F318*G318,2))</f>
        <v>70</v>
      </c>
      <c r="I318" s="9" t="n">
        <f aca="false">IF(F318="","",ROUND(H318*IF(N('بلال بنغالي'!G9)&gt;1,'بلال بنغالي'!G9-1,0),2))</f>
        <v>0</v>
      </c>
      <c r="J318" s="9" t="n">
        <f aca="false">N('بلال بنغالي'!H9)</f>
        <v>70</v>
      </c>
      <c r="K318" s="9" t="n">
        <f aca="false">N('بلال بنغالي'!I9)</f>
        <v>0</v>
      </c>
    </row>
    <row r="319" customFormat="false" ht="15" hidden="false" customHeight="false" outlineLevel="0" collapsed="false">
      <c r="A319" s="17" t="s">
        <v>60</v>
      </c>
      <c r="B319" s="11" t="n">
        <f aca="false">'بلال بنغالي'!C10</f>
        <v>46308</v>
      </c>
      <c r="C319" s="17" t="str">
        <f aca="false">'بلال بنغالي'!D10</f>
        <v>رمان مصري</v>
      </c>
      <c r="D319" s="17" t="s">
        <v>87</v>
      </c>
      <c r="E319" s="7" t="s">
        <v>76</v>
      </c>
      <c r="F319" s="18" t="n">
        <f aca="false">IF('بلال بنغالي'!E10="","",'بلال بنغالي'!E10)</f>
        <v>5</v>
      </c>
      <c r="G319" s="19" t="n">
        <f aca="false">IF('بلال بنغالي'!F10="","",'بلال بنغالي'!F10)</f>
        <v>14</v>
      </c>
      <c r="H319" s="9" t="n">
        <f aca="false">IF(F319="","",ROUND(F319*G319,2))</f>
        <v>70</v>
      </c>
      <c r="I319" s="9" t="n">
        <f aca="false">IF(F319="","",ROUND(H319*IF(N('بلال بنغالي'!G10)&gt;1,'بلال بنغالي'!G10-1,0),2))</f>
        <v>0</v>
      </c>
      <c r="J319" s="9" t="n">
        <f aca="false">N('بلال بنغالي'!H10)</f>
        <v>70</v>
      </c>
      <c r="K319" s="9" t="n">
        <f aca="false">N('بلال بنغالي'!I10)</f>
        <v>0</v>
      </c>
    </row>
    <row r="320" customFormat="false" ht="15" hidden="false" customHeight="false" outlineLevel="0" collapsed="false">
      <c r="A320" s="17" t="s">
        <v>60</v>
      </c>
      <c r="B320" s="11" t="n">
        <f aca="false">'بلال بنغالي'!C11</f>
        <v>46308</v>
      </c>
      <c r="C320" s="17" t="str">
        <f aca="false">'بلال بنغالي'!D11</f>
        <v>سداد رمان دفعة</v>
      </c>
      <c r="D320" s="17"/>
      <c r="E320" s="7" t="s">
        <v>78</v>
      </c>
      <c r="F320" s="7" t="str">
        <f aca="false">IF('بلال بنغالي'!E11="","",'بلال بنغالي'!E11)</f>
        <v/>
      </c>
      <c r="G320" s="19" t="str">
        <f aca="false">IF('بلال بنغالي'!F11="","",'بلال بنغالي'!F11)</f>
        <v/>
      </c>
      <c r="H320" s="9" t="str">
        <f aca="false">IF(F320="","",ROUND(F320*G320,2))</f>
        <v/>
      </c>
      <c r="I320" s="9" t="str">
        <f aca="false">IF(F320="","",ROUND(H320*IF(N('بلال بنغالي'!G11)&gt;1,'بلال بنغالي'!G11-1,0),2))</f>
        <v/>
      </c>
      <c r="J320" s="9" t="n">
        <f aca="false">N('بلال بنغالي'!H11)</f>
        <v>0</v>
      </c>
      <c r="K320" s="9" t="n">
        <f aca="false">N('بلال بنغالي'!I11)</f>
        <v>70</v>
      </c>
    </row>
    <row r="321" customFormat="false" ht="15" hidden="false" customHeight="false" outlineLevel="0" collapsed="false">
      <c r="A321" s="17" t="s">
        <v>60</v>
      </c>
      <c r="B321" s="11" t="n">
        <f aca="false">'بلال بنغالي'!C12</f>
        <v>46313</v>
      </c>
      <c r="C321" s="17" t="str">
        <f aca="false">'بلال بنغالي'!D12</f>
        <v>سداد رمان</v>
      </c>
      <c r="D321" s="17"/>
      <c r="E321" s="7" t="s">
        <v>78</v>
      </c>
      <c r="F321" s="7" t="str">
        <f aca="false">IF('بلال بنغالي'!E12="","",'بلال بنغالي'!E12)</f>
        <v/>
      </c>
      <c r="G321" s="19" t="str">
        <f aca="false">IF('بلال بنغالي'!F12="","",'بلال بنغالي'!F12)</f>
        <v/>
      </c>
      <c r="H321" s="9" t="str">
        <f aca="false">IF(F321="","",ROUND(F321*G321,2))</f>
        <v/>
      </c>
      <c r="I321" s="9" t="str">
        <f aca="false">IF(F321="","",ROUND(H321*IF(N('بلال بنغالي'!G12)&gt;1,'بلال بنغالي'!G12-1,0),2))</f>
        <v/>
      </c>
      <c r="J321" s="9" t="n">
        <f aca="false">N('بلال بنغالي'!H12)</f>
        <v>0</v>
      </c>
      <c r="K321" s="9" t="n">
        <f aca="false">N('بلال بنغالي'!I12)</f>
        <v>70</v>
      </c>
    </row>
    <row r="322" customFormat="false" ht="15" hidden="false" customHeight="false" outlineLevel="0" collapsed="false">
      <c r="A322" s="17" t="s">
        <v>61</v>
      </c>
      <c r="B322" s="11" t="n">
        <f aca="false">الجيزاني!C7</f>
        <v>46319</v>
      </c>
      <c r="C322" s="17" t="str">
        <f aca="false">الجيزاني!D7</f>
        <v>فراولة</v>
      </c>
      <c r="D322" s="17" t="s">
        <v>80</v>
      </c>
      <c r="E322" s="7" t="s">
        <v>76</v>
      </c>
      <c r="F322" s="18" t="n">
        <f aca="false">IF(الجيزاني!E7="","",الجيزاني!E7)</f>
        <v>15</v>
      </c>
      <c r="G322" s="19" t="n">
        <f aca="false">IF(الجيزاني!F7="","",الجيزاني!F7)</f>
        <v>140</v>
      </c>
      <c r="H322" s="9" t="n">
        <f aca="false">IF(F322="","",ROUND(F322*G322,2))</f>
        <v>2100</v>
      </c>
      <c r="I322" s="9" t="n">
        <f aca="false">IF(F322="","",ROUND(H322*IF(N(الجيزاني!G7)&gt;1,الجيزاني!G7-1,0),2))</f>
        <v>0</v>
      </c>
      <c r="J322" s="9" t="n">
        <f aca="false">N(الجيزاني!H7)</f>
        <v>2100</v>
      </c>
      <c r="K322" s="9" t="n">
        <f aca="false">N(الجيزاني!I7)</f>
        <v>0</v>
      </c>
    </row>
    <row r="323" customFormat="false" ht="15" hidden="false" customHeight="false" outlineLevel="0" collapsed="false">
      <c r="A323" s="17" t="s">
        <v>61</v>
      </c>
      <c r="B323" s="11" t="n">
        <f aca="false">الجيزاني!C8</f>
        <v>46323</v>
      </c>
      <c r="C323" s="17" t="str">
        <f aca="false">الجيزاني!D8</f>
        <v>سداد</v>
      </c>
      <c r="D323" s="17"/>
      <c r="E323" s="7" t="s">
        <v>78</v>
      </c>
      <c r="F323" s="7" t="str">
        <f aca="false">IF(الجيزاني!E8="","",الجيزاني!E8)</f>
        <v/>
      </c>
      <c r="G323" s="19" t="str">
        <f aca="false">IF(الجيزاني!F8="","",الجيزاني!F8)</f>
        <v/>
      </c>
      <c r="H323" s="9" t="str">
        <f aca="false">IF(F323="","",ROUND(F323*G323,2))</f>
        <v/>
      </c>
      <c r="I323" s="9" t="str">
        <f aca="false">IF(F323="","",ROUND(H323*IF(N(الجيزاني!G8)&gt;1,الجيزاني!G8-1,0),2))</f>
        <v/>
      </c>
      <c r="J323" s="9" t="n">
        <f aca="false">N(الجيزاني!H8)</f>
        <v>0</v>
      </c>
      <c r="K323" s="9" t="n">
        <f aca="false">N(الجيزاني!I8)</f>
        <v>2100</v>
      </c>
    </row>
    <row r="324" customFormat="false" ht="15" hidden="false" customHeight="false" outlineLevel="0" collapsed="false">
      <c r="A324" s="12" t="s">
        <v>62</v>
      </c>
      <c r="H324" s="14" t="n">
        <f aca="false">SUM(H4:H323)</f>
        <v>251911.48</v>
      </c>
      <c r="I324" s="14" t="n">
        <f aca="false">SUM(I4:I323)</f>
        <v>18881.74</v>
      </c>
      <c r="J324" s="14" t="n">
        <f aca="false">SUM(J4:J323)</f>
        <v>266754.21</v>
      </c>
      <c r="K324" s="14" t="n">
        <f aca="false">SUM(K4:K323)</f>
        <v>214533</v>
      </c>
    </row>
  </sheetData>
  <autoFilter ref="A3:K32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K4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</cols>
  <sheetData>
    <row r="1" customFormat="false" ht="17.35" hidden="false" customHeight="true" outlineLevel="0" collapsed="false">
      <c r="A1" s="15" t="s">
        <v>119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false" outlineLevel="0" collapsed="false">
      <c r="A2" s="16" t="s">
        <v>120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15" hidden="false" customHeight="false" outlineLevel="0" collapsed="false">
      <c r="A3" s="6" t="s">
        <v>8</v>
      </c>
      <c r="B3" s="6" t="s">
        <v>121</v>
      </c>
      <c r="C3" s="6" t="s">
        <v>122</v>
      </c>
      <c r="D3" s="6" t="s">
        <v>10</v>
      </c>
      <c r="E3" s="6" t="s">
        <v>123</v>
      </c>
      <c r="F3" s="6" t="s">
        <v>72</v>
      </c>
      <c r="G3" s="6" t="s">
        <v>62</v>
      </c>
      <c r="H3" s="6" t="s">
        <v>124</v>
      </c>
      <c r="I3" s="6" t="s">
        <v>125</v>
      </c>
      <c r="J3" s="6" t="s">
        <v>126</v>
      </c>
      <c r="K3" s="6" t="s">
        <v>127</v>
      </c>
    </row>
    <row r="4" customFormat="false" ht="15" hidden="false" customHeight="false" outlineLevel="0" collapsed="false">
      <c r="A4" s="7" t="n">
        <v>1</v>
      </c>
      <c r="B4" s="17" t="s">
        <v>80</v>
      </c>
      <c r="C4" s="20" t="n">
        <f aca="false">SUMIFS('سجل الحركات'!$F$4:$F$323,'سجل الحركات'!$D$4:$D$323,B4,'سجل الحركات'!$E$4:$E$323,"بضاعة")</f>
        <v>559</v>
      </c>
      <c r="D4" s="21" t="n">
        <f aca="false">COUNTIFS('سجل الحركات'!$D$4:$D$323,B4,'سجل الحركات'!$E$4:$E$323,"بضاعة")</f>
        <v>36</v>
      </c>
      <c r="E4" s="9" t="n">
        <f aca="false">SUMIFS('سجل الحركات'!$H$4:$H$323,'سجل الحركات'!$D$4:$D$323,B4,'سجل الحركات'!$E$4:$E$323,"بضاعة")</f>
        <v>68383.3</v>
      </c>
      <c r="F4" s="9" t="n">
        <f aca="false">SUMIFS('سجل الحركات'!$I$4:$I$323,'سجل الحركات'!$D$4:$D$323,B4,'سجل الحركات'!$E$4:$E$323,"بضاعة")</f>
        <v>2111.6</v>
      </c>
      <c r="G4" s="9" t="n">
        <f aca="false">E4+F4</f>
        <v>70494.9</v>
      </c>
      <c r="H4" s="19" t="n">
        <f aca="false">IF(C4=0,"",E4/C4)</f>
        <v>122.331484794276</v>
      </c>
      <c r="I4" s="19" t="n">
        <f aca="false">_xlfn.MINIFS('سجل الحركات'!$G$4:$G$323,'سجل الحركات'!$D$4:$D$323,B4,'سجل الحركات'!$E$4:$E$323,"بضاعة")</f>
        <v>98</v>
      </c>
      <c r="J4" s="19" t="n">
        <f aca="false">_xlfn.MAXIFS('سجل الحركات'!$G$4:$G$323,'سجل الحركات'!$D$4:$D$323,B4,'سجل الحركات'!$E$4:$E$323,"بضاعة")</f>
        <v>140</v>
      </c>
      <c r="K4" s="22" t="n">
        <f aca="false">IF($G$40=0,"",G4/$G$40)</f>
        <v>0.265293468544192</v>
      </c>
    </row>
    <row r="5" customFormat="false" ht="15" hidden="false" customHeight="false" outlineLevel="0" collapsed="false">
      <c r="A5" s="7" t="n">
        <v>2</v>
      </c>
      <c r="B5" s="17" t="s">
        <v>79</v>
      </c>
      <c r="C5" s="20" t="n">
        <f aca="false">SUMIFS('سجل الحركات'!$F$4:$F$323,'سجل الحركات'!$D$4:$D$323,B5,'سجل الحركات'!$E$4:$E$323,"بضاعة")</f>
        <v>409</v>
      </c>
      <c r="D5" s="21" t="n">
        <f aca="false">COUNTIFS('سجل الحركات'!$D$4:$D$323,B5,'سجل الحركات'!$E$4:$E$323,"بضاعة")</f>
        <v>10</v>
      </c>
      <c r="E5" s="9" t="n">
        <f aca="false">SUMIFS('سجل الحركات'!$H$4:$H$323,'سجل الحركات'!$D$4:$D$323,B5,'سجل الحركات'!$E$4:$E$323,"بضاعة")</f>
        <v>28081</v>
      </c>
      <c r="F5" s="9" t="n">
        <f aca="false">SUMIFS('سجل الحركات'!$I$4:$I$323,'سجل الحركات'!$D$4:$D$323,B5,'سجل الحركات'!$E$4:$E$323,"بضاعة")</f>
        <v>1894.5</v>
      </c>
      <c r="G5" s="9" t="n">
        <f aca="false">E5+F5</f>
        <v>29975.5</v>
      </c>
      <c r="H5" s="19" t="n">
        <f aca="false">IF(C5=0,"",E5/C5)</f>
        <v>68.6577017114914</v>
      </c>
      <c r="I5" s="19" t="n">
        <f aca="false">_xlfn.MINIFS('سجل الحركات'!$G$4:$G$323,'سجل الحركات'!$D$4:$D$323,B5,'سجل الحركات'!$E$4:$E$323,"بضاعة")</f>
        <v>45</v>
      </c>
      <c r="J5" s="19" t="n">
        <f aca="false">_xlfn.MAXIFS('سجل الحركات'!$G$4:$G$323,'سجل الحركات'!$D$4:$D$323,B5,'سجل الحركات'!$E$4:$E$323,"بضاعة")</f>
        <v>90</v>
      </c>
      <c r="K5" s="22" t="n">
        <f aca="false">IF($G$40=0,"",G5/$G$40)</f>
        <v>0.112806803986479</v>
      </c>
    </row>
    <row r="6" customFormat="false" ht="15" hidden="false" customHeight="false" outlineLevel="0" collapsed="false">
      <c r="A6" s="7" t="n">
        <v>3</v>
      </c>
      <c r="B6" s="17" t="s">
        <v>97</v>
      </c>
      <c r="C6" s="20" t="n">
        <f aca="false">SUMIFS('سجل الحركات'!$F$4:$F$323,'سجل الحركات'!$D$4:$D$323,B6,'سجل الحركات'!$E$4:$E$323,"بضاعة")</f>
        <v>334</v>
      </c>
      <c r="D6" s="21" t="n">
        <f aca="false">COUNTIFS('سجل الحركات'!$D$4:$D$323,B6,'سجل الحركات'!$E$4:$E$323,"بضاعة")</f>
        <v>11</v>
      </c>
      <c r="E6" s="9" t="n">
        <f aca="false">SUMIFS('سجل الحركات'!$H$4:$H$323,'سجل الحركات'!$D$4:$D$323,B6,'سجل الحركات'!$E$4:$E$323,"بضاعة")</f>
        <v>21068</v>
      </c>
      <c r="F6" s="9" t="n">
        <f aca="false">SUMIFS('سجل الحركات'!$I$4:$I$323,'سجل الحركات'!$D$4:$D$323,B6,'سجل الحركات'!$E$4:$E$323,"بضاعة")</f>
        <v>2976.6</v>
      </c>
      <c r="G6" s="9" t="n">
        <f aca="false">E6+F6</f>
        <v>24044.6</v>
      </c>
      <c r="H6" s="19" t="n">
        <f aca="false">IF(C6=0,"",E6/C6)</f>
        <v>63.0778443113773</v>
      </c>
      <c r="I6" s="19" t="n">
        <f aca="false">_xlfn.MINIFS('سجل الحركات'!$G$4:$G$323,'سجل الحركات'!$D$4:$D$323,B6,'سجل الحركات'!$E$4:$E$323,"بضاعة")</f>
        <v>53</v>
      </c>
      <c r="J6" s="19" t="n">
        <f aca="false">_xlfn.MAXIFS('سجل الحركات'!$G$4:$G$323,'سجل الحركات'!$D$4:$D$323,B6,'سجل الحركات'!$E$4:$E$323,"بضاعة")</f>
        <v>78</v>
      </c>
      <c r="K6" s="22" t="n">
        <f aca="false">IF($G$40=0,"",G6/$G$40)</f>
        <v>0.0904870470595416</v>
      </c>
    </row>
    <row r="7" customFormat="false" ht="15" hidden="false" customHeight="false" outlineLevel="0" collapsed="false">
      <c r="A7" s="7" t="n">
        <v>4</v>
      </c>
      <c r="B7" s="17" t="s">
        <v>84</v>
      </c>
      <c r="C7" s="20" t="n">
        <f aca="false">SUMIFS('سجل الحركات'!$F$4:$F$323,'سجل الحركات'!$D$4:$D$323,B7,'سجل الحركات'!$E$4:$E$323,"بضاعة")</f>
        <v>534</v>
      </c>
      <c r="D7" s="21" t="n">
        <f aca="false">COUNTIFS('سجل الحركات'!$D$4:$D$323,B7,'سجل الحركات'!$E$4:$E$323,"بضاعة")</f>
        <v>14</v>
      </c>
      <c r="E7" s="9" t="n">
        <f aca="false">SUMIFS('سجل الحركات'!$H$4:$H$323,'سجل الحركات'!$D$4:$D$323,B7,'سجل الحركات'!$E$4:$E$323,"بضاعة")</f>
        <v>18661</v>
      </c>
      <c r="F7" s="9" t="n">
        <f aca="false">SUMIFS('سجل الحركات'!$I$4:$I$323,'سجل الحركات'!$D$4:$D$323,B7,'سجل الحركات'!$E$4:$E$323,"بضاعة")</f>
        <v>2716.8</v>
      </c>
      <c r="G7" s="9" t="n">
        <f aca="false">E7+F7</f>
        <v>21377.8</v>
      </c>
      <c r="H7" s="19" t="n">
        <f aca="false">IF(C7=0,"",E7/C7)</f>
        <v>34.9456928838951</v>
      </c>
      <c r="I7" s="19" t="n">
        <f aca="false">_xlfn.MINIFS('سجل الحركات'!$G$4:$G$323,'سجل الحركات'!$D$4:$D$323,B7,'سجل الحركات'!$E$4:$E$323,"بضاعة")</f>
        <v>33</v>
      </c>
      <c r="J7" s="19" t="n">
        <f aca="false">_xlfn.MAXIFS('سجل الحركات'!$G$4:$G$323,'سجل الحركات'!$D$4:$D$323,B7,'سجل الحركات'!$E$4:$E$323,"بضاعة")</f>
        <v>45</v>
      </c>
      <c r="K7" s="22" t="n">
        <f aca="false">IF($G$40=0,"",G7/$G$40)</f>
        <v>0.0804510781892595</v>
      </c>
    </row>
    <row r="8" customFormat="false" ht="15" hidden="false" customHeight="false" outlineLevel="0" collapsed="false">
      <c r="A8" s="7" t="n">
        <v>5</v>
      </c>
      <c r="B8" s="17" t="s">
        <v>77</v>
      </c>
      <c r="C8" s="20" t="n">
        <f aca="false">SUMIFS('سجل الحركات'!$F$4:$F$323,'سجل الحركات'!$D$4:$D$323,B8,'سجل الحركات'!$E$4:$E$323,"بضاعة")</f>
        <v>1019</v>
      </c>
      <c r="D8" s="21" t="n">
        <f aca="false">COUNTIFS('سجل الحركات'!$D$4:$D$323,B8,'سجل الحركات'!$E$4:$E$323,"بضاعة")</f>
        <v>20</v>
      </c>
      <c r="E8" s="9" t="n">
        <f aca="false">SUMIFS('سجل الحركات'!$H$4:$H$323,'سجل الحركات'!$D$4:$D$323,B8,'سجل الحركات'!$E$4:$E$323,"بضاعة")</f>
        <v>17360</v>
      </c>
      <c r="F8" s="9" t="n">
        <f aca="false">SUMIFS('سجل الحركات'!$I$4:$I$323,'سجل الحركات'!$D$4:$D$323,B8,'سجل الحركات'!$E$4:$E$323,"بضاعة")</f>
        <v>1653.3</v>
      </c>
      <c r="G8" s="9" t="n">
        <f aca="false">E8+F8</f>
        <v>19013.3</v>
      </c>
      <c r="H8" s="19" t="n">
        <f aca="false">IF(C8=0,"",E8/C8)</f>
        <v>17.036310107949</v>
      </c>
      <c r="I8" s="19" t="n">
        <f aca="false">_xlfn.MINIFS('سجل الحركات'!$G$4:$G$323,'سجل الحركات'!$D$4:$D$323,B8,'سجل الحركات'!$E$4:$E$323,"بضاعة")</f>
        <v>16</v>
      </c>
      <c r="J8" s="19" t="n">
        <f aca="false">_xlfn.MAXIFS('سجل الحركات'!$G$4:$G$323,'سجل الحركات'!$D$4:$D$323,B8,'سجل الحركات'!$E$4:$E$323,"بضاعة")</f>
        <v>20</v>
      </c>
      <c r="K8" s="22" t="n">
        <f aca="false">IF($G$40=0,"",G8/$G$40)</f>
        <v>0.0715527549577528</v>
      </c>
    </row>
    <row r="9" customFormat="false" ht="15" hidden="false" customHeight="false" outlineLevel="0" collapsed="false">
      <c r="A9" s="7" t="n">
        <v>6</v>
      </c>
      <c r="B9" s="17" t="s">
        <v>85</v>
      </c>
      <c r="C9" s="20" t="n">
        <f aca="false">SUMIFS('سجل الحركات'!$F$4:$F$323,'سجل الحركات'!$D$4:$D$323,B9,'سجل الحركات'!$E$4:$E$323,"بضاعة")</f>
        <v>680</v>
      </c>
      <c r="D9" s="21" t="n">
        <f aca="false">COUNTIFS('سجل الحركات'!$D$4:$D$323,B9,'سجل الحركات'!$E$4:$E$323,"بضاعة")</f>
        <v>10</v>
      </c>
      <c r="E9" s="9" t="n">
        <f aca="false">SUMIFS('سجل الحركات'!$H$4:$H$323,'سجل الحركات'!$D$4:$D$323,B9,'سجل الحركات'!$E$4:$E$323,"بضاعة")</f>
        <v>13562</v>
      </c>
      <c r="F9" s="9" t="n">
        <f aca="false">SUMIFS('سجل الحركات'!$I$4:$I$323,'سجل الحركات'!$D$4:$D$323,B9,'سجل الحركات'!$E$4:$E$323,"بضاعة")</f>
        <v>267.75</v>
      </c>
      <c r="G9" s="9" t="n">
        <f aca="false">E9+F9</f>
        <v>13829.75</v>
      </c>
      <c r="H9" s="19" t="n">
        <f aca="false">IF(C9=0,"",E9/C9)</f>
        <v>19.9441176470588</v>
      </c>
      <c r="I9" s="19" t="n">
        <f aca="false">_xlfn.MINIFS('سجل الحركات'!$G$4:$G$323,'سجل الحركات'!$D$4:$D$323,B9,'سجل الحركات'!$E$4:$E$323,"بضاعة")</f>
        <v>17</v>
      </c>
      <c r="J9" s="19" t="n">
        <f aca="false">_xlfn.MAXIFS('سجل الحركات'!$G$4:$G$323,'سجل الحركات'!$D$4:$D$323,B9,'سجل الحركات'!$E$4:$E$323,"بضاعة")</f>
        <v>25</v>
      </c>
      <c r="K9" s="22" t="n">
        <f aca="false">IF($G$40=0,"",G9/$G$40)</f>
        <v>0.0520455004063988</v>
      </c>
    </row>
    <row r="10" customFormat="false" ht="15" hidden="false" customHeight="false" outlineLevel="0" collapsed="false">
      <c r="A10" s="7" t="n">
        <v>7</v>
      </c>
      <c r="B10" s="17" t="s">
        <v>118</v>
      </c>
      <c r="C10" s="20" t="n">
        <f aca="false">SUMIFS('سجل الحركات'!$F$4:$F$323,'سجل الحركات'!$D$4:$D$323,B10,'سجل الحركات'!$E$4:$E$323,"بضاعة")</f>
        <v>159</v>
      </c>
      <c r="D10" s="21" t="n">
        <f aca="false">COUNTIFS('سجل الحركات'!$D$4:$D$323,B10,'سجل الحركات'!$E$4:$E$323,"بضاعة")</f>
        <v>2</v>
      </c>
      <c r="E10" s="9" t="n">
        <f aca="false">SUMIFS('سجل الحركات'!$H$4:$H$323,'سجل الحركات'!$D$4:$D$323,B10,'سجل الحركات'!$E$4:$E$323,"بضاعة")</f>
        <v>13271</v>
      </c>
      <c r="F10" s="9" t="n">
        <f aca="false">SUMIFS('سجل الحركات'!$I$4:$I$323,'سجل الحركات'!$D$4:$D$323,B10,'سجل الحركات'!$E$4:$E$323,"بضاعة")</f>
        <v>1990.65</v>
      </c>
      <c r="G10" s="9" t="n">
        <f aca="false">E10+F10</f>
        <v>15261.65</v>
      </c>
      <c r="H10" s="19" t="n">
        <f aca="false">IF(C10=0,"",E10/C10)</f>
        <v>83.4654088050314</v>
      </c>
      <c r="I10" s="19" t="n">
        <f aca="false">_xlfn.MINIFS('سجل الحركات'!$G$4:$G$323,'سجل الحركات'!$D$4:$D$323,B10,'سجل الحركات'!$E$4:$E$323,"بضاعة")</f>
        <v>78</v>
      </c>
      <c r="J10" s="19" t="n">
        <f aca="false">_xlfn.MAXIFS('سجل الحركات'!$G$4:$G$323,'سجل الحركات'!$D$4:$D$323,B10,'سجل الحركات'!$E$4:$E$323,"بضاعة")</f>
        <v>89</v>
      </c>
      <c r="K10" s="22" t="n">
        <f aca="false">IF($G$40=0,"",G10/$G$40)</f>
        <v>0.0574341699074326</v>
      </c>
    </row>
    <row r="11" customFormat="false" ht="15" hidden="false" customHeight="false" outlineLevel="0" collapsed="false">
      <c r="A11" s="7" t="n">
        <v>8</v>
      </c>
      <c r="B11" s="17" t="s">
        <v>87</v>
      </c>
      <c r="C11" s="20" t="n">
        <f aca="false">SUMIFS('سجل الحركات'!$F$4:$F$323,'سجل الحركات'!$D$4:$D$323,B11,'سجل الحركات'!$E$4:$E$323,"بضاعة")</f>
        <v>1016</v>
      </c>
      <c r="D11" s="21" t="n">
        <f aca="false">COUNTIFS('سجل الحركات'!$D$4:$D$323,B11,'سجل الحركات'!$E$4:$E$323,"بضاعة")</f>
        <v>15</v>
      </c>
      <c r="E11" s="9" t="n">
        <f aca="false">SUMIFS('سجل الحركات'!$H$4:$H$323,'سجل الحركات'!$D$4:$D$323,B11,'سجل الحركات'!$E$4:$E$323,"بضاعة")</f>
        <v>13101</v>
      </c>
      <c r="F11" s="9" t="n">
        <f aca="false">SUMIFS('سجل الحركات'!$I$4:$I$323,'سجل الحركات'!$D$4:$D$323,B11,'سجل الحركات'!$E$4:$E$323,"بضاعة")</f>
        <v>144.86</v>
      </c>
      <c r="G11" s="9" t="n">
        <f aca="false">E11+F11</f>
        <v>13245.86</v>
      </c>
      <c r="H11" s="19" t="n">
        <f aca="false">IF(C11=0,"",E11/C11)</f>
        <v>12.8946850393701</v>
      </c>
      <c r="I11" s="19" t="n">
        <f aca="false">_xlfn.MINIFS('سجل الحركات'!$G$4:$G$323,'سجل الحركات'!$D$4:$D$323,B11,'سجل الحركات'!$E$4:$E$323,"بضاعة")</f>
        <v>10.435</v>
      </c>
      <c r="J11" s="19" t="n">
        <f aca="false">_xlfn.MAXIFS('سجل الحركات'!$G$4:$G$323,'سجل الحركات'!$D$4:$D$323,B11,'سجل الحركات'!$E$4:$E$323,"بضاعة")</f>
        <v>15</v>
      </c>
      <c r="K11" s="22" t="n">
        <f aca="false">IF($G$40=0,"",G11/$G$40)</f>
        <v>0.0498481470751895</v>
      </c>
    </row>
    <row r="12" customFormat="false" ht="15" hidden="false" customHeight="false" outlineLevel="0" collapsed="false">
      <c r="A12" s="7" t="n">
        <v>9</v>
      </c>
      <c r="B12" s="17" t="s">
        <v>117</v>
      </c>
      <c r="C12" s="20" t="n">
        <f aca="false">SUMIFS('سجل الحركات'!$F$4:$F$323,'سجل الحركات'!$D$4:$D$323,B12,'سجل الحركات'!$E$4:$E$323,"بضاعة")</f>
        <v>270</v>
      </c>
      <c r="D12" s="21" t="n">
        <f aca="false">COUNTIFS('سجل الحركات'!$D$4:$D$323,B12,'سجل الحركات'!$E$4:$E$323,"بضاعة")</f>
        <v>3</v>
      </c>
      <c r="E12" s="9" t="n">
        <f aca="false">SUMIFS('سجل الحركات'!$H$4:$H$323,'سجل الحركات'!$D$4:$D$323,B12,'سجل الحركات'!$E$4:$E$323,"بضاعة")</f>
        <v>9700</v>
      </c>
      <c r="F12" s="9" t="n">
        <f aca="false">SUMIFS('سجل الحركات'!$I$4:$I$323,'سجل الحركات'!$D$4:$D$323,B12,'سجل الحركات'!$E$4:$E$323,"بضاعة")</f>
        <v>1455</v>
      </c>
      <c r="G12" s="9" t="n">
        <f aca="false">E12+F12</f>
        <v>11155</v>
      </c>
      <c r="H12" s="19" t="n">
        <f aca="false">IF(C12=0,"",E12/C12)</f>
        <v>35.9259259259259</v>
      </c>
      <c r="I12" s="19" t="n">
        <f aca="false">_xlfn.MINIFS('سجل الحركات'!$G$4:$G$323,'سجل الحركات'!$D$4:$D$323,B12,'سجل الحركات'!$E$4:$E$323,"بضاعة")</f>
        <v>30</v>
      </c>
      <c r="J12" s="19" t="n">
        <f aca="false">_xlfn.MAXIFS('سجل الحركات'!$G$4:$G$323,'سجل الحركات'!$D$4:$D$323,B12,'سجل الحركات'!$E$4:$E$323,"بضاعة")</f>
        <v>50</v>
      </c>
      <c r="K12" s="22" t="n">
        <f aca="false">IF($G$40=0,"",G12/$G$40)</f>
        <v>0.0419796132998339</v>
      </c>
    </row>
    <row r="13" customFormat="false" ht="15" hidden="false" customHeight="false" outlineLevel="0" collapsed="false">
      <c r="A13" s="7" t="n">
        <v>10</v>
      </c>
      <c r="B13" s="17" t="s">
        <v>105</v>
      </c>
      <c r="C13" s="20" t="n">
        <f aca="false">SUMIFS('سجل الحركات'!$F$4:$F$323,'سجل الحركات'!$D$4:$D$323,B13,'سجل الحركات'!$E$4:$E$323,"بضاعة")</f>
        <v>190</v>
      </c>
      <c r="D13" s="21" t="n">
        <f aca="false">COUNTIFS('سجل الحركات'!$D$4:$D$323,B13,'سجل الحركات'!$E$4:$E$323,"بضاعة")</f>
        <v>5</v>
      </c>
      <c r="E13" s="9" t="n">
        <f aca="false">SUMIFS('سجل الحركات'!$H$4:$H$323,'سجل الحركات'!$D$4:$D$323,B13,'سجل الحركات'!$E$4:$E$323,"بضاعة")</f>
        <v>7210</v>
      </c>
      <c r="F13" s="9" t="n">
        <f aca="false">SUMIFS('سجل الحركات'!$I$4:$I$323,'سجل الحركات'!$D$4:$D$323,B13,'سجل الحركات'!$E$4:$E$323,"بضاعة")</f>
        <v>367.5</v>
      </c>
      <c r="G13" s="9" t="n">
        <f aca="false">E13+F13</f>
        <v>7577.5</v>
      </c>
      <c r="H13" s="19" t="n">
        <f aca="false">IF(C13=0,"",E13/C13)</f>
        <v>37.9473684210526</v>
      </c>
      <c r="I13" s="19" t="n">
        <f aca="false">_xlfn.MINIFS('سجل الحركات'!$G$4:$G$323,'سجل الحركات'!$D$4:$D$323,B13,'سجل الحركات'!$E$4:$E$323,"بضاعة")</f>
        <v>35</v>
      </c>
      <c r="J13" s="19" t="n">
        <f aca="false">_xlfn.MAXIFS('سجل الحركات'!$G$4:$G$323,'سجل الحركات'!$D$4:$D$323,B13,'سجل الحركات'!$E$4:$E$323,"بضاعة")</f>
        <v>40</v>
      </c>
      <c r="K13" s="22" t="n">
        <f aca="false">IF($G$40=0,"",G13/$G$40)</f>
        <v>0.0285164069726124</v>
      </c>
    </row>
    <row r="14" customFormat="false" ht="15" hidden="false" customHeight="false" outlineLevel="0" collapsed="false">
      <c r="A14" s="7" t="n">
        <v>11</v>
      </c>
      <c r="B14" s="17" t="s">
        <v>86</v>
      </c>
      <c r="C14" s="20" t="n">
        <f aca="false">SUMIFS('سجل الحركات'!$F$4:$F$323,'سجل الحركات'!$D$4:$D$323,B14,'سجل الحركات'!$E$4:$E$323,"بضاعة")</f>
        <v>280</v>
      </c>
      <c r="D14" s="21" t="n">
        <f aca="false">COUNTIFS('سجل الحركات'!$D$4:$D$323,B14,'سجل الحركات'!$E$4:$E$323,"بضاعة")</f>
        <v>2</v>
      </c>
      <c r="E14" s="9" t="n">
        <f aca="false">SUMIFS('سجل الحركات'!$H$4:$H$323,'سجل الحركات'!$D$4:$D$323,B14,'سجل الحركات'!$E$4:$E$323,"بضاعة")</f>
        <v>5920</v>
      </c>
      <c r="F14" s="9" t="n">
        <f aca="false">SUMIFS('سجل الحركات'!$I$4:$I$323,'سجل الحركات'!$D$4:$D$323,B14,'سجل الحركات'!$E$4:$E$323,"بضاعة")</f>
        <v>850.5</v>
      </c>
      <c r="G14" s="9" t="n">
        <f aca="false">E14+F14</f>
        <v>6770.5</v>
      </c>
      <c r="H14" s="19" t="n">
        <f aca="false">IF(C14=0,"",E14/C14)</f>
        <v>21.1428571428571</v>
      </c>
      <c r="I14" s="19" t="n">
        <f aca="false">_xlfn.MINIFS('سجل الحركات'!$G$4:$G$323,'سجل الحركات'!$D$4:$D$323,B14,'سجل الحركات'!$E$4:$E$323,"بضاعة")</f>
        <v>21</v>
      </c>
      <c r="J14" s="19" t="n">
        <f aca="false">_xlfn.MAXIFS('سجل الحركات'!$G$4:$G$323,'سجل الحركات'!$D$4:$D$323,B14,'سجل الحركات'!$E$4:$E$323,"بضاعة")</f>
        <v>25</v>
      </c>
      <c r="K14" s="22" t="n">
        <f aca="false">IF($G$40=0,"",G14/$G$40)</f>
        <v>0.0254794237424048</v>
      </c>
    </row>
    <row r="15" customFormat="false" ht="15" hidden="false" customHeight="false" outlineLevel="0" collapsed="false">
      <c r="A15" s="7" t="n">
        <v>12</v>
      </c>
      <c r="B15" s="17" t="s">
        <v>75</v>
      </c>
      <c r="C15" s="20" t="n">
        <f aca="false">SUMIFS('سجل الحركات'!$F$4:$F$323,'سجل الحركات'!$D$4:$D$323,B15,'سجل الحركات'!$E$4:$E$323,"بضاعة")</f>
        <v>83</v>
      </c>
      <c r="D15" s="21" t="n">
        <f aca="false">COUNTIFS('سجل الحركات'!$D$4:$D$323,B15,'سجل الحركات'!$E$4:$E$323,"بضاعة")</f>
        <v>13</v>
      </c>
      <c r="E15" s="9" t="n">
        <f aca="false">SUMIFS('سجل الحركات'!$H$4:$H$323,'سجل الحركات'!$D$4:$D$323,B15,'سجل الحركات'!$E$4:$E$323,"بضاعة")</f>
        <v>4560</v>
      </c>
      <c r="F15" s="9" t="n">
        <f aca="false">SUMIFS('سجل الحركات'!$I$4:$I$323,'سجل الحركات'!$D$4:$D$323,B15,'سجل الحركات'!$E$4:$E$323,"بضاعة")</f>
        <v>0</v>
      </c>
      <c r="G15" s="9" t="n">
        <f aca="false">E15+F15</f>
        <v>4560</v>
      </c>
      <c r="H15" s="19" t="n">
        <f aca="false">IF(C15=0,"",E15/C15)</f>
        <v>54.9397590361446</v>
      </c>
      <c r="I15" s="19" t="n">
        <f aca="false">_xlfn.MINIFS('سجل الحركات'!$G$4:$G$323,'سجل الحركات'!$D$4:$D$323,B15,'سجل الحركات'!$E$4:$E$323,"بضاعة")</f>
        <v>52</v>
      </c>
      <c r="J15" s="19" t="n">
        <f aca="false">_xlfn.MAXIFS('سجل الحركات'!$G$4:$G$323,'سجل الحركات'!$D$4:$D$323,B15,'سجل الحركات'!$E$4:$E$323,"بضاعة")</f>
        <v>60</v>
      </c>
      <c r="K15" s="22" t="n">
        <f aca="false">IF($G$40=0,"",G15/$G$40)</f>
        <v>0.0171606487357457</v>
      </c>
    </row>
    <row r="16" customFormat="false" ht="15" hidden="false" customHeight="false" outlineLevel="0" collapsed="false">
      <c r="A16" s="7" t="n">
        <v>13</v>
      </c>
      <c r="B16" s="17" t="s">
        <v>104</v>
      </c>
      <c r="C16" s="20" t="n">
        <f aca="false">SUMIFS('سجل الحركات'!$F$4:$F$323,'سجل الحركات'!$D$4:$D$323,B16,'سجل الحركات'!$E$4:$E$323,"بضاعة")</f>
        <v>140</v>
      </c>
      <c r="D16" s="21" t="n">
        <f aca="false">COUNTIFS('سجل الحركات'!$D$4:$D$323,B16,'سجل الحركات'!$E$4:$E$323,"بضاعة")</f>
        <v>5</v>
      </c>
      <c r="E16" s="9" t="n">
        <f aca="false">SUMIFS('سجل الحركات'!$H$4:$H$323,'سجل الحركات'!$D$4:$D$323,B16,'سجل الحركات'!$E$4:$E$323,"بضاعة")</f>
        <v>3990</v>
      </c>
      <c r="F16" s="9" t="n">
        <f aca="false">SUMIFS('سجل الحركات'!$I$4:$I$323,'سجل الحركات'!$D$4:$D$323,B16,'سجل الحركات'!$E$4:$E$323,"بضاعة")</f>
        <v>202.5</v>
      </c>
      <c r="G16" s="9" t="n">
        <f aca="false">E16+F16</f>
        <v>4192.5</v>
      </c>
      <c r="H16" s="19" t="n">
        <f aca="false">IF(C16=0,"",E16/C16)</f>
        <v>28.5</v>
      </c>
      <c r="I16" s="19" t="n">
        <f aca="false">_xlfn.MINIFS('سجل الحركات'!$G$4:$G$323,'سجل الحركات'!$D$4:$D$323,B16,'سجل الحركات'!$E$4:$E$323,"بضاعة")</f>
        <v>27</v>
      </c>
      <c r="J16" s="19" t="n">
        <f aca="false">_xlfn.MAXIFS('سجل الحركات'!$G$4:$G$323,'سجل الحركات'!$D$4:$D$323,B16,'سجل الحركات'!$E$4:$E$323,"بضاعة")</f>
        <v>30</v>
      </c>
      <c r="K16" s="22" t="n">
        <f aca="false">IF($G$40=0,"",G16/$G$40)</f>
        <v>0.0157776359264504</v>
      </c>
    </row>
    <row r="17" customFormat="false" ht="15" hidden="false" customHeight="false" outlineLevel="0" collapsed="false">
      <c r="A17" s="7" t="n">
        <v>14</v>
      </c>
      <c r="B17" s="17" t="s">
        <v>93</v>
      </c>
      <c r="C17" s="20" t="n">
        <f aca="false">SUMIFS('سجل الحركات'!$F$4:$F$323,'سجل الحركات'!$D$4:$D$323,B17,'سجل الحركات'!$E$4:$E$323,"بضاعة")</f>
        <v>159</v>
      </c>
      <c r="D17" s="21" t="n">
        <f aca="false">COUNTIFS('سجل الحركات'!$D$4:$D$323,B17,'سجل الحركات'!$E$4:$E$323,"بضاعة")</f>
        <v>6</v>
      </c>
      <c r="E17" s="9" t="n">
        <f aca="false">SUMIFS('سجل الحركات'!$H$4:$H$323,'سجل الحركات'!$D$4:$D$323,B17,'سجل الحركات'!$E$4:$E$323,"بضاعة")</f>
        <v>3892</v>
      </c>
      <c r="F17" s="9" t="n">
        <f aca="false">SUMIFS('سجل الحركات'!$I$4:$I$323,'سجل الحركات'!$D$4:$D$323,B17,'سجل الحركات'!$E$4:$E$323,"بضاعة")</f>
        <v>555.3</v>
      </c>
      <c r="G17" s="9" t="n">
        <f aca="false">E17+F17</f>
        <v>4447.3</v>
      </c>
      <c r="H17" s="19" t="n">
        <f aca="false">IF(C17=0,"",E17/C17)</f>
        <v>24.4779874213837</v>
      </c>
      <c r="I17" s="19" t="n">
        <f aca="false">_xlfn.MINIFS('سجل الحركات'!$G$4:$G$323,'سجل الحركات'!$D$4:$D$323,B17,'سجل الحركات'!$E$4:$E$323,"بضاعة")</f>
        <v>8</v>
      </c>
      <c r="J17" s="19" t="n">
        <f aca="false">_xlfn.MAXIFS('سجل الحركات'!$G$4:$G$323,'سجل الحركات'!$D$4:$D$323,B17,'سجل الحركات'!$E$4:$E$323,"بضاعة")</f>
        <v>43</v>
      </c>
      <c r="K17" s="22" t="n">
        <f aca="false">IF($G$40=0,"",G17/$G$40)</f>
        <v>0.0167365248075618</v>
      </c>
    </row>
    <row r="18" customFormat="false" ht="15" hidden="false" customHeight="false" outlineLevel="0" collapsed="false">
      <c r="A18" s="7" t="n">
        <v>15</v>
      </c>
      <c r="B18" s="17" t="s">
        <v>90</v>
      </c>
      <c r="C18" s="20" t="n">
        <f aca="false">SUMIFS('سجل الحركات'!$F$4:$F$323,'سجل الحركات'!$D$4:$D$323,B18,'سجل الحركات'!$E$4:$E$323,"بضاعة")</f>
        <v>320</v>
      </c>
      <c r="D18" s="21" t="n">
        <f aca="false">COUNTIFS('سجل الحركات'!$D$4:$D$323,B18,'سجل الحركات'!$E$4:$E$323,"بضاعة")</f>
        <v>7</v>
      </c>
      <c r="E18" s="9" t="n">
        <f aca="false">SUMIFS('سجل الحركات'!$H$4:$H$323,'سجل الحركات'!$D$4:$D$323,B18,'سجل الحركات'!$E$4:$E$323,"بضاعة")</f>
        <v>2456</v>
      </c>
      <c r="F18" s="9" t="n">
        <f aca="false">SUMIFS('سجل الحركات'!$I$4:$I$323,'سجل الحركات'!$D$4:$D$323,B18,'سجل الحركات'!$E$4:$E$323,"بضاعة")</f>
        <v>242.4</v>
      </c>
      <c r="G18" s="9" t="n">
        <f aca="false">E18+F18</f>
        <v>2698.4</v>
      </c>
      <c r="H18" s="19" t="n">
        <f aca="false">IF(C18=0,"",E18/C18)</f>
        <v>7.675</v>
      </c>
      <c r="I18" s="19" t="n">
        <f aca="false">_xlfn.MINIFS('سجل الحركات'!$G$4:$G$323,'سجل الحركات'!$D$4:$D$323,B18,'سجل الحركات'!$E$4:$E$323,"بضاعة")</f>
        <v>7</v>
      </c>
      <c r="J18" s="19" t="n">
        <f aca="false">_xlfn.MAXIFS('سجل الحركات'!$G$4:$G$323,'سجل الحركات'!$D$4:$D$323,B18,'سجل الحركات'!$E$4:$E$323,"بضاعة")</f>
        <v>9</v>
      </c>
      <c r="K18" s="22" t="n">
        <f aca="false">IF($G$40=0,"",G18/$G$40)</f>
        <v>0.0101548891553807</v>
      </c>
    </row>
    <row r="19" customFormat="false" ht="15" hidden="false" customHeight="false" outlineLevel="0" collapsed="false">
      <c r="A19" s="7" t="n">
        <v>16</v>
      </c>
      <c r="B19" s="17" t="s">
        <v>106</v>
      </c>
      <c r="C19" s="20" t="n">
        <f aca="false">SUMIFS('سجل الحركات'!$F$4:$F$323,'سجل الحركات'!$D$4:$D$323,B19,'سجل الحركات'!$E$4:$E$323,"بضاعة")</f>
        <v>63</v>
      </c>
      <c r="D19" s="21" t="n">
        <f aca="false">COUNTIFS('سجل الحركات'!$D$4:$D$323,B19,'سجل الحركات'!$E$4:$E$323,"بضاعة")</f>
        <v>3</v>
      </c>
      <c r="E19" s="9" t="n">
        <f aca="false">SUMIFS('سجل الحركات'!$H$4:$H$323,'سجل الحركات'!$D$4:$D$323,B19,'سجل الحركات'!$E$4:$E$323,"بضاعة")</f>
        <v>2401.31</v>
      </c>
      <c r="F19" s="9" t="n">
        <f aca="false">SUMIFS('سجل الحركات'!$I$4:$I$323,'سجل الحركات'!$D$4:$D$323,B19,'سجل الحركات'!$E$4:$E$323,"بضاعة")</f>
        <v>13.7</v>
      </c>
      <c r="G19" s="9" t="n">
        <f aca="false">E19+F19</f>
        <v>2415.01</v>
      </c>
      <c r="H19" s="19" t="n">
        <f aca="false">IF(C19=0,"",E19/C19)</f>
        <v>38.1160317460317</v>
      </c>
      <c r="I19" s="19" t="n">
        <f aca="false">_xlfn.MINIFS('سجل الحركات'!$G$4:$G$323,'سجل الحركات'!$D$4:$D$323,B19,'سجل الحركات'!$E$4:$E$323,"بضاعة")</f>
        <v>30.435</v>
      </c>
      <c r="J19" s="19" t="n">
        <f aca="false">_xlfn.MAXIFS('سجل الحركات'!$G$4:$G$323,'سجل الحركات'!$D$4:$D$323,B19,'سجل الحركات'!$E$4:$E$323,"بضاعة")</f>
        <v>39</v>
      </c>
      <c r="K19" s="22" t="n">
        <f aca="false">IF($G$40=0,"",G19/$G$40)</f>
        <v>0.00908840752265638</v>
      </c>
    </row>
    <row r="20" customFormat="false" ht="15" hidden="false" customHeight="false" outlineLevel="0" collapsed="false">
      <c r="A20" s="7" t="n">
        <v>17</v>
      </c>
      <c r="B20" s="17" t="s">
        <v>82</v>
      </c>
      <c r="C20" s="20" t="n">
        <f aca="false">SUMIFS('سجل الحركات'!$F$4:$F$323,'سجل الحركات'!$D$4:$D$323,B20,'سجل الحركات'!$E$4:$E$323,"بضاعة")</f>
        <v>50</v>
      </c>
      <c r="D20" s="21" t="n">
        <f aca="false">COUNTIFS('سجل الحركات'!$D$4:$D$323,B20,'سجل الحركات'!$E$4:$E$323,"بضاعة")</f>
        <v>2</v>
      </c>
      <c r="E20" s="9" t="n">
        <f aca="false">SUMIFS('سجل الحركات'!$H$4:$H$323,'سجل الحركات'!$D$4:$D$323,B20,'سجل الحركات'!$E$4:$E$323,"بضاعة")</f>
        <v>1930</v>
      </c>
      <c r="F20" s="9" t="n">
        <f aca="false">SUMIFS('سجل الحركات'!$I$4:$I$323,'سجل الحركات'!$D$4:$D$323,B20,'سجل الحركات'!$E$4:$E$323,"بضاعة")</f>
        <v>100.5</v>
      </c>
      <c r="G20" s="9" t="n">
        <f aca="false">E20+F20</f>
        <v>2030.5</v>
      </c>
      <c r="H20" s="19" t="n">
        <f aca="false">IF(C20=0,"",E20/C20)</f>
        <v>38.6</v>
      </c>
      <c r="I20" s="19" t="n">
        <f aca="false">_xlfn.MINIFS('سجل الحركات'!$G$4:$G$323,'سجل الحركات'!$D$4:$D$323,B20,'سجل الحركات'!$E$4:$E$323,"بضاعة")</f>
        <v>33.5</v>
      </c>
      <c r="J20" s="19" t="n">
        <f aca="false">_xlfn.MAXIFS('سجل الحركات'!$G$4:$G$323,'سجل الحركات'!$D$4:$D$323,B20,'سجل الحركات'!$E$4:$E$323,"بضاعة")</f>
        <v>42</v>
      </c>
      <c r="K20" s="22" t="n">
        <f aca="false">IF($G$40=0,"",G20/$G$40)</f>
        <v>0.00764138097761657</v>
      </c>
    </row>
    <row r="21" customFormat="false" ht="15" hidden="false" customHeight="false" outlineLevel="0" collapsed="false">
      <c r="A21" s="7" t="n">
        <v>18</v>
      </c>
      <c r="B21" s="17" t="s">
        <v>95</v>
      </c>
      <c r="C21" s="20" t="n">
        <f aca="false">SUMIFS('سجل الحركات'!$F$4:$F$323,'سجل الحركات'!$D$4:$D$323,B21,'سجل الحركات'!$E$4:$E$323,"بضاعة")</f>
        <v>74</v>
      </c>
      <c r="D21" s="21" t="n">
        <f aca="false">COUNTIFS('سجل الحركات'!$D$4:$D$323,B21,'سجل الحركات'!$E$4:$E$323,"بضاعة")</f>
        <v>4</v>
      </c>
      <c r="E21" s="9" t="n">
        <f aca="false">SUMIFS('سجل الحركات'!$H$4:$H$323,'سجل الحركات'!$D$4:$D$323,B21,'سجل الحركات'!$E$4:$E$323,"بضاعة")</f>
        <v>1924</v>
      </c>
      <c r="F21" s="9" t="n">
        <f aca="false">SUMIFS('سجل الحركات'!$I$4:$I$323,'سجل الحركات'!$D$4:$D$323,B21,'سجل الحركات'!$E$4:$E$323,"بضاعة")</f>
        <v>288.6</v>
      </c>
      <c r="G21" s="9" t="n">
        <f aca="false">E21+F21</f>
        <v>2212.6</v>
      </c>
      <c r="H21" s="19" t="n">
        <f aca="false">IF(C21=0,"",E21/C21)</f>
        <v>26</v>
      </c>
      <c r="I21" s="19" t="n">
        <f aca="false">_xlfn.MINIFS('سجل الحركات'!$G$4:$G$323,'سجل الحركات'!$D$4:$D$323,B21,'سجل الحركات'!$E$4:$E$323,"بضاعة")</f>
        <v>8</v>
      </c>
      <c r="J21" s="19" t="n">
        <f aca="false">_xlfn.MAXIFS('سجل الحركات'!$G$4:$G$323,'سجل الحركات'!$D$4:$D$323,B21,'سجل الحركات'!$E$4:$E$323,"بضاعة")</f>
        <v>31</v>
      </c>
      <c r="K21" s="22" t="n">
        <f aca="false">IF($G$40=0,"",G21/$G$40)</f>
        <v>0.00832667793699799</v>
      </c>
    </row>
    <row r="22" customFormat="false" ht="15" hidden="false" customHeight="false" outlineLevel="0" collapsed="false">
      <c r="A22" s="7" t="n">
        <v>19</v>
      </c>
      <c r="B22" s="17" t="s">
        <v>107</v>
      </c>
      <c r="C22" s="20" t="n">
        <f aca="false">SUMIFS('سجل الحركات'!$F$4:$F$323,'سجل الحركات'!$D$4:$D$323,B22,'سجل الحركات'!$E$4:$E$323,"بضاعة")</f>
        <v>50</v>
      </c>
      <c r="D22" s="21" t="n">
        <f aca="false">COUNTIFS('سجل الحركات'!$D$4:$D$323,B22,'سجل الحركات'!$E$4:$E$323,"بضاعة")</f>
        <v>2</v>
      </c>
      <c r="E22" s="9" t="n">
        <f aca="false">SUMIFS('سجل الحركات'!$H$4:$H$323,'سجل الحركات'!$D$4:$D$323,B22,'سجل الحركات'!$E$4:$E$323,"بضاعة")</f>
        <v>1720</v>
      </c>
      <c r="F22" s="9" t="n">
        <f aca="false">SUMIFS('سجل الحركات'!$I$4:$I$323,'سجل الحركات'!$D$4:$D$323,B22,'سجل الحركات'!$E$4:$E$323,"بضاعة")</f>
        <v>258</v>
      </c>
      <c r="G22" s="9" t="n">
        <f aca="false">E22+F22</f>
        <v>1978</v>
      </c>
      <c r="H22" s="19" t="n">
        <f aca="false">IF(C22=0,"",E22/C22)</f>
        <v>34.4</v>
      </c>
      <c r="I22" s="19" t="n">
        <f aca="false">_xlfn.MINIFS('سجل الحركات'!$G$4:$G$323,'سجل الحركات'!$D$4:$D$323,B22,'سجل الحركات'!$E$4:$E$323,"بضاعة")</f>
        <v>34</v>
      </c>
      <c r="J22" s="19" t="n">
        <f aca="false">_xlfn.MAXIFS('سجل الحركات'!$G$4:$G$323,'سجل الحركات'!$D$4:$D$323,B22,'سجل الحركات'!$E$4:$E$323,"بضاعة")</f>
        <v>35</v>
      </c>
      <c r="K22" s="22" t="n">
        <f aca="false">IF($G$40=0,"",G22/$G$40)</f>
        <v>0.00744380771914581</v>
      </c>
    </row>
    <row r="23" customFormat="false" ht="15" hidden="false" customHeight="false" outlineLevel="0" collapsed="false">
      <c r="A23" s="7" t="n">
        <v>20</v>
      </c>
      <c r="B23" s="17" t="s">
        <v>112</v>
      </c>
      <c r="C23" s="20" t="n">
        <f aca="false">SUMIFS('سجل الحركات'!$F$4:$F$323,'سجل الحركات'!$D$4:$D$323,B23,'سجل الحركات'!$E$4:$E$323,"بضاعة")</f>
        <v>120</v>
      </c>
      <c r="D23" s="21" t="n">
        <f aca="false">COUNTIFS('سجل الحركات'!$D$4:$D$323,B23,'سجل الحركات'!$E$4:$E$323,"بضاعة")</f>
        <v>2</v>
      </c>
      <c r="E23" s="9" t="n">
        <f aca="false">SUMIFS('سجل الحركات'!$H$4:$H$323,'سجل الحركات'!$D$4:$D$323,B23,'سجل الحركات'!$E$4:$E$323,"بضاعة")</f>
        <v>1645</v>
      </c>
      <c r="F23" s="9" t="n">
        <f aca="false">SUMIFS('سجل الحركات'!$I$4:$I$323,'سجل الحركات'!$D$4:$D$323,B23,'سجل الحركات'!$E$4:$E$323,"بضاعة")</f>
        <v>246.75</v>
      </c>
      <c r="G23" s="9" t="n">
        <f aca="false">E23+F23</f>
        <v>1891.75</v>
      </c>
      <c r="H23" s="19" t="n">
        <f aca="false">IF(C23=0,"",E23/C23)</f>
        <v>13.7083333333333</v>
      </c>
      <c r="I23" s="19" t="n">
        <f aca="false">_xlfn.MINIFS('سجل الحركات'!$G$4:$G$323,'سجل الحركات'!$D$4:$D$323,B23,'سجل الحركات'!$E$4:$E$323,"بضاعة")</f>
        <v>13</v>
      </c>
      <c r="J23" s="19" t="n">
        <f aca="false">_xlfn.MAXIFS('سجل الحركات'!$G$4:$G$323,'سجل الحركات'!$D$4:$D$323,B23,'سجل الحركات'!$E$4:$E$323,"بضاعة")</f>
        <v>14</v>
      </c>
      <c r="K23" s="22" t="n">
        <f aca="false">IF($G$40=0,"",G23/$G$40)</f>
        <v>0.00711922308022957</v>
      </c>
    </row>
    <row r="24" customFormat="false" ht="15" hidden="false" customHeight="false" outlineLevel="0" collapsed="false">
      <c r="A24" s="7" t="n">
        <v>21</v>
      </c>
      <c r="B24" s="17" t="s">
        <v>111</v>
      </c>
      <c r="C24" s="20" t="n">
        <f aca="false">SUMIFS('سجل الحركات'!$F$4:$F$323,'سجل الحركات'!$D$4:$D$323,B24,'سجل الحركات'!$E$4:$E$323,"بضاعة")</f>
        <v>86</v>
      </c>
      <c r="D24" s="21" t="n">
        <f aca="false">COUNTIFS('سجل الحركات'!$D$4:$D$323,B24,'سجل الحركات'!$E$4:$E$323,"بضاعة")</f>
        <v>1</v>
      </c>
      <c r="E24" s="9" t="n">
        <f aca="false">SUMIFS('سجل الحركات'!$H$4:$H$323,'سجل الحركات'!$D$4:$D$323,B24,'سجل الحركات'!$E$4:$E$323,"بضاعة")</f>
        <v>1634</v>
      </c>
      <c r="F24" s="9" t="n">
        <f aca="false">SUMIFS('سجل الحركات'!$I$4:$I$323,'سجل الحركات'!$D$4:$D$323,B24,'سجل الحركات'!$E$4:$E$323,"بضاعة")</f>
        <v>245.1</v>
      </c>
      <c r="G24" s="9" t="n">
        <f aca="false">E24+F24</f>
        <v>1879.1</v>
      </c>
      <c r="H24" s="19" t="n">
        <f aca="false">IF(C24=0,"",E24/C24)</f>
        <v>19</v>
      </c>
      <c r="I24" s="19" t="n">
        <f aca="false">_xlfn.MINIFS('سجل الحركات'!$G$4:$G$323,'سجل الحركات'!$D$4:$D$323,B24,'سجل الحركات'!$E$4:$E$323,"بضاعة")</f>
        <v>19</v>
      </c>
      <c r="J24" s="19" t="n">
        <f aca="false">_xlfn.MAXIFS('سجل الحركات'!$G$4:$G$323,'سجل الحركات'!$D$4:$D$323,B24,'سجل الحركات'!$E$4:$E$323,"بضاعة")</f>
        <v>19</v>
      </c>
      <c r="K24" s="22" t="n">
        <f aca="false">IF($G$40=0,"",G24/$G$40)</f>
        <v>0.00707161733318852</v>
      </c>
    </row>
    <row r="25" customFormat="false" ht="15" hidden="false" customHeight="false" outlineLevel="0" collapsed="false">
      <c r="A25" s="7" t="n">
        <v>22</v>
      </c>
      <c r="B25" s="17" t="s">
        <v>113</v>
      </c>
      <c r="C25" s="20" t="n">
        <f aca="false">SUMIFS('سجل الحركات'!$F$4:$F$323,'سجل الحركات'!$D$4:$D$323,B25,'سجل الحركات'!$E$4:$E$323,"بضاعة")</f>
        <v>14</v>
      </c>
      <c r="D25" s="21" t="n">
        <f aca="false">COUNTIFS('سجل الحركات'!$D$4:$D$323,B25,'سجل الحركات'!$E$4:$E$323,"بضاعة")</f>
        <v>2</v>
      </c>
      <c r="E25" s="9" t="n">
        <f aca="false">SUMIFS('سجل الحركات'!$H$4:$H$323,'سجل الحركات'!$D$4:$D$323,B25,'سجل الحركات'!$E$4:$E$323,"بضاعة")</f>
        <v>869</v>
      </c>
      <c r="F25" s="9" t="n">
        <f aca="false">SUMIFS('سجل الحركات'!$I$4:$I$323,'سجل الحركات'!$D$4:$D$323,B25,'سجل الحركات'!$E$4:$E$323,"بضاعة")</f>
        <v>130.35</v>
      </c>
      <c r="G25" s="9" t="n">
        <f aca="false">E25+F25</f>
        <v>999.35</v>
      </c>
      <c r="H25" s="19" t="n">
        <f aca="false">IF(C25=0,"",E25/C25)</f>
        <v>62.0714285714286</v>
      </c>
      <c r="I25" s="19" t="n">
        <f aca="false">_xlfn.MINIFS('سجل الحركات'!$G$4:$G$323,'سجل الحركات'!$D$4:$D$323,B25,'سجل الحركات'!$E$4:$E$323,"بضاعة")</f>
        <v>61</v>
      </c>
      <c r="J25" s="19" t="n">
        <f aca="false">_xlfn.MAXIFS('سجل الحركات'!$G$4:$G$323,'سجل الحركات'!$D$4:$D$323,B25,'سجل الحركات'!$E$4:$E$323,"بضاعة")</f>
        <v>64</v>
      </c>
      <c r="K25" s="22" t="n">
        <f aca="false">IF($G$40=0,"",G25/$G$40)</f>
        <v>0.00376085401624286</v>
      </c>
    </row>
    <row r="26" customFormat="false" ht="15" hidden="false" customHeight="false" outlineLevel="0" collapsed="false">
      <c r="A26" s="7" t="n">
        <v>23</v>
      </c>
      <c r="B26" s="17" t="s">
        <v>114</v>
      </c>
      <c r="C26" s="20" t="n">
        <f aca="false">SUMIFS('سجل الحركات'!$F$4:$F$323,'سجل الحركات'!$D$4:$D$323,B26,'سجل الحركات'!$E$4:$E$323,"بضاعة")</f>
        <v>10</v>
      </c>
      <c r="D26" s="21" t="n">
        <f aca="false">COUNTIFS('سجل الحركات'!$D$4:$D$323,B26,'سجل الحركات'!$E$4:$E$323,"بضاعة")</f>
        <v>1</v>
      </c>
      <c r="E26" s="9" t="n">
        <f aca="false">SUMIFS('سجل الحركات'!$H$4:$H$323,'سجل الحركات'!$D$4:$D$323,B26,'سجل الحركات'!$E$4:$E$323,"بضاعة")</f>
        <v>750</v>
      </c>
      <c r="F26" s="9" t="n">
        <f aca="false">SUMIFS('سجل الحركات'!$I$4:$I$323,'سجل الحركات'!$D$4:$D$323,B26,'سجل الحركات'!$E$4:$E$323,"بضاعة")</f>
        <v>0</v>
      </c>
      <c r="G26" s="9" t="n">
        <f aca="false">E26+F26</f>
        <v>750</v>
      </c>
      <c r="H26" s="19" t="n">
        <f aca="false">IF(C26=0,"",E26/C26)</f>
        <v>75</v>
      </c>
      <c r="I26" s="19" t="n">
        <f aca="false">_xlfn.MINIFS('سجل الحركات'!$G$4:$G$323,'سجل الحركات'!$D$4:$D$323,B26,'سجل الحركات'!$E$4:$E$323,"بضاعة")</f>
        <v>75</v>
      </c>
      <c r="J26" s="19" t="n">
        <f aca="false">_xlfn.MAXIFS('سجل الحركات'!$G$4:$G$323,'سجل الحركات'!$D$4:$D$323,B26,'سجل الحركات'!$E$4:$E$323,"بضاعة")</f>
        <v>75</v>
      </c>
      <c r="K26" s="22" t="n">
        <f aca="false">IF($G$40=0,"",G26/$G$40)</f>
        <v>0.0028224751210108</v>
      </c>
    </row>
    <row r="27" customFormat="false" ht="15" hidden="false" customHeight="false" outlineLevel="0" collapsed="false">
      <c r="A27" s="7" t="n">
        <v>24</v>
      </c>
      <c r="B27" s="17" t="s">
        <v>101</v>
      </c>
      <c r="C27" s="20" t="n">
        <f aca="false">SUMIFS('سجل الحركات'!$F$4:$F$323,'سجل الحركات'!$D$4:$D$323,B27,'سجل الحركات'!$E$4:$E$323,"بضاعة")</f>
        <v>19</v>
      </c>
      <c r="D27" s="21" t="n">
        <f aca="false">COUNTIFS('سجل الحركات'!$D$4:$D$323,B27,'سجل الحركات'!$E$4:$E$323,"بضاعة")</f>
        <v>1</v>
      </c>
      <c r="E27" s="9" t="n">
        <f aca="false">SUMIFS('سجل الحركات'!$H$4:$H$323,'سجل الحركات'!$D$4:$D$323,B27,'سجل الحركات'!$E$4:$E$323,"بضاعة")</f>
        <v>494</v>
      </c>
      <c r="F27" s="9" t="n">
        <f aca="false">SUMIFS('سجل الحركات'!$I$4:$I$323,'سجل الحركات'!$D$4:$D$323,B27,'سجل الحركات'!$E$4:$E$323,"بضاعة")</f>
        <v>74.1</v>
      </c>
      <c r="G27" s="9" t="n">
        <f aca="false">E27+F27</f>
        <v>568.1</v>
      </c>
      <c r="H27" s="19" t="n">
        <f aca="false">IF(C27=0,"",E27/C27)</f>
        <v>26</v>
      </c>
      <c r="I27" s="19" t="n">
        <f aca="false">_xlfn.MINIFS('سجل الحركات'!$G$4:$G$323,'سجل الحركات'!$D$4:$D$323,B27,'سجل الحركات'!$E$4:$E$323,"بضاعة")</f>
        <v>26</v>
      </c>
      <c r="J27" s="19" t="n">
        <f aca="false">_xlfn.MAXIFS('سجل الحركات'!$G$4:$G$323,'سجل الحركات'!$D$4:$D$323,B27,'سجل الحركات'!$E$4:$E$323,"بضاعة")</f>
        <v>26</v>
      </c>
      <c r="K27" s="22" t="n">
        <f aca="false">IF($G$40=0,"",G27/$G$40)</f>
        <v>0.00213793082166165</v>
      </c>
    </row>
    <row r="28" customFormat="false" ht="15" hidden="false" customHeight="false" outlineLevel="0" collapsed="false">
      <c r="A28" s="7" t="n">
        <v>25</v>
      </c>
      <c r="B28" s="17" t="s">
        <v>81</v>
      </c>
      <c r="C28" s="20" t="n">
        <f aca="false">SUMIFS('سجل الحركات'!$F$4:$F$323,'سجل الحركات'!$D$4:$D$323,B28,'سجل الحركات'!$E$4:$E$323,"بضاعة")</f>
        <v>15</v>
      </c>
      <c r="D28" s="21" t="n">
        <f aca="false">COUNTIFS('سجل الحركات'!$D$4:$D$323,B28,'سجل الحركات'!$E$4:$E$323,"بضاعة")</f>
        <v>1</v>
      </c>
      <c r="E28" s="9" t="n">
        <f aca="false">SUMIFS('سجل الحركات'!$H$4:$H$323,'سجل الحركات'!$D$4:$D$323,B28,'سجل الحركات'!$E$4:$E$323,"بضاعة")</f>
        <v>315</v>
      </c>
      <c r="F28" s="9" t="n">
        <f aca="false">SUMIFS('سجل الحركات'!$I$4:$I$323,'سجل الحركات'!$D$4:$D$323,B28,'سجل الحركات'!$E$4:$E$323,"بضاعة")</f>
        <v>47.25</v>
      </c>
      <c r="G28" s="9" t="n">
        <f aca="false">E28+F28</f>
        <v>362.25</v>
      </c>
      <c r="H28" s="19" t="n">
        <f aca="false">IF(C28=0,"",E28/C28)</f>
        <v>21</v>
      </c>
      <c r="I28" s="19" t="n">
        <f aca="false">_xlfn.MINIFS('سجل الحركات'!$G$4:$G$323,'سجل الحركات'!$D$4:$D$323,B28,'سجل الحركات'!$E$4:$E$323,"بضاعة")</f>
        <v>21</v>
      </c>
      <c r="J28" s="19" t="n">
        <f aca="false">_xlfn.MAXIFS('سجل الحركات'!$G$4:$G$323,'سجل الحركات'!$D$4:$D$323,B28,'سجل الحركات'!$E$4:$E$323,"بضاعة")</f>
        <v>21</v>
      </c>
      <c r="K28" s="22" t="n">
        <f aca="false">IF($G$40=0,"",G28/$G$40)</f>
        <v>0.00136325548344822</v>
      </c>
    </row>
    <row r="29" customFormat="false" ht="15" hidden="false" customHeight="false" outlineLevel="0" collapsed="false">
      <c r="A29" s="7" t="n">
        <v>26</v>
      </c>
      <c r="B29" s="17" t="s">
        <v>99</v>
      </c>
      <c r="C29" s="20" t="n">
        <f aca="false">SUMIFS('سجل الحركات'!$F$4:$F$323,'سجل الحركات'!$D$4:$D$323,B29,'سجل الحركات'!$E$4:$E$323,"بضاعة")</f>
        <v>12</v>
      </c>
      <c r="D29" s="21" t="n">
        <f aca="false">COUNTIFS('سجل الحركات'!$D$4:$D$323,B29,'سجل الحركات'!$E$4:$E$323,"بضاعة")</f>
        <v>1</v>
      </c>
      <c r="E29" s="9" t="n">
        <f aca="false">SUMIFS('سجل الحركات'!$H$4:$H$323,'سجل الحركات'!$D$4:$D$323,B29,'سجل الحركات'!$E$4:$E$323,"بضاعة")</f>
        <v>300</v>
      </c>
      <c r="F29" s="9" t="n">
        <f aca="false">SUMIFS('سجل الحركات'!$I$4:$I$323,'سجل الحركات'!$D$4:$D$323,B29,'سجل الحركات'!$E$4:$E$323,"بضاعة")</f>
        <v>0</v>
      </c>
      <c r="G29" s="9" t="n">
        <f aca="false">E29+F29</f>
        <v>300</v>
      </c>
      <c r="H29" s="19" t="n">
        <f aca="false">IF(C29=0,"",E29/C29)</f>
        <v>25</v>
      </c>
      <c r="I29" s="19" t="n">
        <f aca="false">_xlfn.MINIFS('سجل الحركات'!$G$4:$G$323,'سجل الحركات'!$D$4:$D$323,B29,'سجل الحركات'!$E$4:$E$323,"بضاعة")</f>
        <v>25</v>
      </c>
      <c r="J29" s="19" t="n">
        <f aca="false">_xlfn.MAXIFS('سجل الحركات'!$G$4:$G$323,'سجل الحركات'!$D$4:$D$323,B29,'سجل الحركات'!$E$4:$E$323,"بضاعة")</f>
        <v>25</v>
      </c>
      <c r="K29" s="22" t="n">
        <f aca="false">IF($G$40=0,"",G29/$G$40)</f>
        <v>0.00112899004840432</v>
      </c>
    </row>
    <row r="30" customFormat="false" ht="15" hidden="false" customHeight="false" outlineLevel="0" collapsed="false">
      <c r="A30" s="7" t="n">
        <v>27</v>
      </c>
      <c r="B30" s="17" t="s">
        <v>108</v>
      </c>
      <c r="C30" s="20" t="n">
        <f aca="false">SUMIFS('سجل الحركات'!$F$4:$F$323,'سجل الحركات'!$D$4:$D$323,B30,'سجل الحركات'!$E$4:$E$323,"بضاعة")</f>
        <v>10</v>
      </c>
      <c r="D30" s="21" t="n">
        <f aca="false">COUNTIFS('سجل الحركات'!$D$4:$D$323,B30,'سجل الحركات'!$E$4:$E$323,"بضاعة")</f>
        <v>2</v>
      </c>
      <c r="E30" s="9" t="n">
        <f aca="false">SUMIFS('سجل الحركات'!$H$4:$H$323,'سجل الحركات'!$D$4:$D$323,B30,'سجل الحركات'!$E$4:$E$323,"بضاعة")</f>
        <v>260.87</v>
      </c>
      <c r="F30" s="9" t="n">
        <f aca="false">SUMIFS('سجل الحركات'!$I$4:$I$323,'سجل الحركات'!$D$4:$D$323,B30,'سجل الحركات'!$E$4:$E$323,"بضاعة")</f>
        <v>24.13</v>
      </c>
      <c r="G30" s="9" t="n">
        <f aca="false">E30+F30</f>
        <v>285</v>
      </c>
      <c r="H30" s="19" t="n">
        <f aca="false">IF(C30=0,"",E30/C30)</f>
        <v>26.087</v>
      </c>
      <c r="I30" s="19" t="n">
        <f aca="false">_xlfn.MINIFS('سجل الحركات'!$G$4:$G$323,'سجل الحركات'!$D$4:$D$323,B30,'سجل الحركات'!$E$4:$E$323,"بضاعة")</f>
        <v>20</v>
      </c>
      <c r="J30" s="19" t="n">
        <f aca="false">_xlfn.MAXIFS('سجل الحركات'!$G$4:$G$323,'سجل الحركات'!$D$4:$D$323,B30,'سجل الحركات'!$E$4:$E$323,"بضاعة")</f>
        <v>32.174</v>
      </c>
      <c r="K30" s="22" t="n">
        <f aca="false">IF($G$40=0,"",G30/$G$40)</f>
        <v>0.0010725405459841</v>
      </c>
    </row>
    <row r="31" customFormat="false" ht="15" hidden="false" customHeight="false" outlineLevel="0" collapsed="false">
      <c r="A31" s="7" t="n">
        <v>28</v>
      </c>
      <c r="B31" s="17" t="s">
        <v>91</v>
      </c>
      <c r="C31" s="20" t="n">
        <f aca="false">SUMIFS('سجل الحركات'!$F$4:$F$323,'سجل الحركات'!$D$4:$D$323,B31,'سجل الحركات'!$E$4:$E$323,"بضاعة")</f>
        <v>30</v>
      </c>
      <c r="D31" s="21" t="n">
        <f aca="false">COUNTIFS('سجل الحركات'!$D$4:$D$323,B31,'سجل الحركات'!$E$4:$E$323,"بضاعة")</f>
        <v>2</v>
      </c>
      <c r="E31" s="9" t="n">
        <f aca="false">SUMIFS('سجل الحركات'!$H$4:$H$323,'سجل الحركات'!$D$4:$D$323,B31,'سجل الحركات'!$E$4:$E$323,"بضاعة")</f>
        <v>260</v>
      </c>
      <c r="F31" s="9" t="n">
        <f aca="false">SUMIFS('سجل الحركات'!$I$4:$I$323,'سجل الحركات'!$D$4:$D$323,B31,'سجل الحركات'!$E$4:$E$323,"بضاعة")</f>
        <v>24</v>
      </c>
      <c r="G31" s="9" t="n">
        <f aca="false">E31+F31</f>
        <v>284</v>
      </c>
      <c r="H31" s="19" t="n">
        <f aca="false">IF(C31=0,"",E31/C31)</f>
        <v>8.66666666666667</v>
      </c>
      <c r="I31" s="19" t="n">
        <f aca="false">_xlfn.MINIFS('سجل الحركات'!$G$4:$G$323,'سجل الحركات'!$D$4:$D$323,B31,'سجل الحركات'!$E$4:$E$323,"بضاعة")</f>
        <v>8</v>
      </c>
      <c r="J31" s="19" t="n">
        <f aca="false">_xlfn.MAXIFS('سجل الحركات'!$G$4:$G$323,'سجل الحركات'!$D$4:$D$323,B31,'سجل الحركات'!$E$4:$E$323,"بضاعة")</f>
        <v>10</v>
      </c>
      <c r="K31" s="22" t="n">
        <f aca="false">IF($G$40=0,"",G31/$G$40)</f>
        <v>0.00106877724582276</v>
      </c>
    </row>
    <row r="32" customFormat="false" ht="15" hidden="false" customHeight="false" outlineLevel="0" collapsed="false">
      <c r="A32" s="7" t="n">
        <v>29</v>
      </c>
      <c r="B32" s="17" t="s">
        <v>102</v>
      </c>
      <c r="C32" s="20" t="n">
        <f aca="false">SUMIFS('سجل الحركات'!$F$4:$F$323,'سجل الحركات'!$D$4:$D$323,B32,'سجل الحركات'!$E$4:$E$323,"بضاعة")</f>
        <v>13</v>
      </c>
      <c r="D32" s="21" t="n">
        <f aca="false">COUNTIFS('سجل الحركات'!$D$4:$D$323,B32,'سجل الحركات'!$E$4:$E$323,"بضاعة")</f>
        <v>3</v>
      </c>
      <c r="E32" s="9" t="n">
        <f aca="false">SUMIFS('سجل الحركات'!$H$4:$H$323,'سجل الحركات'!$D$4:$D$323,B32,'سجل الحركات'!$E$4:$E$323,"بضاعة")</f>
        <v>220</v>
      </c>
      <c r="F32" s="9" t="n">
        <f aca="false">SUMIFS('سجل الحركات'!$I$4:$I$323,'سجل الحركات'!$D$4:$D$323,B32,'سجل الحركات'!$E$4:$E$323,"بضاعة")</f>
        <v>0</v>
      </c>
      <c r="G32" s="9" t="n">
        <f aca="false">E32+F32</f>
        <v>220</v>
      </c>
      <c r="H32" s="19" t="n">
        <f aca="false">IF(C32=0,"",E32/C32)</f>
        <v>16.9230769230769</v>
      </c>
      <c r="I32" s="19" t="n">
        <f aca="false">_xlfn.MINIFS('سجل الحركات'!$G$4:$G$323,'سجل الحركات'!$D$4:$D$323,B32,'سجل الحركات'!$E$4:$E$323,"بضاعة")</f>
        <v>12</v>
      </c>
      <c r="J32" s="19" t="n">
        <f aca="false">_xlfn.MAXIFS('سجل الحركات'!$G$4:$G$323,'سجل الحركات'!$D$4:$D$323,B32,'سجل الحركات'!$E$4:$E$323,"بضاعة")</f>
        <v>20</v>
      </c>
      <c r="K32" s="22" t="n">
        <f aca="false">IF($G$40=0,"",G32/$G$40)</f>
        <v>0.000827926035496501</v>
      </c>
    </row>
    <row r="33" customFormat="false" ht="15" hidden="false" customHeight="false" outlineLevel="0" collapsed="false">
      <c r="A33" s="7" t="n">
        <v>30</v>
      </c>
      <c r="B33" s="17" t="s">
        <v>109</v>
      </c>
      <c r="C33" s="20" t="n">
        <f aca="false">SUMIFS('سجل الحركات'!$F$4:$F$323,'سجل الحركات'!$D$4:$D$323,B33,'سجل الحركات'!$E$4:$E$323,"بضاعة")</f>
        <v>13</v>
      </c>
      <c r="D33" s="21" t="n">
        <f aca="false">COUNTIFS('سجل الحركات'!$D$4:$D$323,B33,'سجل الحركات'!$E$4:$E$323,"بضاعة")</f>
        <v>2</v>
      </c>
      <c r="E33" s="9" t="n">
        <f aca="false">SUMIFS('سجل الحركات'!$H$4:$H$323,'سجل الحركات'!$D$4:$D$323,B33,'سجل الحركات'!$E$4:$E$323,"بضاعة")</f>
        <v>208</v>
      </c>
      <c r="F33" s="9" t="n">
        <f aca="false">SUMIFS('سجل الحركات'!$I$4:$I$323,'سجل الحركات'!$D$4:$D$323,B33,'سجل الحركات'!$E$4:$E$323,"بضاعة")</f>
        <v>0</v>
      </c>
      <c r="G33" s="9" t="n">
        <f aca="false">E33+F33</f>
        <v>208</v>
      </c>
      <c r="H33" s="19" t="n">
        <f aca="false">IF(C33=0,"",E33/C33)</f>
        <v>16</v>
      </c>
      <c r="I33" s="19" t="n">
        <f aca="false">_xlfn.MINIFS('سجل الحركات'!$G$4:$G$323,'سجل الحركات'!$D$4:$D$323,B33,'سجل الحركات'!$E$4:$E$323,"بضاعة")</f>
        <v>16</v>
      </c>
      <c r="J33" s="19" t="n">
        <f aca="false">_xlfn.MAXIFS('سجل الحركات'!$G$4:$G$323,'سجل الحركات'!$D$4:$D$323,B33,'سجل الحركات'!$E$4:$E$323,"بضاعة")</f>
        <v>16</v>
      </c>
      <c r="K33" s="22" t="n">
        <f aca="false">IF($G$40=0,"",G33/$G$40)</f>
        <v>0.000782766433560328</v>
      </c>
    </row>
    <row r="34" customFormat="false" ht="15" hidden="false" customHeight="false" outlineLevel="0" collapsed="false">
      <c r="A34" s="7" t="n">
        <v>31</v>
      </c>
      <c r="B34" s="17" t="s">
        <v>89</v>
      </c>
      <c r="C34" s="20" t="n">
        <f aca="false">SUMIFS('سجل الحركات'!$F$4:$F$323,'سجل الحركات'!$D$4:$D$323,B34,'سجل الحركات'!$E$4:$E$323,"بضاعة")</f>
        <v>16</v>
      </c>
      <c r="D34" s="21" t="n">
        <f aca="false">COUNTIFS('سجل الحركات'!$D$4:$D$323,B34,'سجل الحركات'!$E$4:$E$323,"بضاعة")</f>
        <v>1</v>
      </c>
      <c r="E34" s="9" t="n">
        <f aca="false">SUMIFS('سجل الحركات'!$H$4:$H$323,'سجل الحركات'!$D$4:$D$323,B34,'سجل الحركات'!$E$4:$E$323,"بضاعة")</f>
        <v>176</v>
      </c>
      <c r="F34" s="9" t="n">
        <f aca="false">SUMIFS('سجل الحركات'!$I$4:$I$323,'سجل الحركات'!$D$4:$D$323,B34,'سجل الحركات'!$E$4:$E$323,"بضاعة")</f>
        <v>0</v>
      </c>
      <c r="G34" s="9" t="n">
        <f aca="false">E34+F34</f>
        <v>176</v>
      </c>
      <c r="H34" s="19" t="n">
        <f aca="false">IF(C34=0,"",E34/C34)</f>
        <v>11</v>
      </c>
      <c r="I34" s="19" t="n">
        <f aca="false">_xlfn.MINIFS('سجل الحركات'!$G$4:$G$323,'سجل الحركات'!$D$4:$D$323,B34,'سجل الحركات'!$E$4:$E$323,"بضاعة")</f>
        <v>11</v>
      </c>
      <c r="J34" s="19" t="n">
        <f aca="false">_xlfn.MAXIFS('سجل الحركات'!$G$4:$G$323,'سجل الحركات'!$D$4:$D$323,B34,'سجل الحركات'!$E$4:$E$323,"بضاعة")</f>
        <v>11</v>
      </c>
      <c r="K34" s="22" t="n">
        <f aca="false">IF($G$40=0,"",G34/$G$40)</f>
        <v>0.000662340828397201</v>
      </c>
    </row>
    <row r="35" customFormat="false" ht="15" hidden="false" customHeight="false" outlineLevel="0" collapsed="false">
      <c r="A35" s="7" t="n">
        <v>32</v>
      </c>
      <c r="B35" s="17" t="s">
        <v>88</v>
      </c>
      <c r="C35" s="20" t="n">
        <f aca="false">SUMIFS('سجل الحركات'!$F$4:$F$323,'سجل الحركات'!$D$4:$D$323,B35,'سجل الحركات'!$E$4:$E$323,"بضاعة")</f>
        <v>16</v>
      </c>
      <c r="D35" s="21" t="n">
        <f aca="false">COUNTIFS('سجل الحركات'!$D$4:$D$323,B35,'سجل الحركات'!$E$4:$E$323,"بضاعة")</f>
        <v>1</v>
      </c>
      <c r="E35" s="9" t="n">
        <f aca="false">SUMIFS('سجل الحركات'!$H$4:$H$323,'سجل الحركات'!$D$4:$D$323,B35,'سجل الحركات'!$E$4:$E$323,"بضاعة")</f>
        <v>160</v>
      </c>
      <c r="F35" s="9" t="n">
        <f aca="false">SUMIFS('سجل الحركات'!$I$4:$I$323,'سجل الحركات'!$D$4:$D$323,B35,'سجل الحركات'!$E$4:$E$323,"بضاعة")</f>
        <v>0</v>
      </c>
      <c r="G35" s="9" t="n">
        <f aca="false">E35+F35</f>
        <v>160</v>
      </c>
      <c r="H35" s="19" t="n">
        <f aca="false">IF(C35=0,"",E35/C35)</f>
        <v>10</v>
      </c>
      <c r="I35" s="19" t="n">
        <f aca="false">_xlfn.MINIFS('سجل الحركات'!$G$4:$G$323,'سجل الحركات'!$D$4:$D$323,B35,'سجل الحركات'!$E$4:$E$323,"بضاعة")</f>
        <v>10</v>
      </c>
      <c r="J35" s="19" t="n">
        <f aca="false">_xlfn.MAXIFS('سجل الحركات'!$G$4:$G$323,'سجل الحركات'!$D$4:$D$323,B35,'سجل الحركات'!$E$4:$E$323,"بضاعة")</f>
        <v>10</v>
      </c>
      <c r="K35" s="22" t="n">
        <f aca="false">IF($G$40=0,"",G35/$G$40)</f>
        <v>0.000602128025815637</v>
      </c>
    </row>
    <row r="36" customFormat="false" ht="15" hidden="false" customHeight="false" outlineLevel="0" collapsed="false">
      <c r="A36" s="7" t="n">
        <v>33</v>
      </c>
      <c r="B36" s="17" t="s">
        <v>100</v>
      </c>
      <c r="C36" s="20" t="n">
        <f aca="false">SUMIFS('سجل الحركات'!$F$4:$F$323,'سجل الحركات'!$D$4:$D$323,B36,'سجل الحركات'!$E$4:$E$323,"بضاعة")</f>
        <v>16</v>
      </c>
      <c r="D36" s="21" t="n">
        <f aca="false">COUNTIFS('سجل الحركات'!$D$4:$D$323,B36,'سجل الحركات'!$E$4:$E$323,"بضاعة")</f>
        <v>1</v>
      </c>
      <c r="E36" s="9" t="n">
        <f aca="false">SUMIFS('سجل الحركات'!$H$4:$H$323,'سجل الحركات'!$D$4:$D$323,B36,'سجل الحركات'!$E$4:$E$323,"بضاعة")</f>
        <v>160</v>
      </c>
      <c r="F36" s="9" t="n">
        <f aca="false">SUMIFS('سجل الحركات'!$I$4:$I$323,'سجل الحركات'!$D$4:$D$323,B36,'سجل الحركات'!$E$4:$E$323,"بضاعة")</f>
        <v>0</v>
      </c>
      <c r="G36" s="9" t="n">
        <f aca="false">E36+F36</f>
        <v>160</v>
      </c>
      <c r="H36" s="19" t="n">
        <f aca="false">IF(C36=0,"",E36/C36)</f>
        <v>10</v>
      </c>
      <c r="I36" s="19" t="n">
        <f aca="false">_xlfn.MINIFS('سجل الحركات'!$G$4:$G$323,'سجل الحركات'!$D$4:$D$323,B36,'سجل الحركات'!$E$4:$E$323,"بضاعة")</f>
        <v>10</v>
      </c>
      <c r="J36" s="19" t="n">
        <f aca="false">_xlfn.MAXIFS('سجل الحركات'!$G$4:$G$323,'سجل الحركات'!$D$4:$D$323,B36,'سجل الحركات'!$E$4:$E$323,"بضاعة")</f>
        <v>10</v>
      </c>
      <c r="K36" s="22" t="n">
        <f aca="false">IF($G$40=0,"",G36/$G$40)</f>
        <v>0.000602128025815637</v>
      </c>
    </row>
    <row r="37" customFormat="false" ht="15" hidden="false" customHeight="false" outlineLevel="0" collapsed="false">
      <c r="A37" s="7" t="n">
        <v>34</v>
      </c>
      <c r="B37" s="17" t="s">
        <v>94</v>
      </c>
      <c r="C37" s="20" t="n">
        <f aca="false">SUMIFS('سجل الحركات'!$F$4:$F$323,'سجل الحركات'!$D$4:$D$323,B37,'سجل الحركات'!$E$4:$E$323,"بضاعة")</f>
        <v>10</v>
      </c>
      <c r="D37" s="21" t="n">
        <f aca="false">COUNTIFS('سجل الحركات'!$D$4:$D$323,B37,'سجل الحركات'!$E$4:$E$323,"بضاعة")</f>
        <v>1</v>
      </c>
      <c r="E37" s="9" t="n">
        <f aca="false">SUMIFS('سجل الحركات'!$H$4:$H$323,'سجل الحركات'!$D$4:$D$323,B37,'سجل الحركات'!$E$4:$E$323,"بضاعة")</f>
        <v>95</v>
      </c>
      <c r="F37" s="9" t="n">
        <f aca="false">SUMIFS('سجل الحركات'!$I$4:$I$323,'سجل الحركات'!$D$4:$D$323,B37,'سجل الحركات'!$E$4:$E$323,"بضاعة")</f>
        <v>0</v>
      </c>
      <c r="G37" s="9" t="n">
        <f aca="false">E37+F37</f>
        <v>95</v>
      </c>
      <c r="H37" s="19" t="n">
        <f aca="false">IF(C37=0,"",E37/C37)</f>
        <v>9.5</v>
      </c>
      <c r="I37" s="19" t="n">
        <f aca="false">_xlfn.MINIFS('سجل الحركات'!$G$4:$G$323,'سجل الحركات'!$D$4:$D$323,B37,'سجل الحركات'!$E$4:$E$323,"بضاعة")</f>
        <v>9.5</v>
      </c>
      <c r="J37" s="19" t="n">
        <f aca="false">_xlfn.MAXIFS('سجل الحركات'!$G$4:$G$323,'سجل الحركات'!$D$4:$D$323,B37,'سجل الحركات'!$E$4:$E$323,"بضاعة")</f>
        <v>9.5</v>
      </c>
      <c r="K37" s="22" t="n">
        <f aca="false">IF($G$40=0,"",G37/$G$40)</f>
        <v>0.000357513515328034</v>
      </c>
    </row>
    <row r="38" customFormat="false" ht="15" hidden="false" customHeight="false" outlineLevel="0" collapsed="false">
      <c r="A38" s="7" t="n">
        <v>35</v>
      </c>
      <c r="B38" s="17" t="s">
        <v>103</v>
      </c>
      <c r="C38" s="20" t="n">
        <f aca="false">SUMIFS('سجل الحركات'!$F$4:$F$323,'سجل الحركات'!$D$4:$D$323,B38,'سجل الحركات'!$E$4:$E$323,"بضاعة")</f>
        <v>1</v>
      </c>
      <c r="D38" s="21" t="n">
        <f aca="false">COUNTIFS('سجل الحركات'!$D$4:$D$323,B38,'سجل الحركات'!$E$4:$E$323,"بضاعة")</f>
        <v>1</v>
      </c>
      <c r="E38" s="9" t="n">
        <f aca="false">SUMIFS('سجل الحركات'!$H$4:$H$323,'سجل الحركات'!$D$4:$D$323,B38,'سجل الحركات'!$E$4:$E$323,"بضاعة")</f>
        <v>55</v>
      </c>
      <c r="F38" s="9" t="n">
        <f aca="false">SUMIFS('سجل الحركات'!$I$4:$I$323,'سجل الحركات'!$D$4:$D$323,B38,'سجل الحركات'!$E$4:$E$323,"بضاعة")</f>
        <v>0</v>
      </c>
      <c r="G38" s="9" t="n">
        <f aca="false">E38+F38</f>
        <v>55</v>
      </c>
      <c r="H38" s="19" t="n">
        <f aca="false">IF(C38=0,"",E38/C38)</f>
        <v>55</v>
      </c>
      <c r="I38" s="19" t="n">
        <f aca="false">_xlfn.MINIFS('سجل الحركات'!$G$4:$G$323,'سجل الحركات'!$D$4:$D$323,B38,'سجل الحركات'!$E$4:$E$323,"بضاعة")</f>
        <v>55</v>
      </c>
      <c r="J38" s="19" t="n">
        <f aca="false">_xlfn.MAXIFS('سجل الحركات'!$G$4:$G$323,'سجل الحركات'!$D$4:$D$323,B38,'سجل الحركات'!$E$4:$E$323,"بضاعة")</f>
        <v>55</v>
      </c>
      <c r="K38" s="22" t="n">
        <f aca="false">IF($G$40=0,"",G38/$G$40)</f>
        <v>0.000206981508874125</v>
      </c>
    </row>
    <row r="39" customFormat="false" ht="15" hidden="false" customHeight="false" outlineLevel="0" collapsed="false">
      <c r="A39" s="7" t="n">
        <v>36</v>
      </c>
      <c r="B39" s="17" t="s">
        <v>92</v>
      </c>
      <c r="C39" s="20" t="n">
        <f aca="false">SUMIFS('سجل الحركات'!$F$4:$F$323,'سجل الحركات'!$D$4:$D$323,B39,'سجل الحركات'!$E$4:$E$323,"بضاعة")</f>
        <v>5</v>
      </c>
      <c r="D39" s="21" t="n">
        <f aca="false">COUNTIFS('سجل الحركات'!$D$4:$D$323,B39,'سجل الحركات'!$E$4:$E$323,"بضاعة")</f>
        <v>1</v>
      </c>
      <c r="E39" s="9" t="n">
        <f aca="false">SUMIFS('سجل الحركات'!$H$4:$H$323,'سجل الحركات'!$D$4:$D$323,B39,'سجل الحركات'!$E$4:$E$323,"بضاعة")</f>
        <v>50</v>
      </c>
      <c r="F39" s="9" t="n">
        <f aca="false">SUMIFS('سجل الحركات'!$I$4:$I$323,'سجل الحركات'!$D$4:$D$323,B39,'سجل الحركات'!$E$4:$E$323,"بضاعة")</f>
        <v>0</v>
      </c>
      <c r="G39" s="9" t="n">
        <f aca="false">E39+F39</f>
        <v>50</v>
      </c>
      <c r="H39" s="19" t="n">
        <f aca="false">IF(C39=0,"",E39/C39)</f>
        <v>10</v>
      </c>
      <c r="I39" s="19" t="n">
        <f aca="false">_xlfn.MINIFS('سجل الحركات'!$G$4:$G$323,'سجل الحركات'!$D$4:$D$323,B39,'سجل الحركات'!$E$4:$E$323,"بضاعة")</f>
        <v>10</v>
      </c>
      <c r="J39" s="19" t="n">
        <f aca="false">_xlfn.MAXIFS('سجل الحركات'!$G$4:$G$323,'سجل الحركات'!$D$4:$D$323,B39,'سجل الحركات'!$E$4:$E$323,"بضاعة")</f>
        <v>10</v>
      </c>
      <c r="K39" s="22" t="n">
        <f aca="false">IF($G$40=0,"",G39/$G$40)</f>
        <v>0.000188165008067387</v>
      </c>
    </row>
    <row r="40" customFormat="false" ht="15" hidden="false" customHeight="false" outlineLevel="0" collapsed="false">
      <c r="B40" s="12" t="s">
        <v>62</v>
      </c>
      <c r="C40" s="23" t="n">
        <f aca="false">SUM(C4:C39)</f>
        <v>6795</v>
      </c>
      <c r="D40" s="23" t="n">
        <f aca="false">SUM(D4:D39)</f>
        <v>194</v>
      </c>
      <c r="E40" s="14" t="n">
        <f aca="false">SUM(E4:E39)</f>
        <v>246842.48</v>
      </c>
      <c r="F40" s="14" t="n">
        <f aca="false">SUM(F4:F39)</f>
        <v>18881.74</v>
      </c>
      <c r="G40" s="14" t="n">
        <f aca="false">SUM(G4:G39)</f>
        <v>265724.22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K2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32"/>
  </cols>
  <sheetData>
    <row r="1" customFormat="false" ht="17.35" hidden="false" customHeight="true" outlineLevel="0" collapsed="false">
      <c r="A1" s="15" t="s">
        <v>128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1.9" hidden="false" customHeight="false" outlineLevel="0" collapsed="false">
      <c r="A2" s="16" t="s">
        <v>129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23.85" hidden="false" customHeight="false" outlineLevel="0" collapsed="false">
      <c r="A3" s="6" t="s">
        <v>65</v>
      </c>
      <c r="B3" s="6" t="s">
        <v>130</v>
      </c>
      <c r="C3" s="6" t="s">
        <v>9</v>
      </c>
      <c r="D3" s="6" t="s">
        <v>66</v>
      </c>
      <c r="E3" s="6" t="s">
        <v>131</v>
      </c>
      <c r="F3" s="6" t="s">
        <v>132</v>
      </c>
      <c r="G3" s="6" t="s">
        <v>133</v>
      </c>
      <c r="H3" s="6" t="s">
        <v>134</v>
      </c>
      <c r="I3" s="6" t="s">
        <v>135</v>
      </c>
      <c r="J3" s="6" t="s">
        <v>136</v>
      </c>
      <c r="K3" s="6" t="s">
        <v>137</v>
      </c>
    </row>
    <row r="4" customFormat="false" ht="22.35" hidden="false" customHeight="false" outlineLevel="0" collapsed="false">
      <c r="A4" s="24" t="n">
        <v>46303</v>
      </c>
      <c r="B4" s="25" t="s">
        <v>138</v>
      </c>
      <c r="C4" s="26" t="s">
        <v>139</v>
      </c>
      <c r="D4" s="26" t="s">
        <v>140</v>
      </c>
      <c r="E4" s="27" t="n">
        <v>2300</v>
      </c>
      <c r="F4" s="26" t="s">
        <v>141</v>
      </c>
      <c r="G4" s="25" t="s">
        <v>142</v>
      </c>
      <c r="H4" s="24"/>
      <c r="I4" s="27"/>
      <c r="J4" s="27"/>
      <c r="K4" s="28" t="s">
        <v>143</v>
      </c>
    </row>
    <row r="5" customFormat="false" ht="15" hidden="false" customHeight="false" outlineLevel="0" collapsed="false">
      <c r="A5" s="24" t="n">
        <v>46304</v>
      </c>
      <c r="B5" s="25" t="s">
        <v>138</v>
      </c>
      <c r="C5" s="26" t="s">
        <v>144</v>
      </c>
      <c r="D5" s="26" t="s">
        <v>145</v>
      </c>
      <c r="E5" s="27" t="n">
        <v>8935.5</v>
      </c>
      <c r="F5" s="26" t="s">
        <v>146</v>
      </c>
      <c r="G5" s="25" t="s">
        <v>142</v>
      </c>
      <c r="H5" s="24"/>
      <c r="I5" s="27"/>
      <c r="J5" s="27"/>
      <c r="K5" s="28" t="s">
        <v>147</v>
      </c>
    </row>
    <row r="6" customFormat="false" ht="15" hidden="false" customHeight="false" outlineLevel="0" collapsed="false">
      <c r="A6" s="24" t="n">
        <v>46308</v>
      </c>
      <c r="B6" s="25" t="s">
        <v>138</v>
      </c>
      <c r="C6" s="26" t="s">
        <v>144</v>
      </c>
      <c r="D6" s="26" t="s">
        <v>148</v>
      </c>
      <c r="E6" s="27" t="n">
        <v>5037</v>
      </c>
      <c r="F6" s="26" t="s">
        <v>59</v>
      </c>
      <c r="G6" s="25" t="s">
        <v>149</v>
      </c>
      <c r="H6" s="24" t="n">
        <v>46308</v>
      </c>
      <c r="I6" s="27" t="n">
        <v>3450</v>
      </c>
      <c r="J6" s="27" t="n">
        <v>1587</v>
      </c>
      <c r="K6" s="28" t="s">
        <v>150</v>
      </c>
    </row>
    <row r="7" customFormat="false" ht="15" hidden="false" customHeight="false" outlineLevel="0" collapsed="false">
      <c r="A7" s="29" t="n">
        <v>46299</v>
      </c>
      <c r="B7" s="30" t="s">
        <v>138</v>
      </c>
      <c r="C7" s="31" t="s">
        <v>144</v>
      </c>
      <c r="D7" s="31" t="s">
        <v>151</v>
      </c>
      <c r="E7" s="32" t="n">
        <v>4508</v>
      </c>
      <c r="F7" s="31" t="s">
        <v>24</v>
      </c>
      <c r="G7" s="30" t="s">
        <v>149</v>
      </c>
      <c r="H7" s="29" t="n">
        <v>46300</v>
      </c>
      <c r="I7" s="32" t="n">
        <v>4508</v>
      </c>
      <c r="J7" s="32" t="n">
        <v>0</v>
      </c>
      <c r="K7" s="33" t="s">
        <v>152</v>
      </c>
    </row>
    <row r="8" customFormat="false" ht="15" hidden="false" customHeight="false" outlineLevel="0" collapsed="false">
      <c r="A8" s="29" t="n">
        <v>46299</v>
      </c>
      <c r="B8" s="30" t="s">
        <v>138</v>
      </c>
      <c r="C8" s="31" t="s">
        <v>144</v>
      </c>
      <c r="D8" s="31" t="s">
        <v>153</v>
      </c>
      <c r="E8" s="32" t="n">
        <v>362.25</v>
      </c>
      <c r="F8" s="31" t="s">
        <v>22</v>
      </c>
      <c r="G8" s="30" t="s">
        <v>149</v>
      </c>
      <c r="H8" s="29" t="n">
        <v>46300</v>
      </c>
      <c r="I8" s="32" t="n">
        <v>362.25</v>
      </c>
      <c r="J8" s="32" t="n">
        <v>0</v>
      </c>
      <c r="K8" s="33" t="s">
        <v>152</v>
      </c>
    </row>
    <row r="9" customFormat="false" ht="15" hidden="false" customHeight="false" outlineLevel="0" collapsed="false">
      <c r="A9" s="29" t="n">
        <v>46300</v>
      </c>
      <c r="B9" s="30" t="s">
        <v>138</v>
      </c>
      <c r="C9" s="31" t="s">
        <v>144</v>
      </c>
      <c r="D9" s="31" t="s">
        <v>154</v>
      </c>
      <c r="E9" s="32" t="n">
        <v>770.5</v>
      </c>
      <c r="F9" s="31" t="s">
        <v>22</v>
      </c>
      <c r="G9" s="30" t="s">
        <v>149</v>
      </c>
      <c r="H9" s="29" t="n">
        <v>46300</v>
      </c>
      <c r="I9" s="32" t="n">
        <v>770.5</v>
      </c>
      <c r="J9" s="32" t="n">
        <v>0</v>
      </c>
      <c r="K9" s="33" t="s">
        <v>155</v>
      </c>
    </row>
    <row r="10" customFormat="false" ht="15" hidden="false" customHeight="false" outlineLevel="0" collapsed="false">
      <c r="A10" s="29" t="n">
        <v>46301</v>
      </c>
      <c r="B10" s="30" t="s">
        <v>138</v>
      </c>
      <c r="C10" s="31" t="s">
        <v>144</v>
      </c>
      <c r="D10" s="31" t="s">
        <v>156</v>
      </c>
      <c r="E10" s="32" t="n">
        <v>4048</v>
      </c>
      <c r="F10" s="31" t="s">
        <v>49</v>
      </c>
      <c r="G10" s="30" t="s">
        <v>149</v>
      </c>
      <c r="H10" s="29" t="n">
        <v>46301</v>
      </c>
      <c r="I10" s="32" t="n">
        <v>4048</v>
      </c>
      <c r="J10" s="32" t="n">
        <v>0</v>
      </c>
      <c r="K10" s="33" t="s">
        <v>155</v>
      </c>
    </row>
    <row r="11" customFormat="false" ht="15" hidden="false" customHeight="false" outlineLevel="0" collapsed="false">
      <c r="A11" s="29" t="n">
        <v>46301</v>
      </c>
      <c r="B11" s="30" t="s">
        <v>138</v>
      </c>
      <c r="C11" s="31" t="s">
        <v>157</v>
      </c>
      <c r="D11" s="31" t="s">
        <v>158</v>
      </c>
      <c r="E11" s="32" t="n">
        <v>2769</v>
      </c>
      <c r="F11" s="31" t="s">
        <v>48</v>
      </c>
      <c r="G11" s="30" t="s">
        <v>149</v>
      </c>
      <c r="H11" s="29" t="n">
        <v>46301</v>
      </c>
      <c r="I11" s="32" t="n">
        <v>2769</v>
      </c>
      <c r="J11" s="32" t="n">
        <v>0</v>
      </c>
      <c r="K11" s="33" t="s">
        <v>155</v>
      </c>
    </row>
    <row r="12" customFormat="false" ht="15" hidden="false" customHeight="false" outlineLevel="0" collapsed="false">
      <c r="A12" s="29" t="n">
        <v>46306</v>
      </c>
      <c r="B12" s="30" t="s">
        <v>138</v>
      </c>
      <c r="C12" s="31" t="s">
        <v>144</v>
      </c>
      <c r="D12" s="31" t="s">
        <v>148</v>
      </c>
      <c r="E12" s="32" t="n">
        <v>7728</v>
      </c>
      <c r="F12" s="31" t="s">
        <v>59</v>
      </c>
      <c r="G12" s="30" t="s">
        <v>149</v>
      </c>
      <c r="H12" s="29" t="n">
        <v>46305</v>
      </c>
      <c r="I12" s="32" t="n">
        <v>7728</v>
      </c>
      <c r="J12" s="32" t="n">
        <v>0</v>
      </c>
      <c r="K12" s="33" t="s">
        <v>152</v>
      </c>
    </row>
    <row r="13" customFormat="false" ht="15" hidden="false" customHeight="false" outlineLevel="0" collapsed="false">
      <c r="A13" s="29" t="n">
        <v>46309</v>
      </c>
      <c r="B13" s="30" t="s">
        <v>138</v>
      </c>
      <c r="C13" s="31" t="s">
        <v>157</v>
      </c>
      <c r="D13" s="31" t="s">
        <v>159</v>
      </c>
      <c r="E13" s="32" t="n">
        <v>1400</v>
      </c>
      <c r="F13" s="31" t="s">
        <v>48</v>
      </c>
      <c r="G13" s="30" t="s">
        <v>149</v>
      </c>
      <c r="H13" s="29" t="n">
        <v>46309</v>
      </c>
      <c r="I13" s="32" t="n">
        <v>1400</v>
      </c>
      <c r="J13" s="32" t="n">
        <v>0</v>
      </c>
      <c r="K13" s="33" t="s">
        <v>155</v>
      </c>
    </row>
    <row r="14" customFormat="false" ht="15" hidden="false" customHeight="false" outlineLevel="0" collapsed="false">
      <c r="A14" s="29" t="n">
        <v>46313</v>
      </c>
      <c r="B14" s="30" t="s">
        <v>138</v>
      </c>
      <c r="C14" s="31" t="s">
        <v>144</v>
      </c>
      <c r="D14" s="31" t="s">
        <v>148</v>
      </c>
      <c r="E14" s="32" t="n">
        <v>2428</v>
      </c>
      <c r="F14" s="31" t="s">
        <v>59</v>
      </c>
      <c r="G14" s="30" t="s">
        <v>149</v>
      </c>
      <c r="H14" s="29" t="n">
        <v>46313</v>
      </c>
      <c r="I14" s="32" t="n">
        <v>2428</v>
      </c>
      <c r="J14" s="32" t="n">
        <v>0</v>
      </c>
      <c r="K14" s="33" t="s">
        <v>155</v>
      </c>
    </row>
    <row r="15" customFormat="false" ht="15" hidden="false" customHeight="false" outlineLevel="0" collapsed="false">
      <c r="A15" s="29" t="n">
        <v>46315</v>
      </c>
      <c r="B15" s="30" t="s">
        <v>138</v>
      </c>
      <c r="C15" s="31" t="s">
        <v>144</v>
      </c>
      <c r="D15" s="31" t="s">
        <v>160</v>
      </c>
      <c r="E15" s="32" t="n">
        <v>6626.3</v>
      </c>
      <c r="F15" s="31" t="s">
        <v>31</v>
      </c>
      <c r="G15" s="30" t="s">
        <v>149</v>
      </c>
      <c r="H15" s="29" t="n">
        <v>46315</v>
      </c>
      <c r="I15" s="32" t="n">
        <v>6626.3</v>
      </c>
      <c r="J15" s="32" t="n">
        <v>0</v>
      </c>
      <c r="K15" s="33" t="s">
        <v>155</v>
      </c>
    </row>
    <row r="16" customFormat="false" ht="15" hidden="false" customHeight="false" outlineLevel="0" collapsed="false">
      <c r="A16" s="29" t="n">
        <v>46317</v>
      </c>
      <c r="B16" s="30" t="s">
        <v>138</v>
      </c>
      <c r="C16" s="31" t="s">
        <v>144</v>
      </c>
      <c r="D16" s="31" t="s">
        <v>161</v>
      </c>
      <c r="E16" s="32" t="n">
        <v>3000</v>
      </c>
      <c r="F16" s="31" t="s">
        <v>42</v>
      </c>
      <c r="G16" s="30" t="s">
        <v>149</v>
      </c>
      <c r="H16" s="29" t="n">
        <v>46317</v>
      </c>
      <c r="I16" s="32" t="n">
        <v>3000</v>
      </c>
      <c r="J16" s="32" t="n">
        <v>0</v>
      </c>
      <c r="K16" s="33" t="s">
        <v>155</v>
      </c>
    </row>
    <row r="17" customFormat="false" ht="15" hidden="false" customHeight="false" outlineLevel="0" collapsed="false">
      <c r="A17" s="29" t="n">
        <v>46320</v>
      </c>
      <c r="B17" s="30" t="s">
        <v>138</v>
      </c>
      <c r="C17" s="31" t="s">
        <v>144</v>
      </c>
      <c r="D17" s="31" t="s">
        <v>162</v>
      </c>
      <c r="E17" s="32" t="n">
        <v>7000</v>
      </c>
      <c r="F17" s="31" t="s">
        <v>59</v>
      </c>
      <c r="G17" s="30" t="s">
        <v>149</v>
      </c>
      <c r="H17" s="29" t="n">
        <v>46320</v>
      </c>
      <c r="I17" s="32" t="n">
        <v>7000</v>
      </c>
      <c r="J17" s="32" t="n">
        <v>0</v>
      </c>
      <c r="K17" s="33" t="s">
        <v>155</v>
      </c>
    </row>
    <row r="18" customFormat="false" ht="15" hidden="false" customHeight="false" outlineLevel="0" collapsed="false">
      <c r="A18" s="29" t="n">
        <v>46321</v>
      </c>
      <c r="B18" s="30" t="s">
        <v>138</v>
      </c>
      <c r="C18" s="31" t="s">
        <v>144</v>
      </c>
      <c r="D18" s="31" t="s">
        <v>161</v>
      </c>
      <c r="E18" s="32" t="n">
        <v>7800</v>
      </c>
      <c r="F18" s="31" t="s">
        <v>42</v>
      </c>
      <c r="G18" s="30" t="s">
        <v>149</v>
      </c>
      <c r="H18" s="29" t="n">
        <v>46321</v>
      </c>
      <c r="I18" s="32" t="n">
        <v>7800</v>
      </c>
      <c r="J18" s="32" t="n">
        <v>0</v>
      </c>
      <c r="K18" s="33" t="s">
        <v>155</v>
      </c>
    </row>
    <row r="19" customFormat="false" ht="15" hidden="false" customHeight="false" outlineLevel="0" collapsed="false">
      <c r="A19" s="29" t="n">
        <v>46321</v>
      </c>
      <c r="B19" s="30" t="s">
        <v>138</v>
      </c>
      <c r="C19" s="31" t="s">
        <v>144</v>
      </c>
      <c r="D19" s="31" t="s">
        <v>162</v>
      </c>
      <c r="E19" s="32" t="n">
        <v>5110</v>
      </c>
      <c r="F19" s="31" t="s">
        <v>59</v>
      </c>
      <c r="G19" s="30" t="s">
        <v>149</v>
      </c>
      <c r="H19" s="29" t="n">
        <v>46321</v>
      </c>
      <c r="I19" s="32" t="n">
        <v>5110</v>
      </c>
      <c r="J19" s="32" t="n">
        <v>0</v>
      </c>
      <c r="K19" s="33" t="s">
        <v>155</v>
      </c>
    </row>
    <row r="20" customFormat="false" ht="15" hidden="false" customHeight="false" outlineLevel="0" collapsed="false">
      <c r="A20" s="29" t="n">
        <v>46323</v>
      </c>
      <c r="B20" s="30" t="s">
        <v>138</v>
      </c>
      <c r="C20" s="31" t="s">
        <v>144</v>
      </c>
      <c r="D20" s="31" t="s">
        <v>162</v>
      </c>
      <c r="E20" s="32" t="n">
        <v>5000</v>
      </c>
      <c r="F20" s="31" t="s">
        <v>59</v>
      </c>
      <c r="G20" s="30" t="s">
        <v>149</v>
      </c>
      <c r="H20" s="29" t="n">
        <v>46323</v>
      </c>
      <c r="I20" s="32" t="n">
        <v>5000</v>
      </c>
      <c r="J20" s="32" t="n">
        <v>0</v>
      </c>
      <c r="K20" s="33" t="s">
        <v>155</v>
      </c>
    </row>
    <row r="21" customFormat="false" ht="15" hidden="false" customHeight="false" outlineLevel="0" collapsed="false">
      <c r="A21" s="29" t="n">
        <v>46323</v>
      </c>
      <c r="B21" s="30" t="s">
        <v>138</v>
      </c>
      <c r="C21" s="31" t="s">
        <v>144</v>
      </c>
      <c r="D21" s="31" t="s">
        <v>163</v>
      </c>
      <c r="E21" s="32" t="n">
        <v>4275</v>
      </c>
      <c r="F21" s="31" t="s">
        <v>36</v>
      </c>
      <c r="G21" s="30" t="s">
        <v>149</v>
      </c>
      <c r="H21" s="29" t="n">
        <v>46323</v>
      </c>
      <c r="I21" s="32" t="n">
        <v>4275</v>
      </c>
      <c r="J21" s="32" t="n">
        <v>0</v>
      </c>
      <c r="K21" s="33" t="s">
        <v>155</v>
      </c>
    </row>
    <row r="22" customFormat="false" ht="15" hidden="false" customHeight="false" outlineLevel="0" collapsed="false">
      <c r="A22" s="29" t="n">
        <v>46323</v>
      </c>
      <c r="B22" s="30" t="s">
        <v>138</v>
      </c>
      <c r="C22" s="31" t="s">
        <v>144</v>
      </c>
      <c r="D22" s="31" t="s">
        <v>162</v>
      </c>
      <c r="E22" s="32" t="n">
        <v>4326</v>
      </c>
      <c r="F22" s="31" t="s">
        <v>59</v>
      </c>
      <c r="G22" s="30" t="s">
        <v>149</v>
      </c>
      <c r="H22" s="29" t="n">
        <v>46323</v>
      </c>
      <c r="I22" s="32" t="n">
        <v>4326</v>
      </c>
      <c r="J22" s="32" t="n">
        <v>0</v>
      </c>
      <c r="K22" s="33" t="s">
        <v>155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3D"/>
    <pageSetUpPr fitToPage="true"/>
  </sheetPr>
  <dimension ref="A1:H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70"/>
    <col collapsed="false" customWidth="true" hidden="false" outlineLevel="0" max="7" min="7" style="0" width="22"/>
    <col collapsed="false" customWidth="true" hidden="false" outlineLevel="0" max="8" min="8" style="0" width="32"/>
  </cols>
  <sheetData>
    <row r="1" customFormat="false" ht="17.35" hidden="false" customHeight="true" outlineLevel="0" collapsed="false">
      <c r="A1" s="15" t="s">
        <v>164</v>
      </c>
      <c r="B1" s="15"/>
      <c r="C1" s="15"/>
      <c r="D1" s="15"/>
      <c r="E1" s="15"/>
      <c r="F1" s="15"/>
      <c r="G1" s="15"/>
      <c r="H1" s="15"/>
    </row>
    <row r="2" customFormat="false" ht="30" hidden="false" customHeight="true" outlineLevel="0" collapsed="false">
      <c r="A2" s="34" t="s">
        <v>165</v>
      </c>
      <c r="B2" s="34"/>
      <c r="C2" s="34"/>
      <c r="D2" s="34"/>
      <c r="E2" s="34"/>
      <c r="F2" s="34"/>
      <c r="G2" s="34"/>
      <c r="H2" s="34"/>
    </row>
    <row r="3" customFormat="false" ht="15" hidden="false" customHeight="false" outlineLevel="0" collapsed="false">
      <c r="B3" s="12" t="s">
        <v>166</v>
      </c>
      <c r="C3" s="35" t="n">
        <f aca="false">COUNTIF(D5:D2000,"عالية")</f>
        <v>3</v>
      </c>
      <c r="D3" s="12" t="s">
        <v>167</v>
      </c>
      <c r="E3" s="36" t="n">
        <f aca="false">COUNTIF(D5:D2000,"متوسطة")</f>
        <v>27</v>
      </c>
      <c r="F3" s="12" t="s">
        <v>168</v>
      </c>
      <c r="G3" s="37" t="n">
        <f aca="false">COUNTIF(D5:D2000,"منخفضة")</f>
        <v>18</v>
      </c>
    </row>
    <row r="4" customFormat="false" ht="23.85" hidden="false" customHeight="false" outlineLevel="0" collapsed="false">
      <c r="A4" s="6" t="s">
        <v>8</v>
      </c>
      <c r="B4" s="6" t="s">
        <v>9</v>
      </c>
      <c r="C4" s="6" t="s">
        <v>169</v>
      </c>
      <c r="D4" s="6" t="s">
        <v>170</v>
      </c>
      <c r="E4" s="6" t="s">
        <v>171</v>
      </c>
      <c r="F4" s="6" t="s">
        <v>172</v>
      </c>
      <c r="G4" s="6" t="s">
        <v>173</v>
      </c>
      <c r="H4" s="6" t="s">
        <v>174</v>
      </c>
    </row>
    <row r="5" customFormat="false" ht="15" hidden="false" customHeight="false" outlineLevel="0" collapsed="false">
      <c r="A5" s="38" t="n">
        <v>1</v>
      </c>
      <c r="B5" s="39" t="s">
        <v>175</v>
      </c>
      <c r="C5" s="38" t="s">
        <v>142</v>
      </c>
      <c r="D5" s="40" t="s">
        <v>166</v>
      </c>
      <c r="E5" s="38" t="s">
        <v>176</v>
      </c>
      <c r="F5" s="39" t="s">
        <v>177</v>
      </c>
      <c r="G5" s="39"/>
      <c r="H5" s="39" t="s">
        <v>178</v>
      </c>
    </row>
    <row r="6" customFormat="false" ht="22.35" hidden="false" customHeight="false" outlineLevel="0" collapsed="false">
      <c r="A6" s="38" t="n">
        <v>2</v>
      </c>
      <c r="B6" s="39" t="s">
        <v>175</v>
      </c>
      <c r="C6" s="38" t="s">
        <v>142</v>
      </c>
      <c r="D6" s="40" t="s">
        <v>166</v>
      </c>
      <c r="E6" s="38" t="s">
        <v>176</v>
      </c>
      <c r="F6" s="39" t="s">
        <v>179</v>
      </c>
      <c r="G6" s="39"/>
      <c r="H6" s="39" t="s">
        <v>178</v>
      </c>
    </row>
    <row r="7" customFormat="false" ht="22.35" hidden="false" customHeight="false" outlineLevel="0" collapsed="false">
      <c r="A7" s="38" t="n">
        <v>3</v>
      </c>
      <c r="B7" s="39" t="s">
        <v>175</v>
      </c>
      <c r="C7" s="38" t="s">
        <v>142</v>
      </c>
      <c r="D7" s="40" t="s">
        <v>166</v>
      </c>
      <c r="E7" s="38" t="s">
        <v>176</v>
      </c>
      <c r="F7" s="39" t="s">
        <v>180</v>
      </c>
      <c r="G7" s="39"/>
      <c r="H7" s="39" t="s">
        <v>178</v>
      </c>
    </row>
    <row r="8" customFormat="false" ht="22.35" hidden="false" customHeight="false" outlineLevel="0" collapsed="false">
      <c r="A8" s="38" t="n">
        <v>4</v>
      </c>
      <c r="B8" s="41" t="s">
        <v>47</v>
      </c>
      <c r="C8" s="38" t="n">
        <v>7</v>
      </c>
      <c r="D8" s="42" t="s">
        <v>167</v>
      </c>
      <c r="E8" s="38" t="s">
        <v>181</v>
      </c>
      <c r="F8" s="39" t="s">
        <v>182</v>
      </c>
      <c r="G8" s="39" t="s">
        <v>183</v>
      </c>
      <c r="H8" s="39" t="s">
        <v>184</v>
      </c>
    </row>
    <row r="9" customFormat="false" ht="22.35" hidden="false" customHeight="false" outlineLevel="0" collapsed="false">
      <c r="A9" s="38" t="n">
        <v>5</v>
      </c>
      <c r="B9" s="41" t="s">
        <v>51</v>
      </c>
      <c r="C9" s="38" t="n">
        <v>13</v>
      </c>
      <c r="D9" s="42" t="s">
        <v>167</v>
      </c>
      <c r="E9" s="38" t="s">
        <v>181</v>
      </c>
      <c r="F9" s="39" t="s">
        <v>182</v>
      </c>
      <c r="G9" s="39" t="s">
        <v>185</v>
      </c>
      <c r="H9" s="39" t="s">
        <v>184</v>
      </c>
    </row>
    <row r="10" customFormat="false" ht="22.35" hidden="false" customHeight="false" outlineLevel="0" collapsed="false">
      <c r="A10" s="38" t="n">
        <v>6</v>
      </c>
      <c r="B10" s="41" t="s">
        <v>51</v>
      </c>
      <c r="C10" s="38" t="n">
        <v>16</v>
      </c>
      <c r="D10" s="42" t="s">
        <v>167</v>
      </c>
      <c r="E10" s="38" t="s">
        <v>181</v>
      </c>
      <c r="F10" s="39" t="s">
        <v>182</v>
      </c>
      <c r="G10" s="39" t="s">
        <v>186</v>
      </c>
      <c r="H10" s="39" t="s">
        <v>184</v>
      </c>
    </row>
    <row r="11" customFormat="false" ht="15" hidden="false" customHeight="false" outlineLevel="0" collapsed="false">
      <c r="A11" s="38" t="n">
        <v>7</v>
      </c>
      <c r="B11" s="41" t="s">
        <v>51</v>
      </c>
      <c r="C11" s="38" t="n">
        <v>18</v>
      </c>
      <c r="D11" s="42" t="s">
        <v>167</v>
      </c>
      <c r="E11" s="38" t="s">
        <v>181</v>
      </c>
      <c r="F11" s="39" t="s">
        <v>187</v>
      </c>
      <c r="G11" s="39" t="s">
        <v>188</v>
      </c>
      <c r="H11" s="39" t="s">
        <v>184</v>
      </c>
    </row>
    <row r="12" customFormat="false" ht="15" hidden="false" customHeight="false" outlineLevel="0" collapsed="false">
      <c r="A12" s="38" t="n">
        <v>8</v>
      </c>
      <c r="B12" s="41" t="s">
        <v>51</v>
      </c>
      <c r="C12" s="38" t="n">
        <v>19</v>
      </c>
      <c r="D12" s="42" t="s">
        <v>167</v>
      </c>
      <c r="E12" s="38" t="s">
        <v>181</v>
      </c>
      <c r="F12" s="39" t="s">
        <v>187</v>
      </c>
      <c r="G12" s="39" t="s">
        <v>189</v>
      </c>
      <c r="H12" s="39" t="s">
        <v>184</v>
      </c>
    </row>
    <row r="13" customFormat="false" ht="15" hidden="false" customHeight="false" outlineLevel="0" collapsed="false">
      <c r="A13" s="38" t="n">
        <v>9</v>
      </c>
      <c r="B13" s="41" t="s">
        <v>51</v>
      </c>
      <c r="C13" s="38" t="n">
        <v>20</v>
      </c>
      <c r="D13" s="42" t="s">
        <v>167</v>
      </c>
      <c r="E13" s="38" t="s">
        <v>181</v>
      </c>
      <c r="F13" s="39" t="s">
        <v>187</v>
      </c>
      <c r="G13" s="39" t="s">
        <v>190</v>
      </c>
      <c r="H13" s="39" t="s">
        <v>184</v>
      </c>
    </row>
    <row r="14" customFormat="false" ht="22.35" hidden="false" customHeight="false" outlineLevel="0" collapsed="false">
      <c r="A14" s="38" t="n">
        <v>10</v>
      </c>
      <c r="B14" s="41" t="s">
        <v>58</v>
      </c>
      <c r="C14" s="38" t="n">
        <v>17</v>
      </c>
      <c r="D14" s="42" t="s">
        <v>167</v>
      </c>
      <c r="E14" s="38" t="s">
        <v>181</v>
      </c>
      <c r="F14" s="39" t="s">
        <v>182</v>
      </c>
      <c r="G14" s="39" t="s">
        <v>191</v>
      </c>
      <c r="H14" s="39" t="s">
        <v>184</v>
      </c>
    </row>
    <row r="15" customFormat="false" ht="22.35" hidden="false" customHeight="false" outlineLevel="0" collapsed="false">
      <c r="A15" s="38" t="n">
        <v>11</v>
      </c>
      <c r="B15" s="41" t="s">
        <v>58</v>
      </c>
      <c r="C15" s="38" t="n">
        <v>18</v>
      </c>
      <c r="D15" s="42" t="s">
        <v>167</v>
      </c>
      <c r="E15" s="38" t="s">
        <v>181</v>
      </c>
      <c r="F15" s="39" t="s">
        <v>182</v>
      </c>
      <c r="G15" s="39" t="s">
        <v>192</v>
      </c>
      <c r="H15" s="39" t="s">
        <v>184</v>
      </c>
    </row>
    <row r="16" customFormat="false" ht="15" hidden="false" customHeight="false" outlineLevel="0" collapsed="false">
      <c r="A16" s="38" t="n">
        <v>12</v>
      </c>
      <c r="B16" s="39" t="s">
        <v>193</v>
      </c>
      <c r="C16" s="38" t="s">
        <v>142</v>
      </c>
      <c r="D16" s="42" t="s">
        <v>167</v>
      </c>
      <c r="E16" s="38" t="s">
        <v>194</v>
      </c>
      <c r="F16" s="39" t="s">
        <v>195</v>
      </c>
      <c r="G16" s="39"/>
      <c r="H16" s="39"/>
    </row>
    <row r="17" customFormat="false" ht="22.35" hidden="false" customHeight="false" outlineLevel="0" collapsed="false">
      <c r="A17" s="38" t="n">
        <v>13</v>
      </c>
      <c r="B17" s="41" t="s">
        <v>21</v>
      </c>
      <c r="C17" s="38" t="s">
        <v>196</v>
      </c>
      <c r="D17" s="42" t="s">
        <v>167</v>
      </c>
      <c r="E17" s="38" t="s">
        <v>197</v>
      </c>
      <c r="F17" s="39" t="s">
        <v>198</v>
      </c>
      <c r="G17" s="39" t="s">
        <v>199</v>
      </c>
      <c r="H17" s="39" t="s">
        <v>200</v>
      </c>
    </row>
    <row r="18" customFormat="false" ht="22.35" hidden="false" customHeight="false" outlineLevel="0" collapsed="false">
      <c r="A18" s="38" t="n">
        <v>14</v>
      </c>
      <c r="B18" s="41" t="s">
        <v>22</v>
      </c>
      <c r="C18" s="38" t="s">
        <v>201</v>
      </c>
      <c r="D18" s="42" t="s">
        <v>167</v>
      </c>
      <c r="E18" s="38" t="s">
        <v>197</v>
      </c>
      <c r="F18" s="39" t="s">
        <v>202</v>
      </c>
      <c r="G18" s="39" t="s">
        <v>203</v>
      </c>
      <c r="H18" s="39" t="s">
        <v>200</v>
      </c>
    </row>
    <row r="19" customFormat="false" ht="22.35" hidden="false" customHeight="false" outlineLevel="0" collapsed="false">
      <c r="A19" s="38" t="n">
        <v>15</v>
      </c>
      <c r="B19" s="41" t="s">
        <v>204</v>
      </c>
      <c r="C19" s="38" t="s">
        <v>205</v>
      </c>
      <c r="D19" s="42" t="s">
        <v>167</v>
      </c>
      <c r="E19" s="38" t="s">
        <v>197</v>
      </c>
      <c r="F19" s="39" t="s">
        <v>206</v>
      </c>
      <c r="G19" s="39" t="s">
        <v>207</v>
      </c>
      <c r="H19" s="39" t="s">
        <v>200</v>
      </c>
    </row>
    <row r="20" customFormat="false" ht="22.35" hidden="false" customHeight="false" outlineLevel="0" collapsed="false">
      <c r="A20" s="38" t="n">
        <v>16</v>
      </c>
      <c r="B20" s="41" t="s">
        <v>208</v>
      </c>
      <c r="C20" s="38" t="s">
        <v>209</v>
      </c>
      <c r="D20" s="42" t="s">
        <v>167</v>
      </c>
      <c r="E20" s="38" t="s">
        <v>197</v>
      </c>
      <c r="F20" s="39" t="s">
        <v>210</v>
      </c>
      <c r="G20" s="39" t="s">
        <v>211</v>
      </c>
      <c r="H20" s="39" t="s">
        <v>200</v>
      </c>
    </row>
    <row r="21" customFormat="false" ht="22.35" hidden="false" customHeight="false" outlineLevel="0" collapsed="false">
      <c r="A21" s="38" t="n">
        <v>17</v>
      </c>
      <c r="B21" s="41" t="s">
        <v>30</v>
      </c>
      <c r="C21" s="38" t="s">
        <v>209</v>
      </c>
      <c r="D21" s="42" t="s">
        <v>167</v>
      </c>
      <c r="E21" s="38" t="s">
        <v>197</v>
      </c>
      <c r="F21" s="39" t="s">
        <v>212</v>
      </c>
      <c r="G21" s="39" t="s">
        <v>211</v>
      </c>
      <c r="H21" s="39" t="s">
        <v>200</v>
      </c>
    </row>
    <row r="22" customFormat="false" ht="22.35" hidden="false" customHeight="false" outlineLevel="0" collapsed="false">
      <c r="A22" s="38" t="n">
        <v>18</v>
      </c>
      <c r="B22" s="41" t="s">
        <v>40</v>
      </c>
      <c r="C22" s="38" t="s">
        <v>213</v>
      </c>
      <c r="D22" s="42" t="s">
        <v>167</v>
      </c>
      <c r="E22" s="38" t="s">
        <v>197</v>
      </c>
      <c r="F22" s="39" t="s">
        <v>214</v>
      </c>
      <c r="G22" s="39" t="s">
        <v>215</v>
      </c>
      <c r="H22" s="39" t="s">
        <v>200</v>
      </c>
    </row>
    <row r="23" customFormat="false" ht="22.35" hidden="false" customHeight="false" outlineLevel="0" collapsed="false">
      <c r="A23" s="38" t="n">
        <v>19</v>
      </c>
      <c r="B23" s="41" t="s">
        <v>41</v>
      </c>
      <c r="C23" s="38" t="s">
        <v>216</v>
      </c>
      <c r="D23" s="42" t="s">
        <v>167</v>
      </c>
      <c r="E23" s="38" t="s">
        <v>197</v>
      </c>
      <c r="F23" s="39" t="s">
        <v>217</v>
      </c>
      <c r="G23" s="39" t="s">
        <v>199</v>
      </c>
      <c r="H23" s="39" t="s">
        <v>200</v>
      </c>
    </row>
    <row r="24" customFormat="false" ht="22.35" hidden="false" customHeight="false" outlineLevel="0" collapsed="false">
      <c r="A24" s="38" t="n">
        <v>20</v>
      </c>
      <c r="B24" s="41" t="s">
        <v>42</v>
      </c>
      <c r="C24" s="38" t="s">
        <v>205</v>
      </c>
      <c r="D24" s="42" t="s">
        <v>167</v>
      </c>
      <c r="E24" s="38" t="s">
        <v>197</v>
      </c>
      <c r="F24" s="39" t="s">
        <v>218</v>
      </c>
      <c r="G24" s="39" t="s">
        <v>207</v>
      </c>
      <c r="H24" s="39" t="s">
        <v>200</v>
      </c>
    </row>
    <row r="25" customFormat="false" ht="22.35" hidden="false" customHeight="false" outlineLevel="0" collapsed="false">
      <c r="A25" s="38" t="n">
        <v>21</v>
      </c>
      <c r="B25" s="41" t="s">
        <v>44</v>
      </c>
      <c r="C25" s="38" t="s">
        <v>219</v>
      </c>
      <c r="D25" s="42" t="s">
        <v>167</v>
      </c>
      <c r="E25" s="38" t="s">
        <v>197</v>
      </c>
      <c r="F25" s="39" t="s">
        <v>220</v>
      </c>
      <c r="G25" s="39" t="s">
        <v>207</v>
      </c>
      <c r="H25" s="39" t="s">
        <v>200</v>
      </c>
    </row>
    <row r="26" customFormat="false" ht="22.35" hidden="false" customHeight="false" outlineLevel="0" collapsed="false">
      <c r="A26" s="38" t="n">
        <v>22</v>
      </c>
      <c r="B26" s="41" t="s">
        <v>46</v>
      </c>
      <c r="C26" s="38" t="s">
        <v>213</v>
      </c>
      <c r="D26" s="42" t="s">
        <v>167</v>
      </c>
      <c r="E26" s="38" t="s">
        <v>197</v>
      </c>
      <c r="F26" s="39" t="s">
        <v>221</v>
      </c>
      <c r="G26" s="39" t="s">
        <v>203</v>
      </c>
      <c r="H26" s="39" t="s">
        <v>200</v>
      </c>
    </row>
    <row r="27" customFormat="false" ht="22.35" hidden="false" customHeight="false" outlineLevel="0" collapsed="false">
      <c r="A27" s="38" t="n">
        <v>23</v>
      </c>
      <c r="B27" s="41" t="s">
        <v>47</v>
      </c>
      <c r="C27" s="38" t="s">
        <v>213</v>
      </c>
      <c r="D27" s="42" t="s">
        <v>167</v>
      </c>
      <c r="E27" s="38" t="s">
        <v>197</v>
      </c>
      <c r="F27" s="39" t="s">
        <v>222</v>
      </c>
      <c r="G27" s="39" t="s">
        <v>215</v>
      </c>
      <c r="H27" s="39" t="s">
        <v>200</v>
      </c>
    </row>
    <row r="28" customFormat="false" ht="22.35" hidden="false" customHeight="false" outlineLevel="0" collapsed="false">
      <c r="A28" s="38" t="n">
        <v>24</v>
      </c>
      <c r="B28" s="41" t="s">
        <v>48</v>
      </c>
      <c r="C28" s="38" t="s">
        <v>223</v>
      </c>
      <c r="D28" s="42" t="s">
        <v>167</v>
      </c>
      <c r="E28" s="38" t="s">
        <v>197</v>
      </c>
      <c r="F28" s="39" t="s">
        <v>224</v>
      </c>
      <c r="G28" s="39" t="s">
        <v>225</v>
      </c>
      <c r="H28" s="39" t="s">
        <v>200</v>
      </c>
    </row>
    <row r="29" customFormat="false" ht="22.35" hidden="false" customHeight="false" outlineLevel="0" collapsed="false">
      <c r="A29" s="38" t="n">
        <v>25</v>
      </c>
      <c r="B29" s="41" t="s">
        <v>226</v>
      </c>
      <c r="C29" s="38" t="s">
        <v>201</v>
      </c>
      <c r="D29" s="42" t="s">
        <v>167</v>
      </c>
      <c r="E29" s="38" t="s">
        <v>197</v>
      </c>
      <c r="F29" s="39" t="s">
        <v>227</v>
      </c>
      <c r="G29" s="39" t="s">
        <v>203</v>
      </c>
      <c r="H29" s="39" t="s">
        <v>200</v>
      </c>
    </row>
    <row r="30" customFormat="false" ht="22.35" hidden="false" customHeight="false" outlineLevel="0" collapsed="false">
      <c r="A30" s="38" t="n">
        <v>26</v>
      </c>
      <c r="B30" s="41" t="s">
        <v>51</v>
      </c>
      <c r="C30" s="38" t="s">
        <v>209</v>
      </c>
      <c r="D30" s="42" t="s">
        <v>167</v>
      </c>
      <c r="E30" s="38" t="s">
        <v>197</v>
      </c>
      <c r="F30" s="39" t="s">
        <v>228</v>
      </c>
      <c r="G30" s="39" t="s">
        <v>211</v>
      </c>
      <c r="H30" s="39" t="s">
        <v>200</v>
      </c>
    </row>
    <row r="31" customFormat="false" ht="22.35" hidden="false" customHeight="false" outlineLevel="0" collapsed="false">
      <c r="A31" s="38" t="n">
        <v>27</v>
      </c>
      <c r="B31" s="41" t="s">
        <v>58</v>
      </c>
      <c r="C31" s="38" t="s">
        <v>213</v>
      </c>
      <c r="D31" s="42" t="s">
        <v>167</v>
      </c>
      <c r="E31" s="38" t="s">
        <v>197</v>
      </c>
      <c r="F31" s="39" t="s">
        <v>229</v>
      </c>
      <c r="G31" s="39" t="s">
        <v>199</v>
      </c>
      <c r="H31" s="39" t="s">
        <v>200</v>
      </c>
    </row>
    <row r="32" customFormat="false" ht="22.35" hidden="false" customHeight="false" outlineLevel="0" collapsed="false">
      <c r="A32" s="38" t="n">
        <v>28</v>
      </c>
      <c r="B32" s="41" t="s">
        <v>59</v>
      </c>
      <c r="C32" s="38" t="s">
        <v>201</v>
      </c>
      <c r="D32" s="42" t="s">
        <v>167</v>
      </c>
      <c r="E32" s="38" t="s">
        <v>197</v>
      </c>
      <c r="F32" s="39" t="s">
        <v>230</v>
      </c>
      <c r="G32" s="39" t="s">
        <v>199</v>
      </c>
      <c r="H32" s="39" t="s">
        <v>200</v>
      </c>
    </row>
    <row r="33" customFormat="false" ht="22.35" hidden="false" customHeight="false" outlineLevel="0" collapsed="false">
      <c r="A33" s="38" t="n">
        <v>29</v>
      </c>
      <c r="B33" s="41" t="s">
        <v>60</v>
      </c>
      <c r="C33" s="38" t="s">
        <v>196</v>
      </c>
      <c r="D33" s="42" t="s">
        <v>167</v>
      </c>
      <c r="E33" s="38" t="s">
        <v>197</v>
      </c>
      <c r="F33" s="39" t="s">
        <v>231</v>
      </c>
      <c r="G33" s="39" t="s">
        <v>199</v>
      </c>
      <c r="H33" s="39" t="s">
        <v>200</v>
      </c>
    </row>
    <row r="34" customFormat="false" ht="15" hidden="false" customHeight="false" outlineLevel="0" collapsed="false">
      <c r="A34" s="38" t="n">
        <v>30</v>
      </c>
      <c r="B34" s="41" t="s">
        <v>54</v>
      </c>
      <c r="C34" s="38" t="s">
        <v>142</v>
      </c>
      <c r="D34" s="42" t="s">
        <v>167</v>
      </c>
      <c r="E34" s="38" t="s">
        <v>232</v>
      </c>
      <c r="F34" s="39" t="s">
        <v>233</v>
      </c>
      <c r="G34" s="39"/>
      <c r="H34" s="39" t="s">
        <v>234</v>
      </c>
    </row>
    <row r="35" customFormat="false" ht="15" hidden="false" customHeight="false" outlineLevel="0" collapsed="false">
      <c r="A35" s="38" t="n">
        <v>31</v>
      </c>
      <c r="B35" s="41" t="s">
        <v>204</v>
      </c>
      <c r="C35" s="38" t="s">
        <v>235</v>
      </c>
      <c r="D35" s="43" t="s">
        <v>168</v>
      </c>
      <c r="E35" s="38" t="s">
        <v>236</v>
      </c>
      <c r="F35" s="39" t="s">
        <v>237</v>
      </c>
      <c r="G35" s="39"/>
      <c r="H35" s="39" t="s">
        <v>238</v>
      </c>
    </row>
    <row r="36" customFormat="false" ht="15" hidden="false" customHeight="false" outlineLevel="0" collapsed="false">
      <c r="A36" s="38" t="n">
        <v>32</v>
      </c>
      <c r="B36" s="41" t="s">
        <v>41</v>
      </c>
      <c r="C36" s="38" t="s">
        <v>239</v>
      </c>
      <c r="D36" s="43" t="s">
        <v>168</v>
      </c>
      <c r="E36" s="38" t="s">
        <v>197</v>
      </c>
      <c r="F36" s="39" t="s">
        <v>240</v>
      </c>
      <c r="G36" s="39" t="s">
        <v>241</v>
      </c>
      <c r="H36" s="39" t="s">
        <v>242</v>
      </c>
    </row>
    <row r="37" customFormat="false" ht="15" hidden="false" customHeight="false" outlineLevel="0" collapsed="false">
      <c r="A37" s="38" t="n">
        <v>33</v>
      </c>
      <c r="B37" s="41" t="s">
        <v>22</v>
      </c>
      <c r="C37" s="38" t="n">
        <v>9</v>
      </c>
      <c r="D37" s="43" t="s">
        <v>168</v>
      </c>
      <c r="E37" s="38" t="s">
        <v>243</v>
      </c>
      <c r="F37" s="39" t="s">
        <v>244</v>
      </c>
      <c r="G37" s="39"/>
      <c r="H37" s="39" t="s">
        <v>245</v>
      </c>
    </row>
    <row r="38" customFormat="false" ht="15" hidden="false" customHeight="false" outlineLevel="0" collapsed="false">
      <c r="A38" s="38" t="n">
        <v>34</v>
      </c>
      <c r="B38" s="41" t="s">
        <v>22</v>
      </c>
      <c r="C38" s="38" t="n">
        <v>10</v>
      </c>
      <c r="D38" s="43" t="s">
        <v>168</v>
      </c>
      <c r="E38" s="38" t="s">
        <v>243</v>
      </c>
      <c r="F38" s="39" t="s">
        <v>246</v>
      </c>
      <c r="G38" s="39"/>
      <c r="H38" s="39" t="s">
        <v>245</v>
      </c>
    </row>
    <row r="39" customFormat="false" ht="15" hidden="false" customHeight="false" outlineLevel="0" collapsed="false">
      <c r="A39" s="38" t="n">
        <v>35</v>
      </c>
      <c r="B39" s="41" t="s">
        <v>35</v>
      </c>
      <c r="C39" s="38" t="n">
        <v>16</v>
      </c>
      <c r="D39" s="43" t="s">
        <v>168</v>
      </c>
      <c r="E39" s="38" t="s">
        <v>243</v>
      </c>
      <c r="F39" s="39" t="s">
        <v>247</v>
      </c>
      <c r="G39" s="39"/>
      <c r="H39" s="39" t="s">
        <v>245</v>
      </c>
    </row>
    <row r="40" customFormat="false" ht="15" hidden="false" customHeight="false" outlineLevel="0" collapsed="false">
      <c r="A40" s="38" t="n">
        <v>36</v>
      </c>
      <c r="B40" s="41" t="s">
        <v>35</v>
      </c>
      <c r="C40" s="38" t="n">
        <v>17</v>
      </c>
      <c r="D40" s="43" t="s">
        <v>168</v>
      </c>
      <c r="E40" s="38" t="s">
        <v>243</v>
      </c>
      <c r="F40" s="39" t="s">
        <v>248</v>
      </c>
      <c r="G40" s="39"/>
      <c r="H40" s="39" t="s">
        <v>245</v>
      </c>
    </row>
    <row r="41" customFormat="false" ht="15" hidden="false" customHeight="false" outlineLevel="0" collapsed="false">
      <c r="A41" s="38" t="n">
        <v>37</v>
      </c>
      <c r="B41" s="41" t="s">
        <v>39</v>
      </c>
      <c r="C41" s="38" t="s">
        <v>249</v>
      </c>
      <c r="D41" s="43" t="s">
        <v>168</v>
      </c>
      <c r="E41" s="38" t="s">
        <v>243</v>
      </c>
      <c r="F41" s="39" t="s">
        <v>250</v>
      </c>
      <c r="G41" s="39" t="n">
        <v>55</v>
      </c>
      <c r="H41" s="39" t="s">
        <v>251</v>
      </c>
    </row>
    <row r="42" customFormat="false" ht="15" hidden="false" customHeight="false" outlineLevel="0" collapsed="false">
      <c r="A42" s="38" t="n">
        <v>38</v>
      </c>
      <c r="B42" s="41" t="s">
        <v>40</v>
      </c>
      <c r="C42" s="38" t="n">
        <v>17</v>
      </c>
      <c r="D42" s="43" t="s">
        <v>168</v>
      </c>
      <c r="E42" s="38" t="s">
        <v>243</v>
      </c>
      <c r="F42" s="39" t="s">
        <v>252</v>
      </c>
      <c r="G42" s="39"/>
      <c r="H42" s="39" t="s">
        <v>245</v>
      </c>
    </row>
    <row r="43" customFormat="false" ht="15" hidden="false" customHeight="false" outlineLevel="0" collapsed="false">
      <c r="A43" s="38" t="n">
        <v>39</v>
      </c>
      <c r="B43" s="41" t="s">
        <v>41</v>
      </c>
      <c r="C43" s="38" t="s">
        <v>253</v>
      </c>
      <c r="D43" s="43" t="s">
        <v>168</v>
      </c>
      <c r="E43" s="38" t="s">
        <v>243</v>
      </c>
      <c r="F43" s="39" t="s">
        <v>250</v>
      </c>
      <c r="G43" s="39" t="n">
        <v>1207.5</v>
      </c>
      <c r="H43" s="39" t="s">
        <v>251</v>
      </c>
    </row>
    <row r="44" customFormat="false" ht="15" hidden="false" customHeight="false" outlineLevel="0" collapsed="false">
      <c r="A44" s="38" t="n">
        <v>40</v>
      </c>
      <c r="B44" s="41" t="s">
        <v>52</v>
      </c>
      <c r="C44" s="38" t="s">
        <v>254</v>
      </c>
      <c r="D44" s="43" t="s">
        <v>168</v>
      </c>
      <c r="E44" s="38" t="s">
        <v>243</v>
      </c>
      <c r="F44" s="39" t="s">
        <v>255</v>
      </c>
      <c r="G44" s="39" t="s">
        <v>256</v>
      </c>
      <c r="H44" s="39" t="s">
        <v>257</v>
      </c>
    </row>
    <row r="45" customFormat="false" ht="15" hidden="false" customHeight="false" outlineLevel="0" collapsed="false">
      <c r="A45" s="38" t="n">
        <v>41</v>
      </c>
      <c r="B45" s="41" t="s">
        <v>58</v>
      </c>
      <c r="C45" s="38" t="s">
        <v>258</v>
      </c>
      <c r="D45" s="43" t="s">
        <v>168</v>
      </c>
      <c r="E45" s="38" t="s">
        <v>243</v>
      </c>
      <c r="F45" s="39" t="s">
        <v>250</v>
      </c>
      <c r="G45" s="39" t="n">
        <v>14</v>
      </c>
      <c r="H45" s="39" t="s">
        <v>251</v>
      </c>
    </row>
    <row r="46" customFormat="false" ht="15" hidden="false" customHeight="false" outlineLevel="0" collapsed="false">
      <c r="A46" s="38" t="n">
        <v>42</v>
      </c>
      <c r="B46" s="41" t="s">
        <v>59</v>
      </c>
      <c r="C46" s="38" t="s">
        <v>259</v>
      </c>
      <c r="D46" s="43" t="s">
        <v>168</v>
      </c>
      <c r="E46" s="38" t="s">
        <v>243</v>
      </c>
      <c r="F46" s="39" t="s">
        <v>260</v>
      </c>
      <c r="G46" s="39" t="s">
        <v>256</v>
      </c>
      <c r="H46" s="39" t="s">
        <v>257</v>
      </c>
    </row>
    <row r="47" customFormat="false" ht="15" hidden="false" customHeight="false" outlineLevel="0" collapsed="false">
      <c r="A47" s="38" t="n">
        <v>43</v>
      </c>
      <c r="B47" s="41" t="s">
        <v>208</v>
      </c>
      <c r="C47" s="38" t="s">
        <v>261</v>
      </c>
      <c r="D47" s="43" t="s">
        <v>168</v>
      </c>
      <c r="E47" s="38" t="s">
        <v>232</v>
      </c>
      <c r="F47" s="39" t="s">
        <v>262</v>
      </c>
      <c r="G47" s="39" t="s">
        <v>263</v>
      </c>
      <c r="H47" s="39" t="s">
        <v>264</v>
      </c>
    </row>
    <row r="48" customFormat="false" ht="15" hidden="false" customHeight="false" outlineLevel="0" collapsed="false">
      <c r="A48" s="38" t="n">
        <v>44</v>
      </c>
      <c r="B48" s="41" t="s">
        <v>30</v>
      </c>
      <c r="C48" s="38" t="s">
        <v>265</v>
      </c>
      <c r="D48" s="43" t="s">
        <v>168</v>
      </c>
      <c r="E48" s="38" t="s">
        <v>232</v>
      </c>
      <c r="F48" s="39" t="s">
        <v>262</v>
      </c>
      <c r="G48" s="39" t="s">
        <v>263</v>
      </c>
      <c r="H48" s="39" t="s">
        <v>264</v>
      </c>
    </row>
    <row r="49" customFormat="false" ht="15" hidden="false" customHeight="false" outlineLevel="0" collapsed="false">
      <c r="A49" s="38" t="n">
        <v>45</v>
      </c>
      <c r="B49" s="41" t="s">
        <v>266</v>
      </c>
      <c r="C49" s="38" t="s">
        <v>142</v>
      </c>
      <c r="D49" s="43" t="s">
        <v>168</v>
      </c>
      <c r="E49" s="38" t="s">
        <v>232</v>
      </c>
      <c r="F49" s="39" t="s">
        <v>267</v>
      </c>
      <c r="G49" s="39"/>
      <c r="H49" s="39" t="s">
        <v>268</v>
      </c>
    </row>
    <row r="50" customFormat="false" ht="15" hidden="false" customHeight="false" outlineLevel="0" collapsed="false">
      <c r="A50" s="38" t="n">
        <v>46</v>
      </c>
      <c r="B50" s="41" t="s">
        <v>269</v>
      </c>
      <c r="C50" s="38" t="s">
        <v>142</v>
      </c>
      <c r="D50" s="43" t="s">
        <v>168</v>
      </c>
      <c r="E50" s="38" t="s">
        <v>232</v>
      </c>
      <c r="F50" s="39" t="s">
        <v>270</v>
      </c>
      <c r="G50" s="39" t="s">
        <v>269</v>
      </c>
      <c r="H50" s="39" t="s">
        <v>271</v>
      </c>
    </row>
    <row r="51" customFormat="false" ht="15" hidden="false" customHeight="false" outlineLevel="0" collapsed="false">
      <c r="A51" s="38" t="n">
        <v>47</v>
      </c>
      <c r="B51" s="41" t="s">
        <v>272</v>
      </c>
      <c r="C51" s="38" t="s">
        <v>142</v>
      </c>
      <c r="D51" s="43" t="s">
        <v>168</v>
      </c>
      <c r="E51" s="38" t="s">
        <v>232</v>
      </c>
      <c r="F51" s="39" t="s">
        <v>267</v>
      </c>
      <c r="G51" s="39"/>
      <c r="H51" s="39" t="s">
        <v>268</v>
      </c>
    </row>
    <row r="52" customFormat="false" ht="15" hidden="false" customHeight="false" outlineLevel="0" collapsed="false">
      <c r="A52" s="38" t="n">
        <v>48</v>
      </c>
      <c r="B52" s="41" t="s">
        <v>273</v>
      </c>
      <c r="C52" s="38" t="s">
        <v>142</v>
      </c>
      <c r="D52" s="43" t="s">
        <v>168</v>
      </c>
      <c r="E52" s="38" t="s">
        <v>232</v>
      </c>
      <c r="F52" s="39" t="s">
        <v>267</v>
      </c>
      <c r="G52" s="39"/>
      <c r="H52" s="39" t="s">
        <v>268</v>
      </c>
    </row>
  </sheetData>
  <autoFilter ref="A4:H52"/>
  <mergeCells count="2">
    <mergeCell ref="A1:H1"/>
    <mergeCell ref="A2:H2"/>
  </mergeCells>
  <hyperlinks>
    <hyperlink ref="B8" r:id="rId1" location="'طيبات%20العصر'!A1" display="طيبات العصر"/>
    <hyperlink ref="B9" r:id="rId2" location="'سليم%20بنغالي'!A1" display="سليم بنغالي"/>
    <hyperlink ref="B10" r:id="rId3" location="'سليم%20بنغالي'!A1" display="سليم بنغالي"/>
    <hyperlink ref="B11" r:id="rId4" location="'سليم%20بنغالي'!A1" display="سليم بنغالي"/>
    <hyperlink ref="B12" r:id="rId5" location="'سليم%20بنغالي'!A1" display="سليم بنغالي"/>
    <hyperlink ref="B13" r:id="rId6" location="'سليم%20بنغالي'!A1" display="سليم بنغالي"/>
    <hyperlink ref="B14" r:id="rId7" location="'متجر%20منافس'!A1" display="متجر منافس"/>
    <hyperlink ref="B15" r:id="rId8" location="'متجر%20منافس'!A1" display="متجر منافس"/>
    <hyperlink ref="B17" r:id="rId9" location="'قصي%20جابر'!A1" display="قصي جابر"/>
    <hyperlink ref="B18" r:id="rId10" location="'مصنع%20امداد'!A1" display="مصنع امداد"/>
    <hyperlink ref="B19" r:id="rId11" location="'مجني'!A1" display="مجني"/>
    <hyperlink ref="B20" r:id="rId12" location="'ابو%20احمد%20السوري'!A1" display="ابو احمد السوري"/>
    <hyperlink ref="B21" r:id="rId13" location="'عصام%20المصري'!A1" display="عصام المصري"/>
    <hyperlink ref="B22" r:id="rId14" location="'الكعبي%20كاش'!A1" display="الكعبي كاش"/>
    <hyperlink ref="B23" r:id="rId15" location="'الكعبي%20حوالة'!A1" display="الكعبي حوالة"/>
    <hyperlink ref="B24" r:id="rId16" location="'محمد%20عادل'!A1" display="محمد عادل"/>
    <hyperlink ref="B25" r:id="rId17" location="'سامر%20اليمني'!A1" display="سامر اليمني"/>
    <hyperlink ref="B26" r:id="rId18" location="'نور%20بنغالي'!A1" display="نور بنغالي"/>
    <hyperlink ref="B27" r:id="rId19" location="'طيبات%20العصر'!A1" display="طيبات العصر"/>
    <hyperlink ref="B28" r:id="rId20" location="'محيط%20دلتا'!A1" display="محيط دلتا"/>
    <hyperlink ref="B29" r:id="rId21" location="'ابوعجاج'!A1" display="ابوعجاج"/>
    <hyperlink ref="B30" r:id="rId22" location="'سليم%20بنغالي'!A1" display="سليم بنغالي"/>
    <hyperlink ref="B31" r:id="rId23" location="'متجر%20منافس'!A1" display="متجر منافس"/>
    <hyperlink ref="B32" r:id="rId24" location="'نقاوة%20بلس'!A1" display="نقاوة بلس"/>
    <hyperlink ref="B33" r:id="rId25" location="'بلال%20بنغالي'!A1" display="بلال بنغالي"/>
    <hyperlink ref="B34" r:id="rId26" location="'محسن'!A1" display="محسن"/>
    <hyperlink ref="B35" r:id="rId27" location="'مجني'!A1" display="مجني"/>
    <hyperlink ref="B36" r:id="rId28" location="'الكعبي%20حوالة'!A1" display="الكعبي حوالة"/>
    <hyperlink ref="B37" r:id="rId29" location="'مصنع%20امداد'!A1" display="مصنع امداد"/>
    <hyperlink ref="B38" r:id="rId30" location="'مصنع%20امداد'!A1" display="مصنع امداد"/>
    <hyperlink ref="B39" r:id="rId31" location="'امين%20بنغالي'!A1" display="امين بنغالي"/>
    <hyperlink ref="B40" r:id="rId32" location="'امين%20بنغالي'!A1" display="امين بنغالي"/>
    <hyperlink ref="B41" r:id="rId33" location="'امجد'!A1" display="امجد"/>
    <hyperlink ref="B42" r:id="rId34" location="'الكعبي%20كاش'!A1" display="الكعبي كاش"/>
    <hyperlink ref="B43" r:id="rId35" location="'الكعبي%20حوالة'!A1" display="الكعبي حوالة"/>
    <hyperlink ref="B44" r:id="rId36" location="'التخصص%20الذهبي'!A1" display="التخصص الذهبي"/>
    <hyperlink ref="B45" r:id="rId37" location="'متجر%20منافس'!A1" display="متجر منافس"/>
    <hyperlink ref="B46" r:id="rId38" location="'نقاوة%20بلس'!A1" display="نقاوة بلس"/>
    <hyperlink ref="B47" r:id="rId39" location="'ابو%20احمد%20السوري'!A1" display="ابو احمد السوري"/>
    <hyperlink ref="B48" r:id="rId40" location="'عصام%20المصري'!A1" display="عصام المصري"/>
    <hyperlink ref="B49" r:id="rId41" location="'ورقة2'!A1" display="ورقة2"/>
    <hyperlink ref="B50" r:id="rId42" location="'سليمان%20اليمني%20'!A1" display="سليمان اليمني "/>
    <hyperlink ref="B51" r:id="rId43" location="'ورقة5'!A1" display="ورقة5"/>
    <hyperlink ref="B52" r:id="rId44" location="'ورقة1'!A1" display="ورقة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274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46311</v>
      </c>
      <c r="E4" s="48" t="n">
        <f aca="false">IF(COUNT(C7:C1000)=0,"",MAX(C7:C1000))</f>
        <v>46324</v>
      </c>
      <c r="F4" s="49" t="n">
        <f aca="false">SUM(H7:H1000)</f>
        <v>498</v>
      </c>
      <c r="G4" s="49" t="n">
        <f aca="false">SUM(I7:I1000)</f>
        <v>498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46311</v>
      </c>
      <c r="D7" s="56" t="s">
        <v>75</v>
      </c>
      <c r="E7" s="57" t="n">
        <v>1</v>
      </c>
      <c r="F7" s="58" t="n">
        <v>60</v>
      </c>
      <c r="G7" s="54" t="n">
        <v>0</v>
      </c>
      <c r="H7" s="59" t="n">
        <f aca="false">ROUND(E7*F7*IF(G7&gt;1,G7,1),2)</f>
        <v>60</v>
      </c>
      <c r="I7" s="59"/>
      <c r="J7" s="60" t="n">
        <f aca="false">IF(COUNTA(C7:D7)=0,"",ROUND(SUM(H$7:H7)-SUM(I$7:I7),2))</f>
        <v>60</v>
      </c>
      <c r="K7" s="54"/>
      <c r="L7" s="61" t="s">
        <v>289</v>
      </c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46311</v>
      </c>
      <c r="D8" s="64" t="s">
        <v>77</v>
      </c>
      <c r="E8" s="65" t="n">
        <v>1</v>
      </c>
      <c r="F8" s="66" t="n">
        <v>19</v>
      </c>
      <c r="G8" s="62" t="n">
        <v>0</v>
      </c>
      <c r="H8" s="67" t="n">
        <f aca="false">ROUND(E8*F8*IF(G8&gt;1,G8,1),2)</f>
        <v>19</v>
      </c>
      <c r="I8" s="67"/>
      <c r="J8" s="68" t="n">
        <f aca="false">IF(COUNTA(C8:D8)=0,"",ROUND(SUM(H$7:H8)-SUM(I$7:I8),2))</f>
        <v>79</v>
      </c>
      <c r="K8" s="62"/>
      <c r="L8" s="69" t="s">
        <v>289</v>
      </c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46312</v>
      </c>
      <c r="D9" s="56" t="s">
        <v>78</v>
      </c>
      <c r="E9" s="57"/>
      <c r="F9" s="58"/>
      <c r="G9" s="54"/>
      <c r="H9" s="59"/>
      <c r="I9" s="59" t="n">
        <v>79</v>
      </c>
      <c r="J9" s="60" t="n">
        <f aca="false">IF(COUNTA(C9:D9)=0,"",ROUND(SUM(H$7:H9)-SUM(I$7:I9),2))</f>
        <v>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السبت</v>
      </c>
      <c r="C10" s="63" t="n">
        <v>46312</v>
      </c>
      <c r="D10" s="64" t="s">
        <v>75</v>
      </c>
      <c r="E10" s="65" t="n">
        <v>1</v>
      </c>
      <c r="F10" s="66" t="n">
        <v>60</v>
      </c>
      <c r="G10" s="62" t="n">
        <v>0</v>
      </c>
      <c r="H10" s="67" t="n">
        <f aca="false">ROUND(E10*F10*IF(G10&gt;1,G10,1),2)</f>
        <v>60</v>
      </c>
      <c r="I10" s="67"/>
      <c r="J10" s="68" t="n">
        <f aca="false">IF(COUNTA(C10:D10)=0,"",ROUND(SUM(H$7:H10)-SUM(I$7:I10),2))</f>
        <v>60</v>
      </c>
      <c r="K10" s="62"/>
      <c r="L10" s="69" t="s">
        <v>289</v>
      </c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السبت</v>
      </c>
      <c r="C11" s="55" t="n">
        <v>46312</v>
      </c>
      <c r="D11" s="56" t="s">
        <v>77</v>
      </c>
      <c r="E11" s="57" t="n">
        <v>1</v>
      </c>
      <c r="F11" s="58" t="n">
        <v>19</v>
      </c>
      <c r="G11" s="54" t="n">
        <v>0</v>
      </c>
      <c r="H11" s="59" t="n">
        <f aca="false">ROUND(E11*F11*IF(G11&gt;1,G11,1),2)</f>
        <v>19</v>
      </c>
      <c r="I11" s="59"/>
      <c r="J11" s="60" t="n">
        <f aca="false">IF(COUNTA(C11:D11)=0,"",ROUND(SUM(H$7:H11)-SUM(I$7:I11),2))</f>
        <v>79</v>
      </c>
      <c r="K11" s="54"/>
      <c r="L11" s="61" t="s">
        <v>289</v>
      </c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الأحد</v>
      </c>
      <c r="C12" s="63" t="n">
        <v>46313</v>
      </c>
      <c r="D12" s="64" t="s">
        <v>78</v>
      </c>
      <c r="E12" s="65"/>
      <c r="F12" s="66"/>
      <c r="G12" s="62"/>
      <c r="H12" s="67"/>
      <c r="I12" s="67" t="n">
        <v>79</v>
      </c>
      <c r="J12" s="68" t="n">
        <f aca="false">IF(COUNTA(C12:D12)=0,"",ROUND(SUM(H$7:H12)-SUM(I$7:I12),2))</f>
        <v>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الأحد</v>
      </c>
      <c r="C13" s="55" t="n">
        <v>46313</v>
      </c>
      <c r="D13" s="56" t="s">
        <v>75</v>
      </c>
      <c r="E13" s="57" t="n">
        <v>2</v>
      </c>
      <c r="F13" s="58" t="n">
        <v>60</v>
      </c>
      <c r="G13" s="54" t="n">
        <v>0</v>
      </c>
      <c r="H13" s="59" t="n">
        <f aca="false">ROUND(E13*F13*IF(G13&gt;1,G13,1),2)</f>
        <v>120</v>
      </c>
      <c r="I13" s="59"/>
      <c r="J13" s="60" t="n">
        <f aca="false">IF(COUNTA(C13:D13)=0,"",ROUND(SUM(H$7:H13)-SUM(I$7:I13),2))</f>
        <v>120</v>
      </c>
      <c r="K13" s="54"/>
      <c r="L13" s="61" t="s">
        <v>289</v>
      </c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الاثنين</v>
      </c>
      <c r="C14" s="63" t="n">
        <v>46314</v>
      </c>
      <c r="D14" s="64" t="s">
        <v>78</v>
      </c>
      <c r="E14" s="65"/>
      <c r="F14" s="66"/>
      <c r="G14" s="62"/>
      <c r="H14" s="67"/>
      <c r="I14" s="67" t="n">
        <v>120</v>
      </c>
      <c r="J14" s="68" t="n">
        <f aca="false">IF(COUNTA(C14:D14)=0,"",ROUND(SUM(H$7:H14)-SUM(I$7:I14),2))</f>
        <v>0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الجمعة</v>
      </c>
      <c r="C15" s="55" t="n">
        <v>46318</v>
      </c>
      <c r="D15" s="56" t="s">
        <v>75</v>
      </c>
      <c r="E15" s="57" t="n">
        <v>3</v>
      </c>
      <c r="F15" s="58" t="n">
        <v>55</v>
      </c>
      <c r="G15" s="54" t="n">
        <v>0</v>
      </c>
      <c r="H15" s="59" t="n">
        <f aca="false">ROUND(E15*F15*IF(G15&gt;1,G15,1),2)</f>
        <v>165</v>
      </c>
      <c r="I15" s="59"/>
      <c r="J15" s="60" t="n">
        <f aca="false">IF(COUNTA(C15:D15)=0,"",ROUND(SUM(H$7:H15)-SUM(I$7:I15),2))</f>
        <v>165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الأحد</v>
      </c>
      <c r="C16" s="63" t="n">
        <v>46320</v>
      </c>
      <c r="D16" s="64" t="s">
        <v>78</v>
      </c>
      <c r="E16" s="65"/>
      <c r="F16" s="66"/>
      <c r="G16" s="62"/>
      <c r="H16" s="67"/>
      <c r="I16" s="67" t="n">
        <v>165</v>
      </c>
      <c r="J16" s="68" t="n">
        <f aca="false">IF(COUNTA(C16:D16)=0,"",ROUND(SUM(H$7:H16)-SUM(I$7:I16),2))</f>
        <v>0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الاثنين</v>
      </c>
      <c r="C17" s="55" t="n">
        <v>46321</v>
      </c>
      <c r="D17" s="56" t="s">
        <v>75</v>
      </c>
      <c r="E17" s="57" t="n">
        <v>1</v>
      </c>
      <c r="F17" s="58" t="n">
        <v>55</v>
      </c>
      <c r="G17" s="54" t="n">
        <v>0</v>
      </c>
      <c r="H17" s="59" t="n">
        <f aca="false">ROUND(E17*F17*IF(G17&gt;1,G17,1),2)</f>
        <v>55</v>
      </c>
      <c r="I17" s="59"/>
      <c r="J17" s="60" t="n">
        <f aca="false">IF(COUNTA(C17:D17)=0,"",ROUND(SUM(H$7:H17)-SUM(I$7:I17),2))</f>
        <v>55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الخميس</v>
      </c>
      <c r="C18" s="63" t="n">
        <v>46324</v>
      </c>
      <c r="D18" s="64" t="s">
        <v>78</v>
      </c>
      <c r="E18" s="65"/>
      <c r="F18" s="66"/>
      <c r="G18" s="62"/>
      <c r="H18" s="67"/>
      <c r="I18" s="67" t="n">
        <v>55</v>
      </c>
      <c r="J18" s="68" t="n">
        <f aca="false">IF(COUNTA(C18:D18)=0,"",ROUND(SUM(H$7:H18)-SUM(I$7:I18),2))</f>
        <v>0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290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46321</v>
      </c>
      <c r="E4" s="48" t="n">
        <f aca="false">IF(COUNT(C7:C1000)=0,"",MAX(C7:C1000))</f>
        <v>46324</v>
      </c>
      <c r="F4" s="49" t="n">
        <f aca="false">SUM(H7:H1000)</f>
        <v>90</v>
      </c>
      <c r="G4" s="49" t="n">
        <f aca="false">SUM(I7:I1000)</f>
        <v>90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الاثنين</v>
      </c>
      <c r="C7" s="55" t="n">
        <v>46321</v>
      </c>
      <c r="D7" s="56" t="s">
        <v>79</v>
      </c>
      <c r="E7" s="57" t="n">
        <v>1</v>
      </c>
      <c r="F7" s="58" t="n">
        <v>90</v>
      </c>
      <c r="G7" s="54" t="n">
        <v>0</v>
      </c>
      <c r="H7" s="59" t="n">
        <f aca="false">ROUND(E7*F7*IF(G7&gt;1,G7,1),2)</f>
        <v>90</v>
      </c>
      <c r="I7" s="59"/>
      <c r="J7" s="60" t="n">
        <f aca="false">IF(COUNTA(C7:D7)=0,"",ROUND(SUM(H$7:H7)-SUM(I$7:I7),2))</f>
        <v>90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الخميس</v>
      </c>
      <c r="C8" s="63" t="n">
        <v>46324</v>
      </c>
      <c r="D8" s="64" t="s">
        <v>78</v>
      </c>
      <c r="E8" s="65"/>
      <c r="F8" s="66"/>
      <c r="G8" s="62"/>
      <c r="H8" s="67"/>
      <c r="I8" s="67" t="n">
        <v>90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291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46297</v>
      </c>
      <c r="E4" s="48" t="n">
        <f aca="false">IF(COUNT(C7:C1000)=0,"",MAX(C7:C1000))</f>
        <v>46325</v>
      </c>
      <c r="F4" s="49" t="n">
        <f aca="false">SUM(H7:H1000)</f>
        <v>10070</v>
      </c>
      <c r="G4" s="49" t="n">
        <f aca="false">SUM(I7:I1000)</f>
        <v>5450</v>
      </c>
      <c r="H4" s="50" t="n">
        <f aca="false">ROUND(F4-G4,2)</f>
        <v>4620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46325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46297</v>
      </c>
      <c r="D7" s="56" t="s">
        <v>80</v>
      </c>
      <c r="E7" s="57" t="n">
        <v>20</v>
      </c>
      <c r="F7" s="58" t="n">
        <v>110</v>
      </c>
      <c r="G7" s="54" t="n">
        <v>0</v>
      </c>
      <c r="H7" s="59" t="n">
        <f aca="false">ROUND(E7*F7*IF(G7&gt;1,G7,1),2)</f>
        <v>2200</v>
      </c>
      <c r="I7" s="59"/>
      <c r="J7" s="60" t="n">
        <f aca="false">IF(COUNTA(C7:D7)=0,"",ROUND(SUM(H$7:H7)-SUM(I$7:I7),2))</f>
        <v>2200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السبت</v>
      </c>
      <c r="C8" s="63" t="n">
        <v>46298</v>
      </c>
      <c r="D8" s="64" t="s">
        <v>78</v>
      </c>
      <c r="E8" s="65"/>
      <c r="F8" s="66"/>
      <c r="G8" s="62"/>
      <c r="H8" s="67"/>
      <c r="I8" s="67" t="n">
        <v>2200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الخميس</v>
      </c>
      <c r="C9" s="55" t="n">
        <v>46303</v>
      </c>
      <c r="D9" s="56" t="s">
        <v>80</v>
      </c>
      <c r="E9" s="57" t="n">
        <v>10</v>
      </c>
      <c r="F9" s="58" t="n">
        <v>125</v>
      </c>
      <c r="G9" s="54" t="n">
        <v>0</v>
      </c>
      <c r="H9" s="59" t="n">
        <f aca="false">ROUND(E9*F9*IF(G9&gt;1,G9,1),2)</f>
        <v>1250</v>
      </c>
      <c r="I9" s="59"/>
      <c r="J9" s="60" t="n">
        <f aca="false">IF(COUNTA(C9:D9)=0,"",ROUND(SUM(H$7:H9)-SUM(I$7:I9),2))</f>
        <v>1250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الثلاثاء</v>
      </c>
      <c r="C10" s="63" t="n">
        <v>46308</v>
      </c>
      <c r="D10" s="64" t="s">
        <v>78</v>
      </c>
      <c r="E10" s="65"/>
      <c r="F10" s="66"/>
      <c r="G10" s="62"/>
      <c r="H10" s="67"/>
      <c r="I10" s="67" t="n">
        <v>1250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الخميس</v>
      </c>
      <c r="C11" s="55" t="n">
        <v>46317</v>
      </c>
      <c r="D11" s="56" t="s">
        <v>80</v>
      </c>
      <c r="E11" s="57" t="n">
        <v>20</v>
      </c>
      <c r="F11" s="58" t="n">
        <v>128</v>
      </c>
      <c r="G11" s="54" t="n">
        <v>0</v>
      </c>
      <c r="H11" s="59" t="n">
        <f aca="false">ROUND(E11*F11*IF(G11&gt;1,G11,1),2)</f>
        <v>2560</v>
      </c>
      <c r="I11" s="59"/>
      <c r="J11" s="60" t="n">
        <f aca="false">IF(COUNTA(C11:D11)=0,"",ROUND(SUM(H$7:H11)-SUM(I$7:I11),2))</f>
        <v>2560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السبت</v>
      </c>
      <c r="C12" s="63" t="n">
        <v>46319</v>
      </c>
      <c r="D12" s="64" t="s">
        <v>80</v>
      </c>
      <c r="E12" s="65" t="n">
        <v>12</v>
      </c>
      <c r="F12" s="66" t="n">
        <v>130</v>
      </c>
      <c r="G12" s="62" t="n">
        <v>0</v>
      </c>
      <c r="H12" s="67" t="n">
        <f aca="false">ROUND(E12*F12*IF(G12&gt;1,G12,1),2)</f>
        <v>1560</v>
      </c>
      <c r="I12" s="67"/>
      <c r="J12" s="68" t="n">
        <f aca="false">IF(COUNTA(C12:D12)=0,"",ROUND(SUM(H$7:H12)-SUM(I$7:I12),2))</f>
        <v>4120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الأربعاء</v>
      </c>
      <c r="C13" s="55" t="n">
        <v>46323</v>
      </c>
      <c r="D13" s="56" t="s">
        <v>292</v>
      </c>
      <c r="E13" s="57"/>
      <c r="F13" s="58"/>
      <c r="G13" s="54"/>
      <c r="H13" s="59"/>
      <c r="I13" s="59" t="n">
        <v>1000</v>
      </c>
      <c r="J13" s="60" t="n">
        <f aca="false">IF(COUNTA(C13:D13)=0,"",ROUND(SUM(H$7:H13)-SUM(I$7:I13),2))</f>
        <v>3120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الخميس</v>
      </c>
      <c r="C14" s="63" t="n">
        <v>46324</v>
      </c>
      <c r="D14" s="64" t="s">
        <v>80</v>
      </c>
      <c r="E14" s="65" t="n">
        <v>20</v>
      </c>
      <c r="F14" s="66" t="n">
        <v>125</v>
      </c>
      <c r="G14" s="62" t="n">
        <v>0</v>
      </c>
      <c r="H14" s="67" t="n">
        <f aca="false">ROUND(E14*F14*IF(G14&gt;1,G14,1),2)</f>
        <v>2500</v>
      </c>
      <c r="I14" s="67"/>
      <c r="J14" s="68" t="n">
        <f aca="false">IF(COUNTA(C14:D14)=0,"",ROUND(SUM(H$7:H14)-SUM(I$7:I14),2))</f>
        <v>5620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الجمعة</v>
      </c>
      <c r="C15" s="55" t="n">
        <v>46325</v>
      </c>
      <c r="D15" s="56" t="s">
        <v>292</v>
      </c>
      <c r="E15" s="57"/>
      <c r="F15" s="58"/>
      <c r="G15" s="54"/>
      <c r="H15" s="59"/>
      <c r="I15" s="59" t="n">
        <v>1000</v>
      </c>
      <c r="J15" s="60" t="n">
        <f aca="false">IF(COUNTA(C15:D15)=0,"",ROUND(SUM(H$7:H15)-SUM(I$7:I15),2))</f>
        <v>4620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293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46298</v>
      </c>
      <c r="E4" s="48" t="n">
        <f aca="false">IF(COUNT(C7:C1000)=0,"",MAX(C7:C1000))</f>
        <v>46320</v>
      </c>
      <c r="F4" s="49" t="n">
        <f aca="false">SUM(H7:H1000)</f>
        <v>2432.75</v>
      </c>
      <c r="G4" s="49" t="n">
        <f aca="false">SUM(I7:I1000)</f>
        <v>1132.75</v>
      </c>
      <c r="H4" s="50" t="n">
        <f aca="false">ROUND(F4-G4,2)</f>
        <v>1300</v>
      </c>
      <c r="I4" s="49" t="n">
        <f aca="false">ROUND(SUMPRODUCT((G7:G1000&gt;1)*E7:E1000*F7:F1000*(G7:G1000-1)),2)</f>
        <v>147.75</v>
      </c>
      <c r="J4" s="48" t="n">
        <f aca="false">IF(COUNTIFS(I7:I1000,"&gt;0",E7:E1000,"")=0,"",_xlfn.MAXIFS(C7:C1000,I7:I1000,"&gt;0",E7:E1000,""))</f>
        <v>46300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السبت</v>
      </c>
      <c r="C7" s="55" t="n">
        <v>46298</v>
      </c>
      <c r="D7" s="56" t="s">
        <v>81</v>
      </c>
      <c r="E7" s="57" t="n">
        <v>15</v>
      </c>
      <c r="F7" s="58" t="n">
        <v>21</v>
      </c>
      <c r="G7" s="54" t="n">
        <v>1.15</v>
      </c>
      <c r="H7" s="59" t="n">
        <f aca="false">ROUND(E7*F7*IF(G7&gt;1,G7,1),2)</f>
        <v>362.25</v>
      </c>
      <c r="I7" s="59"/>
      <c r="J7" s="60" t="n">
        <f aca="false">IF(COUNTA(C7:D7)=0,"",ROUND(SUM(H$7:H7)-SUM(I$7:I7),2))</f>
        <v>362.25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46300</v>
      </c>
      <c r="D8" s="64" t="s">
        <v>82</v>
      </c>
      <c r="E8" s="65" t="n">
        <v>20</v>
      </c>
      <c r="F8" s="66" t="n">
        <v>33.5</v>
      </c>
      <c r="G8" s="62" t="n">
        <v>1.15</v>
      </c>
      <c r="H8" s="67" t="n">
        <f aca="false">ROUND(E8*F8*IF(G8&gt;1,G8,1),2)</f>
        <v>770.5</v>
      </c>
      <c r="I8" s="67"/>
      <c r="J8" s="68" t="n">
        <f aca="false">IF(COUNTA(C8:D8)=0,"",ROUND(SUM(H$7:H8)-SUM(I$7:I8),2))</f>
        <v>1132.75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الاثنين</v>
      </c>
      <c r="C9" s="55" t="n">
        <v>46300</v>
      </c>
      <c r="D9" s="56" t="s">
        <v>294</v>
      </c>
      <c r="E9" s="57"/>
      <c r="F9" s="58"/>
      <c r="G9" s="54"/>
      <c r="H9" s="59"/>
      <c r="I9" s="59" t="n">
        <v>362.25</v>
      </c>
      <c r="J9" s="60" t="n">
        <f aca="false">IF(COUNTA(C9:D9)=0,"",ROUND(SUM(H$7:H9)-SUM(I$7:I9),2))</f>
        <v>770.5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الاثنين</v>
      </c>
      <c r="C10" s="63" t="n">
        <v>46300</v>
      </c>
      <c r="D10" s="64" t="s">
        <v>294</v>
      </c>
      <c r="E10" s="65"/>
      <c r="F10" s="66"/>
      <c r="G10" s="62"/>
      <c r="H10" s="67"/>
      <c r="I10" s="67" t="n">
        <v>770.5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الأحد</v>
      </c>
      <c r="C11" s="55" t="n">
        <v>46320</v>
      </c>
      <c r="D11" s="56" t="s">
        <v>80</v>
      </c>
      <c r="E11" s="57" t="n">
        <v>10</v>
      </c>
      <c r="F11" s="58" t="n">
        <v>130</v>
      </c>
      <c r="G11" s="54" t="n">
        <v>0</v>
      </c>
      <c r="H11" s="59" t="n">
        <f aca="false">ROUND(E11*F11*IF(G11&gt;1,G11,1),2)</f>
        <v>1300</v>
      </c>
      <c r="I11" s="59"/>
      <c r="J11" s="60" t="n">
        <f aca="false">IF(COUNTA(C11:D11)=0,"",ROUND(SUM(H$7:H11)-SUM(I$7:I11),2))</f>
        <v>1300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295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46320</v>
      </c>
      <c r="E4" s="48" t="n">
        <f aca="false">IF(COUNT(C7:C1000)=0,"",MAX(C7:C1000))</f>
        <v>46321</v>
      </c>
      <c r="F4" s="49" t="n">
        <f aca="false">SUM(H7:H1000)</f>
        <v>5400</v>
      </c>
      <c r="G4" s="49" t="n">
        <f aca="false">SUM(I7:I1000)</f>
        <v>4000</v>
      </c>
      <c r="H4" s="50" t="n">
        <f aca="false">ROUND(F4-G4,2)</f>
        <v>1400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46321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46320</v>
      </c>
      <c r="D7" s="56" t="s">
        <v>80</v>
      </c>
      <c r="E7" s="57" t="n">
        <v>40</v>
      </c>
      <c r="F7" s="58" t="n">
        <v>135</v>
      </c>
      <c r="G7" s="54" t="n">
        <v>0</v>
      </c>
      <c r="H7" s="59" t="n">
        <f aca="false">ROUND(E7*F7*IF(G7&gt;1,G7,1),2)</f>
        <v>5400</v>
      </c>
      <c r="I7" s="59"/>
      <c r="J7" s="60" t="n">
        <f aca="false">IF(COUNTA(C7:D7)=0,"",ROUND(SUM(H$7:H7)-SUM(I$7:I7),2))</f>
        <v>5400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46321</v>
      </c>
      <c r="D8" s="64" t="s">
        <v>292</v>
      </c>
      <c r="E8" s="65"/>
      <c r="F8" s="66"/>
      <c r="G8" s="62"/>
      <c r="H8" s="67"/>
      <c r="I8" s="67" t="n">
        <v>4000</v>
      </c>
      <c r="J8" s="68" t="n">
        <f aca="false">IF(COUNTA(C8:D8)=0,"",ROUND(SUM(H$7:H8)-SUM(I$7:I8),2))</f>
        <v>1400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296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46297</v>
      </c>
      <c r="E4" s="48" t="n">
        <f aca="false">IF(COUNT(C7:C1000)=0,"",MAX(C7:C1000))</f>
        <v>46300</v>
      </c>
      <c r="F4" s="49" t="n">
        <f aca="false">SUM(H7:H1000)</f>
        <v>4508</v>
      </c>
      <c r="G4" s="49" t="n">
        <f aca="false">SUM(I7:I1000)</f>
        <v>4508</v>
      </c>
      <c r="H4" s="50" t="n">
        <f aca="false">ROUND(F4-G4,2)</f>
        <v>0</v>
      </c>
      <c r="I4" s="49" t="n">
        <f aca="false">ROUND(SUMPRODUCT((G7:G1000&gt;1)*E7:E1000*F7:F1000*(G7:G1000-1)),2)</f>
        <v>588</v>
      </c>
      <c r="J4" s="48" t="n">
        <f aca="false">IF(COUNTIFS(I7:I1000,"&gt;0",E7:E1000,"")=0,"",_xlfn.MAXIFS(C7:C1000,I7:I1000,"&gt;0",E7:E1000,""))</f>
        <v>46300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46297</v>
      </c>
      <c r="D7" s="56" t="s">
        <v>80</v>
      </c>
      <c r="E7" s="57" t="n">
        <v>40</v>
      </c>
      <c r="F7" s="58" t="n">
        <v>98</v>
      </c>
      <c r="G7" s="54" t="n">
        <v>1.15</v>
      </c>
      <c r="H7" s="59" t="n">
        <f aca="false">ROUND(E7*F7*IF(G7&gt;1,G7,1),2)</f>
        <v>4508</v>
      </c>
      <c r="I7" s="59"/>
      <c r="J7" s="60" t="n">
        <f aca="false">IF(COUNTA(C7:D7)=0,"",ROUND(SUM(H$7:H7)-SUM(I$7:I7),2))</f>
        <v>4508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46300</v>
      </c>
      <c r="D8" s="64" t="s">
        <v>297</v>
      </c>
      <c r="E8" s="65"/>
      <c r="F8" s="66"/>
      <c r="G8" s="62"/>
      <c r="H8" s="67"/>
      <c r="I8" s="67" t="n">
        <v>4508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298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46308</v>
      </c>
      <c r="E4" s="48" t="n">
        <f aca="false">IF(COUNT(C7:C1000)=0,"",MAX(C7:C1000))</f>
        <v>46325</v>
      </c>
      <c r="F4" s="49" t="n">
        <f aca="false">SUM(H7:H1000)</f>
        <v>3481</v>
      </c>
      <c r="G4" s="49" t="n">
        <f aca="false">SUM(I7:I1000)</f>
        <v>2375</v>
      </c>
      <c r="H4" s="50" t="n">
        <f aca="false">ROUND(F4-G4,2)</f>
        <v>1106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46320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الثلاثاء</v>
      </c>
      <c r="C7" s="55" t="n">
        <v>46308</v>
      </c>
      <c r="D7" s="56" t="s">
        <v>77</v>
      </c>
      <c r="E7" s="57" t="n">
        <v>20</v>
      </c>
      <c r="F7" s="58" t="n">
        <v>18</v>
      </c>
      <c r="G7" s="54" t="n">
        <v>0</v>
      </c>
      <c r="H7" s="59" t="n">
        <f aca="false">ROUND(E7*F7*IF(G7&gt;1,G7,1),2)</f>
        <v>360</v>
      </c>
      <c r="I7" s="59"/>
      <c r="J7" s="60" t="n">
        <f aca="false">IF(COUNTA(C7:D7)=0,"",ROUND(SUM(H$7:H7)-SUM(I$7:I7),2))</f>
        <v>360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46309</v>
      </c>
      <c r="D8" s="64" t="s">
        <v>78</v>
      </c>
      <c r="E8" s="65"/>
      <c r="F8" s="66"/>
      <c r="G8" s="62"/>
      <c r="H8" s="67"/>
      <c r="I8" s="67" t="n">
        <v>360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الجمعة</v>
      </c>
      <c r="C9" s="55" t="n">
        <v>46311</v>
      </c>
      <c r="D9" s="56" t="s">
        <v>75</v>
      </c>
      <c r="E9" s="57" t="n">
        <v>10</v>
      </c>
      <c r="F9" s="58" t="n">
        <v>59</v>
      </c>
      <c r="G9" s="54" t="n">
        <v>0</v>
      </c>
      <c r="H9" s="59" t="n">
        <f aca="false">ROUND(E9*F9*IF(G9&gt;1,G9,1),2)</f>
        <v>590</v>
      </c>
      <c r="I9" s="59"/>
      <c r="J9" s="60" t="n">
        <f aca="false">IF(COUNTA(C9:D9)=0,"",ROUND(SUM(H$7:H9)-SUM(I$7:I9),2))</f>
        <v>590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الأحد</v>
      </c>
      <c r="C10" s="63" t="n">
        <v>46313</v>
      </c>
      <c r="D10" s="64" t="s">
        <v>78</v>
      </c>
      <c r="E10" s="65"/>
      <c r="F10" s="66"/>
      <c r="G10" s="62"/>
      <c r="H10" s="67"/>
      <c r="I10" s="67" t="n">
        <v>590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الثلاثاء</v>
      </c>
      <c r="C11" s="55" t="n">
        <v>46315</v>
      </c>
      <c r="D11" s="56" t="s">
        <v>77</v>
      </c>
      <c r="E11" s="57" t="n">
        <v>40</v>
      </c>
      <c r="F11" s="58" t="n">
        <v>19</v>
      </c>
      <c r="G11" s="54" t="n">
        <v>0</v>
      </c>
      <c r="H11" s="59" t="n">
        <f aca="false">ROUND(E11*F11*IF(G11&gt;1,G11,1),2)</f>
        <v>760</v>
      </c>
      <c r="I11" s="59"/>
      <c r="J11" s="60" t="n">
        <f aca="false">IF(COUNTA(C11:D11)=0,"",ROUND(SUM(H$7:H11)-SUM(I$7:I11),2))</f>
        <v>760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الأربعاء</v>
      </c>
      <c r="C12" s="63" t="n">
        <v>46316</v>
      </c>
      <c r="D12" s="64" t="s">
        <v>77</v>
      </c>
      <c r="E12" s="65" t="n">
        <v>35</v>
      </c>
      <c r="F12" s="66" t="n">
        <v>19</v>
      </c>
      <c r="G12" s="62" t="n">
        <v>0</v>
      </c>
      <c r="H12" s="67" t="n">
        <f aca="false">ROUND(E12*F12*IF(G12&gt;1,G12,1),2)</f>
        <v>665</v>
      </c>
      <c r="I12" s="67"/>
      <c r="J12" s="68" t="n">
        <f aca="false">IF(COUNTA(C12:D12)=0,"",ROUND(SUM(H$7:H12)-SUM(I$7:I12),2))</f>
        <v>1425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الأربعاء</v>
      </c>
      <c r="C13" s="55" t="n">
        <v>46316</v>
      </c>
      <c r="D13" s="56" t="s">
        <v>292</v>
      </c>
      <c r="E13" s="57"/>
      <c r="F13" s="58"/>
      <c r="G13" s="54"/>
      <c r="H13" s="59"/>
      <c r="I13" s="59" t="n">
        <v>560</v>
      </c>
      <c r="J13" s="60" t="n">
        <f aca="false">IF(COUNTA(C13:D13)=0,"",ROUND(SUM(H$7:H13)-SUM(I$7:I13),2))</f>
        <v>865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السبت</v>
      </c>
      <c r="C14" s="63" t="n">
        <v>46319</v>
      </c>
      <c r="D14" s="64" t="s">
        <v>292</v>
      </c>
      <c r="E14" s="65"/>
      <c r="F14" s="66"/>
      <c r="G14" s="62"/>
      <c r="H14" s="67"/>
      <c r="I14" s="67" t="n">
        <v>300</v>
      </c>
      <c r="J14" s="68" t="n">
        <f aca="false">IF(COUNTA(C14:D14)=0,"",ROUND(SUM(H$7:H14)-SUM(I$7:I14),2))</f>
        <v>565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الأحد</v>
      </c>
      <c r="C15" s="55" t="n">
        <v>46320</v>
      </c>
      <c r="D15" s="56" t="s">
        <v>292</v>
      </c>
      <c r="E15" s="57"/>
      <c r="F15" s="58"/>
      <c r="G15" s="54"/>
      <c r="H15" s="59"/>
      <c r="I15" s="59" t="n">
        <v>565</v>
      </c>
      <c r="J15" s="60" t="n">
        <f aca="false">IF(COUNTA(C15:D15)=0,"",ROUND(SUM(H$7:H15)-SUM(I$7:I15),2))</f>
        <v>0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الخميس</v>
      </c>
      <c r="C16" s="63" t="n">
        <v>46324</v>
      </c>
      <c r="D16" s="64" t="s">
        <v>84</v>
      </c>
      <c r="E16" s="65" t="n">
        <v>8</v>
      </c>
      <c r="F16" s="66" t="n">
        <v>42</v>
      </c>
      <c r="G16" s="62" t="n">
        <v>0</v>
      </c>
      <c r="H16" s="67" t="n">
        <f aca="false">ROUND(E16*F16*IF(G16&gt;1,G16,1),2)</f>
        <v>336</v>
      </c>
      <c r="I16" s="67"/>
      <c r="J16" s="68" t="n">
        <f aca="false">IF(COUNTA(C16:D16)=0,"",ROUND(SUM(H$7:H16)-SUM(I$7:I16),2))</f>
        <v>336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الجمعة</v>
      </c>
      <c r="C17" s="55" t="n">
        <v>46325</v>
      </c>
      <c r="D17" s="56" t="s">
        <v>75</v>
      </c>
      <c r="E17" s="57" t="n">
        <v>14</v>
      </c>
      <c r="F17" s="58" t="n">
        <v>55</v>
      </c>
      <c r="G17" s="54" t="n">
        <v>0</v>
      </c>
      <c r="H17" s="59" t="n">
        <f aca="false">ROUND(E17*F17*IF(G17&gt;1,G17,1),2)</f>
        <v>770</v>
      </c>
      <c r="I17" s="59"/>
      <c r="J17" s="60" t="n">
        <f aca="false">IF(COUNTA(C17:D17)=0,"",ROUND(SUM(H$7:H17)-SUM(I$7:I17),2))</f>
        <v>1106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299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46317</v>
      </c>
      <c r="E4" s="48" t="n">
        <f aca="false">IF(COUNT(C7:C1000)=0,"",MAX(C7:C1000))</f>
        <v>46320</v>
      </c>
      <c r="F4" s="49" t="n">
        <f aca="false">SUM(H7:H1000)</f>
        <v>2600</v>
      </c>
      <c r="G4" s="49" t="n">
        <f aca="false">SUM(I7:I1000)</f>
        <v>2600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46320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46317</v>
      </c>
      <c r="D7" s="56" t="s">
        <v>80</v>
      </c>
      <c r="E7" s="57" t="n">
        <v>20</v>
      </c>
      <c r="F7" s="58" t="n">
        <v>130</v>
      </c>
      <c r="G7" s="54" t="n">
        <v>0</v>
      </c>
      <c r="H7" s="59" t="n">
        <f aca="false">ROUND(E7*F7*IF(G7&gt;1,G7,1),2)</f>
        <v>2600</v>
      </c>
      <c r="I7" s="59"/>
      <c r="J7" s="60" t="n">
        <f aca="false">IF(COUNTA(C7:D7)=0,"",ROUND(SUM(H$7:H7)-SUM(I$7:I7),2))</f>
        <v>2600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الأحد</v>
      </c>
      <c r="C8" s="63" t="n">
        <v>46320</v>
      </c>
      <c r="D8" s="64" t="s">
        <v>78</v>
      </c>
      <c r="E8" s="65"/>
      <c r="F8" s="66"/>
      <c r="G8" s="62"/>
      <c r="H8" s="67"/>
      <c r="I8" s="67" t="n">
        <v>2600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300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46317</v>
      </c>
      <c r="E4" s="48" t="n">
        <f aca="false">IF(COUNT(C7:C1000)=0,"",MAX(C7:C1000))</f>
        <v>46321</v>
      </c>
      <c r="F4" s="49" t="n">
        <f aca="false">SUM(H7:H1000)</f>
        <v>6560.75</v>
      </c>
      <c r="G4" s="49" t="n">
        <f aca="false">SUM(I7:I1000)</f>
        <v>0</v>
      </c>
      <c r="H4" s="50" t="n">
        <f aca="false">ROUND(F4-G4,2)</f>
        <v>6560.75</v>
      </c>
      <c r="I4" s="49" t="n">
        <f aca="false">ROUND(SUMPRODUCT((G7:G1000&gt;1)*E7:E1000*F7:F1000*(G7:G1000-1)),2)</f>
        <v>855.75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46317</v>
      </c>
      <c r="D7" s="56" t="s">
        <v>85</v>
      </c>
      <c r="E7" s="57" t="n">
        <v>105</v>
      </c>
      <c r="F7" s="58" t="n">
        <v>17</v>
      </c>
      <c r="G7" s="54" t="n">
        <v>1.15</v>
      </c>
      <c r="H7" s="59" t="n">
        <f aca="false">ROUND(E7*F7*IF(G7&gt;1,G7,1),2)</f>
        <v>2052.75</v>
      </c>
      <c r="I7" s="59"/>
      <c r="J7" s="60" t="n">
        <f aca="false">IF(COUNTA(C7:D7)=0,"",ROUND(SUM(H$7:H7)-SUM(I$7:I7),2))</f>
        <v>2052.75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46321</v>
      </c>
      <c r="D8" s="64" t="s">
        <v>79</v>
      </c>
      <c r="E8" s="65" t="n">
        <v>49</v>
      </c>
      <c r="F8" s="66" t="n">
        <v>80</v>
      </c>
      <c r="G8" s="62" t="n">
        <v>1.15</v>
      </c>
      <c r="H8" s="67" t="n">
        <f aca="false">ROUND(E8*F8*IF(G8&gt;1,G8,1),2)</f>
        <v>4508</v>
      </c>
      <c r="I8" s="67"/>
      <c r="J8" s="68" t="n">
        <f aca="false">IF(COUNTA(C8:D8)=0,"",ROUND(SUM(H$7:H8)-SUM(I$7:I8),2))</f>
        <v>6560.75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301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46298</v>
      </c>
      <c r="E4" s="48" t="n">
        <f aca="false">IF(COUNT(C7:C1000)=0,"",MAX(C7:C1000))</f>
        <v>46316</v>
      </c>
      <c r="F4" s="49" t="n">
        <f aca="false">SUM(H7:H1000)</f>
        <v>1271</v>
      </c>
      <c r="G4" s="49" t="n">
        <f aca="false">SUM(I7:I1000)</f>
        <v>1270</v>
      </c>
      <c r="H4" s="50" t="n">
        <f aca="false">ROUND(F4-G4,2)</f>
        <v>1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46316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السبت</v>
      </c>
      <c r="C7" s="55" t="n">
        <v>46298</v>
      </c>
      <c r="D7" s="56" t="s">
        <v>86</v>
      </c>
      <c r="E7" s="57" t="n">
        <v>10</v>
      </c>
      <c r="F7" s="58" t="n">
        <v>25</v>
      </c>
      <c r="G7" s="54" t="n">
        <v>0</v>
      </c>
      <c r="H7" s="59" t="n">
        <f aca="false">ROUND(E7*F7*IF(G7&gt;1,G7,1),2)</f>
        <v>250</v>
      </c>
      <c r="I7" s="59"/>
      <c r="J7" s="60" t="n">
        <f aca="false">IF(COUNTA(C7:D7)=0,"",ROUND(SUM(H$7:H7)-SUM(I$7:I7),2))</f>
        <v>250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السبت</v>
      </c>
      <c r="C8" s="63" t="n">
        <v>46298</v>
      </c>
      <c r="D8" s="64" t="s">
        <v>87</v>
      </c>
      <c r="E8" s="65" t="n">
        <v>5</v>
      </c>
      <c r="F8" s="66" t="n">
        <v>12</v>
      </c>
      <c r="G8" s="62" t="n">
        <v>0</v>
      </c>
      <c r="H8" s="67" t="n">
        <f aca="false">ROUND(E8*F8*IF(G8&gt;1,G8,1),2)</f>
        <v>60</v>
      </c>
      <c r="I8" s="67"/>
      <c r="J8" s="68" t="n">
        <f aca="false">IF(COUNTA(C8:D8)=0,"",ROUND(SUM(H$7:H8)-SUM(I$7:I8),2))</f>
        <v>310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46305</v>
      </c>
      <c r="D9" s="56" t="s">
        <v>88</v>
      </c>
      <c r="E9" s="57" t="n">
        <v>16</v>
      </c>
      <c r="F9" s="58" t="n">
        <v>10</v>
      </c>
      <c r="G9" s="54" t="n">
        <v>0</v>
      </c>
      <c r="H9" s="59" t="n">
        <f aca="false">ROUND(E9*F9*IF(G9&gt;1,G9,1),2)</f>
        <v>160</v>
      </c>
      <c r="I9" s="59"/>
      <c r="J9" s="60" t="n">
        <f aca="false">IF(COUNTA(C9:D9)=0,"",ROUND(SUM(H$7:H9)-SUM(I$7:I9),2))</f>
        <v>470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السبت</v>
      </c>
      <c r="C10" s="63" t="n">
        <v>46305</v>
      </c>
      <c r="D10" s="64" t="s">
        <v>89</v>
      </c>
      <c r="E10" s="65" t="n">
        <v>16</v>
      </c>
      <c r="F10" s="66" t="n">
        <v>11</v>
      </c>
      <c r="G10" s="62" t="n">
        <v>0</v>
      </c>
      <c r="H10" s="67" t="n">
        <f aca="false">ROUND(E10*F10*IF(G10&gt;1,G10,1),2)</f>
        <v>176</v>
      </c>
      <c r="I10" s="67"/>
      <c r="J10" s="68" t="n">
        <f aca="false">IF(COUNTA(C10:D10)=0,"",ROUND(SUM(H$7:H10)-SUM(I$7:I10),2))</f>
        <v>646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السبت</v>
      </c>
      <c r="C11" s="55" t="n">
        <v>46305</v>
      </c>
      <c r="D11" s="56" t="s">
        <v>90</v>
      </c>
      <c r="E11" s="57" t="n">
        <v>16</v>
      </c>
      <c r="F11" s="58" t="n">
        <v>7.5</v>
      </c>
      <c r="G11" s="54" t="n">
        <v>0</v>
      </c>
      <c r="H11" s="59" t="n">
        <f aca="false">ROUND(E11*F11*IF(G11&gt;1,G11,1),2)</f>
        <v>120</v>
      </c>
      <c r="I11" s="59"/>
      <c r="J11" s="60" t="n">
        <f aca="false">IF(COUNTA(C11:D11)=0,"",ROUND(SUM(H$7:H11)-SUM(I$7:I11),2))</f>
        <v>766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السبت</v>
      </c>
      <c r="C12" s="63" t="n">
        <v>46305</v>
      </c>
      <c r="D12" s="64" t="s">
        <v>77</v>
      </c>
      <c r="E12" s="65" t="n">
        <v>5</v>
      </c>
      <c r="F12" s="66" t="n">
        <v>19</v>
      </c>
      <c r="G12" s="62" t="n">
        <v>0</v>
      </c>
      <c r="H12" s="67" t="n">
        <f aca="false">ROUND(E12*F12*IF(G12&gt;1,G12,1),2)</f>
        <v>95</v>
      </c>
      <c r="I12" s="67"/>
      <c r="J12" s="68" t="n">
        <f aca="false">IF(COUNTA(C12:D12)=0,"",ROUND(SUM(H$7:H12)-SUM(I$7:I12),2))</f>
        <v>861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السبت</v>
      </c>
      <c r="C13" s="55" t="n">
        <v>46305</v>
      </c>
      <c r="D13" s="56" t="s">
        <v>80</v>
      </c>
      <c r="E13" s="57" t="n">
        <v>1</v>
      </c>
      <c r="F13" s="58" t="n">
        <v>120</v>
      </c>
      <c r="G13" s="54" t="n">
        <v>0</v>
      </c>
      <c r="H13" s="59" t="n">
        <f aca="false">ROUND(E13*F13*IF(G13&gt;1,G13,1),2)</f>
        <v>120</v>
      </c>
      <c r="I13" s="59"/>
      <c r="J13" s="60" t="n">
        <f aca="false">IF(COUNTA(C13:D13)=0,"",ROUND(SUM(H$7:H13)-SUM(I$7:I13),2))</f>
        <v>981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السبت</v>
      </c>
      <c r="C14" s="63" t="n">
        <v>46305</v>
      </c>
      <c r="D14" s="64" t="s">
        <v>292</v>
      </c>
      <c r="E14" s="65"/>
      <c r="F14" s="66"/>
      <c r="G14" s="62"/>
      <c r="H14" s="67"/>
      <c r="I14" s="67" t="n">
        <v>310</v>
      </c>
      <c r="J14" s="68" t="n">
        <f aca="false">IF(COUNTA(C14:D14)=0,"",ROUND(SUM(H$7:H14)-SUM(I$7:I14),2))</f>
        <v>671</v>
      </c>
      <c r="K14" s="62"/>
      <c r="L14" s="69" t="s">
        <v>302</v>
      </c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السبت</v>
      </c>
      <c r="C15" s="55" t="n">
        <v>46312</v>
      </c>
      <c r="D15" s="56" t="s">
        <v>87</v>
      </c>
      <c r="E15" s="57" t="n">
        <v>10</v>
      </c>
      <c r="F15" s="58" t="n">
        <v>14</v>
      </c>
      <c r="G15" s="54" t="n">
        <v>0</v>
      </c>
      <c r="H15" s="59" t="n">
        <f aca="false">ROUND(E15*F15*IF(G15&gt;1,G15,1),2)</f>
        <v>140</v>
      </c>
      <c r="I15" s="59"/>
      <c r="J15" s="60" t="n">
        <f aca="false">IF(COUNTA(C15:D15)=0,"",ROUND(SUM(H$7:H15)-SUM(I$7:I15),2))</f>
        <v>811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السبت</v>
      </c>
      <c r="C16" s="63" t="n">
        <v>46312</v>
      </c>
      <c r="D16" s="64" t="s">
        <v>91</v>
      </c>
      <c r="E16" s="65" t="n">
        <v>10</v>
      </c>
      <c r="F16" s="66" t="n">
        <v>10</v>
      </c>
      <c r="G16" s="62" t="n">
        <v>0</v>
      </c>
      <c r="H16" s="67" t="n">
        <f aca="false">ROUND(E16*F16*IF(G16&gt;1,G16,1),2)</f>
        <v>100</v>
      </c>
      <c r="I16" s="67"/>
      <c r="J16" s="68" t="n">
        <f aca="false">IF(COUNTA(C16:D16)=0,"",ROUND(SUM(H$7:H16)-SUM(I$7:I16),2))</f>
        <v>911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السبت</v>
      </c>
      <c r="C17" s="55" t="n">
        <v>46312</v>
      </c>
      <c r="D17" s="56" t="s">
        <v>92</v>
      </c>
      <c r="E17" s="57" t="n">
        <v>5</v>
      </c>
      <c r="F17" s="58" t="n">
        <v>10</v>
      </c>
      <c r="G17" s="54" t="n">
        <v>0</v>
      </c>
      <c r="H17" s="59" t="n">
        <f aca="false">ROUND(E17*F17*IF(G17&gt;1,G17,1),2)</f>
        <v>50</v>
      </c>
      <c r="I17" s="59"/>
      <c r="J17" s="60" t="n">
        <f aca="false">IF(COUNTA(C17:D17)=0,"",ROUND(SUM(H$7:H17)-SUM(I$7:I17),2))</f>
        <v>961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الأربعاء</v>
      </c>
      <c r="C18" s="63" t="n">
        <v>46316</v>
      </c>
      <c r="D18" s="64" t="s">
        <v>292</v>
      </c>
      <c r="E18" s="65"/>
      <c r="F18" s="66"/>
      <c r="G18" s="62"/>
      <c r="H18" s="67"/>
      <c r="I18" s="67" t="n">
        <v>960</v>
      </c>
      <c r="J18" s="68" t="n">
        <f aca="false">IF(COUNTA(C18:D18)=0,"",ROUND(SUM(H$7:H18)-SUM(I$7:I18),2))</f>
        <v>1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303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46309</v>
      </c>
      <c r="E4" s="48" t="n">
        <f aca="false">IF(COUNT(C7:C1000)=0,"",MAX(C7:C1000))</f>
        <v>46319</v>
      </c>
      <c r="F4" s="49" t="n">
        <f aca="false">SUM(H7:H1000)</f>
        <v>7846</v>
      </c>
      <c r="G4" s="49" t="n">
        <f aca="false">SUM(I7:I1000)</f>
        <v>7821</v>
      </c>
      <c r="H4" s="50" t="n">
        <f aca="false">ROUND(F4-G4,2)</f>
        <v>25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46319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الأربعاء</v>
      </c>
      <c r="C7" s="55" t="n">
        <v>46309</v>
      </c>
      <c r="D7" s="56" t="s">
        <v>80</v>
      </c>
      <c r="E7" s="57" t="n">
        <v>25</v>
      </c>
      <c r="F7" s="58" t="n">
        <v>123</v>
      </c>
      <c r="G7" s="54" t="n">
        <v>0</v>
      </c>
      <c r="H7" s="59" t="n">
        <f aca="false">ROUND(E7*F7*IF(G7&gt;1,G7,1),2)</f>
        <v>3075</v>
      </c>
      <c r="I7" s="59"/>
      <c r="J7" s="60" t="n">
        <f aca="false">IF(COUNTA(C7:D7)=0,"",ROUND(SUM(H$7:H7)-SUM(I$7:I7),2))</f>
        <v>3075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46309</v>
      </c>
      <c r="D8" s="64" t="s">
        <v>78</v>
      </c>
      <c r="E8" s="65"/>
      <c r="F8" s="66"/>
      <c r="G8" s="62"/>
      <c r="H8" s="67"/>
      <c r="I8" s="67" t="n">
        <v>3050</v>
      </c>
      <c r="J8" s="68" t="n">
        <f aca="false">IF(COUNTA(C8:D8)=0,"",ROUND(SUM(H$7:H8)-SUM(I$7:I8),2))</f>
        <v>25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الجمعة</v>
      </c>
      <c r="C9" s="55" t="n">
        <v>46311</v>
      </c>
      <c r="D9" s="56" t="s">
        <v>80</v>
      </c>
      <c r="E9" s="57" t="n">
        <v>15</v>
      </c>
      <c r="F9" s="58" t="n">
        <v>125</v>
      </c>
      <c r="G9" s="54" t="n">
        <v>0</v>
      </c>
      <c r="H9" s="59" t="n">
        <f aca="false">ROUND(E9*F9*IF(G9&gt;1,G9,1),2)</f>
        <v>1875</v>
      </c>
      <c r="I9" s="59"/>
      <c r="J9" s="60" t="n">
        <f aca="false">IF(COUNTA(C9:D9)=0,"",ROUND(SUM(H$7:H9)-SUM(I$7:I9),2))</f>
        <v>1900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الجمعة</v>
      </c>
      <c r="C10" s="63" t="n">
        <v>46311</v>
      </c>
      <c r="D10" s="64" t="s">
        <v>78</v>
      </c>
      <c r="E10" s="65"/>
      <c r="F10" s="66"/>
      <c r="G10" s="62"/>
      <c r="H10" s="67"/>
      <c r="I10" s="67" t="n">
        <v>1875</v>
      </c>
      <c r="J10" s="68" t="n">
        <f aca="false">IF(COUNTA(C10:D10)=0,"",ROUND(SUM(H$7:H10)-SUM(I$7:I10),2))</f>
        <v>25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الخميس</v>
      </c>
      <c r="C11" s="55" t="n">
        <v>46317</v>
      </c>
      <c r="D11" s="56" t="s">
        <v>80</v>
      </c>
      <c r="E11" s="57" t="n">
        <v>14</v>
      </c>
      <c r="F11" s="58" t="n">
        <v>128</v>
      </c>
      <c r="G11" s="54" t="n">
        <v>0</v>
      </c>
      <c r="H11" s="59" t="n">
        <f aca="false">ROUND(E11*F11*IF(G11&gt;1,G11,1),2)</f>
        <v>1792</v>
      </c>
      <c r="I11" s="59"/>
      <c r="J11" s="60" t="n">
        <f aca="false">IF(COUNTA(C11:D11)=0,"",ROUND(SUM(H$7:H11)-SUM(I$7:I11),2))</f>
        <v>1817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الخميس</v>
      </c>
      <c r="C12" s="63" t="n">
        <v>46317</v>
      </c>
      <c r="D12" s="64" t="s">
        <v>78</v>
      </c>
      <c r="E12" s="65"/>
      <c r="F12" s="66"/>
      <c r="G12" s="62"/>
      <c r="H12" s="67"/>
      <c r="I12" s="67" t="n">
        <v>1792</v>
      </c>
      <c r="J12" s="68" t="n">
        <f aca="false">IF(COUNTA(C12:D12)=0,"",ROUND(SUM(H$7:H12)-SUM(I$7:I12),2))</f>
        <v>25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السبت</v>
      </c>
      <c r="C13" s="55" t="n">
        <v>46319</v>
      </c>
      <c r="D13" s="56" t="s">
        <v>80</v>
      </c>
      <c r="E13" s="57" t="n">
        <v>8</v>
      </c>
      <c r="F13" s="58" t="n">
        <v>138</v>
      </c>
      <c r="G13" s="54" t="n">
        <v>0</v>
      </c>
      <c r="H13" s="59" t="n">
        <f aca="false">ROUND(E13*F13*IF(G13&gt;1,G13,1),2)</f>
        <v>1104</v>
      </c>
      <c r="I13" s="59"/>
      <c r="J13" s="60" t="n">
        <f aca="false">IF(COUNTA(C13:D13)=0,"",ROUND(SUM(H$7:H13)-SUM(I$7:I13),2))</f>
        <v>1129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السبت</v>
      </c>
      <c r="C14" s="63" t="n">
        <v>46319</v>
      </c>
      <c r="D14" s="64" t="s">
        <v>78</v>
      </c>
      <c r="E14" s="65"/>
      <c r="F14" s="66"/>
      <c r="G14" s="62"/>
      <c r="H14" s="67"/>
      <c r="I14" s="67" t="n">
        <v>1104</v>
      </c>
      <c r="J14" s="68" t="n">
        <f aca="false">IF(COUNTA(C14:D14)=0,"",ROUND(SUM(H$7:H14)-SUM(I$7:I14),2))</f>
        <v>25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304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46307</v>
      </c>
      <c r="E4" s="48" t="n">
        <f aca="false">IF(COUNT(C7:C1000)=0,"",MAX(C7:C1000))</f>
        <v>46325</v>
      </c>
      <c r="F4" s="49" t="n">
        <f aca="false">SUM(H7:H1000)</f>
        <v>1739</v>
      </c>
      <c r="G4" s="49" t="n">
        <f aca="false">SUM(I7:I1000)</f>
        <v>690</v>
      </c>
      <c r="H4" s="50" t="n">
        <f aca="false">ROUND(F4-G4,2)</f>
        <v>1049</v>
      </c>
      <c r="I4" s="49" t="n">
        <f aca="false">ROUND(SUMPRODUCT((G7:G1000&gt;1)*E7:E1000*F7:F1000*(G7:G1000-1)),2)</f>
        <v>54</v>
      </c>
      <c r="J4" s="48" t="n">
        <f aca="false">IF(COUNTIFS(I7:I1000,"&gt;0",E7:E1000,"")=0,"",_xlfn.MAXIFS(C7:C1000,I7:I1000,"&gt;0",E7:E1000,""))</f>
        <v>46311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الاثنين</v>
      </c>
      <c r="C7" s="55" t="n">
        <v>46307</v>
      </c>
      <c r="D7" s="56" t="s">
        <v>93</v>
      </c>
      <c r="E7" s="57" t="n">
        <v>20</v>
      </c>
      <c r="F7" s="58" t="n">
        <v>9.5</v>
      </c>
      <c r="G7" s="54" t="n">
        <v>0</v>
      </c>
      <c r="H7" s="59" t="n">
        <f aca="false">ROUND(E7*F7*IF(G7&gt;1,G7,1),2)</f>
        <v>190</v>
      </c>
      <c r="I7" s="59"/>
      <c r="J7" s="60" t="n">
        <f aca="false">IF(COUNTA(C7:D7)=0,"",ROUND(SUM(H$7:H7)-SUM(I$7:I7),2))</f>
        <v>190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46307</v>
      </c>
      <c r="D8" s="64" t="s">
        <v>94</v>
      </c>
      <c r="E8" s="65" t="n">
        <v>10</v>
      </c>
      <c r="F8" s="66" t="n">
        <v>9.5</v>
      </c>
      <c r="G8" s="62" t="n">
        <v>0</v>
      </c>
      <c r="H8" s="67" t="n">
        <f aca="false">ROUND(E8*F8*IF(G8&gt;1,G8,1),2)</f>
        <v>95</v>
      </c>
      <c r="I8" s="67"/>
      <c r="J8" s="68" t="n">
        <f aca="false">IF(COUNTA(C8:D8)=0,"",ROUND(SUM(H$7:H8)-SUM(I$7:I8),2))</f>
        <v>285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الثلاثاء</v>
      </c>
      <c r="C9" s="55" t="n">
        <v>46308</v>
      </c>
      <c r="D9" s="56" t="s">
        <v>93</v>
      </c>
      <c r="E9" s="57" t="n">
        <v>15</v>
      </c>
      <c r="F9" s="58" t="n">
        <v>8</v>
      </c>
      <c r="G9" s="54" t="n">
        <v>1.15</v>
      </c>
      <c r="H9" s="59" t="n">
        <f aca="false">ROUND(E9*F9*IF(G9&gt;1,G9,1),2)</f>
        <v>138</v>
      </c>
      <c r="I9" s="59"/>
      <c r="J9" s="60" t="n">
        <f aca="false">IF(COUNTA(C9:D9)=0,"",ROUND(SUM(H$7:H9)-SUM(I$7:I9),2))</f>
        <v>423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الأربعاء</v>
      </c>
      <c r="C10" s="63" t="n">
        <v>46309</v>
      </c>
      <c r="D10" s="64" t="s">
        <v>93</v>
      </c>
      <c r="E10" s="65" t="n">
        <v>20</v>
      </c>
      <c r="F10" s="66" t="n">
        <v>8</v>
      </c>
      <c r="G10" s="62" t="n">
        <v>1.15</v>
      </c>
      <c r="H10" s="67" t="n">
        <f aca="false">ROUND(E10*F10*IF(G10&gt;1,G10,1),2)</f>
        <v>184</v>
      </c>
      <c r="I10" s="67"/>
      <c r="J10" s="68" t="n">
        <f aca="false">IF(COUNTA(C10:D10)=0,"",ROUND(SUM(H$7:H10)-SUM(I$7:I10),2))</f>
        <v>607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الأربعاء</v>
      </c>
      <c r="C11" s="55" t="n">
        <v>46309</v>
      </c>
      <c r="D11" s="56" t="s">
        <v>95</v>
      </c>
      <c r="E11" s="57" t="n">
        <v>10</v>
      </c>
      <c r="F11" s="58" t="n">
        <v>8</v>
      </c>
      <c r="G11" s="54" t="n">
        <v>1.15</v>
      </c>
      <c r="H11" s="59" t="n">
        <f aca="false">ROUND(E11*F11*IF(G11&gt;1,G11,1),2)</f>
        <v>92</v>
      </c>
      <c r="I11" s="59"/>
      <c r="J11" s="60" t="n">
        <f aca="false">IF(COUNTA(C11:D11)=0,"",ROUND(SUM(H$7:H11)-SUM(I$7:I11),2))</f>
        <v>699</v>
      </c>
      <c r="K11" s="54"/>
      <c r="L11" s="61" t="s">
        <v>302</v>
      </c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الجمعة</v>
      </c>
      <c r="C12" s="63" t="n">
        <v>46311</v>
      </c>
      <c r="D12" s="64" t="s">
        <v>305</v>
      </c>
      <c r="E12" s="65"/>
      <c r="F12" s="66"/>
      <c r="G12" s="62"/>
      <c r="H12" s="67"/>
      <c r="I12" s="67" t="n">
        <v>690</v>
      </c>
      <c r="J12" s="68" t="n">
        <f aca="false">IF(COUNTA(C12:D12)=0,"",ROUND(SUM(H$7:H12)-SUM(I$7:I12),2))</f>
        <v>9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الجمعة</v>
      </c>
      <c r="C13" s="55" t="n">
        <v>46325</v>
      </c>
      <c r="D13" s="56" t="s">
        <v>75</v>
      </c>
      <c r="E13" s="57" t="n">
        <v>20</v>
      </c>
      <c r="F13" s="58" t="n">
        <v>52</v>
      </c>
      <c r="G13" s="54" t="n">
        <v>0</v>
      </c>
      <c r="H13" s="59" t="n">
        <f aca="false">ROUND(E13*F13*IF(G13&gt;1,G13,1),2)</f>
        <v>1040</v>
      </c>
      <c r="I13" s="59"/>
      <c r="J13" s="60" t="n">
        <f aca="false">IF(COUNTA(C13:D13)=0,"",ROUND(SUM(H$7:H13)-SUM(I$7:I13),2))</f>
        <v>1049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46314</v>
      </c>
      <c r="E4" s="48" t="n">
        <f aca="false">IF(COUNT(C7:C1000)=0,"",MAX(C7:C1000))</f>
        <v>46315</v>
      </c>
      <c r="F4" s="49" t="n">
        <f aca="false">SUM(H7:H1000)</f>
        <v>6626.3</v>
      </c>
      <c r="G4" s="49" t="n">
        <f aca="false">SUM(I7:I1000)</f>
        <v>6626.3</v>
      </c>
      <c r="H4" s="50" t="n">
        <f aca="false">ROUND(F4-G4,2)</f>
        <v>0</v>
      </c>
      <c r="I4" s="49" t="n">
        <f aca="false">ROUND(SUMPRODUCT((G7:G1000&gt;1)*E7:E1000*F7:F1000*(G7:G1000-1)),2)</f>
        <v>864.3</v>
      </c>
      <c r="J4" s="48" t="n">
        <f aca="false">IF(COUNTIFS(I7:I1000,"&gt;0",E7:E1000,"")=0,"",_xlfn.MAXIFS(C7:C1000,I7:I1000,"&gt;0",E7:E1000,""))</f>
        <v>46315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الاثنين</v>
      </c>
      <c r="C7" s="55" t="n">
        <v>46314</v>
      </c>
      <c r="D7" s="56" t="s">
        <v>97</v>
      </c>
      <c r="E7" s="57" t="n">
        <v>86</v>
      </c>
      <c r="F7" s="58" t="n">
        <v>67</v>
      </c>
      <c r="G7" s="54" t="n">
        <v>1.15</v>
      </c>
      <c r="H7" s="59" t="n">
        <f aca="false">ROUND(E7*F7*IF(G7&gt;1,G7,1),2)</f>
        <v>6626.3</v>
      </c>
      <c r="I7" s="59"/>
      <c r="J7" s="60" t="n">
        <f aca="false">IF(COUNTA(C7:D7)=0,"",ROUND(SUM(H$7:H7)-SUM(I$7:I7),2))</f>
        <v>6626.3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الثلاثاء</v>
      </c>
      <c r="C8" s="63" t="n">
        <v>46315</v>
      </c>
      <c r="D8" s="64" t="s">
        <v>307</v>
      </c>
      <c r="E8" s="65"/>
      <c r="F8" s="66"/>
      <c r="G8" s="62"/>
      <c r="H8" s="67"/>
      <c r="I8" s="67" t="n">
        <v>6626.3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46315</v>
      </c>
      <c r="E4" s="48" t="n">
        <f aca="false">IF(COUNT(C7:C1000)=0,"",MAX(C7:C1000))</f>
        <v>46322</v>
      </c>
      <c r="F4" s="49" t="n">
        <f aca="false">SUM(H7:H1000)</f>
        <v>300</v>
      </c>
      <c r="G4" s="49" t="n">
        <f aca="false">SUM(I7:I1000)</f>
        <v>300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46322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الثلاثاء</v>
      </c>
      <c r="C7" s="55" t="n">
        <v>46315</v>
      </c>
      <c r="D7" s="56" t="s">
        <v>99</v>
      </c>
      <c r="E7" s="57" t="n">
        <v>12</v>
      </c>
      <c r="F7" s="58" t="n">
        <v>25</v>
      </c>
      <c r="G7" s="54" t="n">
        <v>0</v>
      </c>
      <c r="H7" s="59" t="n">
        <f aca="false">ROUND(E7*F7*IF(G7&gt;1,G7,1),2)</f>
        <v>300</v>
      </c>
      <c r="I7" s="59"/>
      <c r="J7" s="60" t="n">
        <f aca="false">IF(COUNTA(C7:D7)=0,"",ROUND(SUM(H$7:H7)-SUM(I$7:I7),2))</f>
        <v>300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الثلاثاء</v>
      </c>
      <c r="C8" s="63" t="n">
        <v>46322</v>
      </c>
      <c r="D8" s="64" t="s">
        <v>78</v>
      </c>
      <c r="E8" s="65"/>
      <c r="F8" s="66"/>
      <c r="G8" s="62"/>
      <c r="H8" s="67"/>
      <c r="I8" s="67" t="n">
        <v>300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309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46314</v>
      </c>
      <c r="E4" s="48" t="n">
        <f aca="false">IF(COUNT(C7:C1000)=0,"",MAX(C7:C1000))</f>
        <v>46322</v>
      </c>
      <c r="F4" s="49" t="n">
        <f aca="false">SUM(H7:H1000)</f>
        <v>2190</v>
      </c>
      <c r="G4" s="49" t="n">
        <f aca="false">SUM(I7:I1000)</f>
        <v>2190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46322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الاثنين</v>
      </c>
      <c r="C7" s="55" t="n">
        <v>46314</v>
      </c>
      <c r="D7" s="56" t="s">
        <v>310</v>
      </c>
      <c r="E7" s="57" t="n">
        <v>20</v>
      </c>
      <c r="F7" s="58" t="n">
        <v>20</v>
      </c>
      <c r="G7" s="54" t="n">
        <v>0</v>
      </c>
      <c r="H7" s="59" t="n">
        <f aca="false">ROUND(E7*F7*IF(G7&gt;1,G7,1),2)</f>
        <v>400</v>
      </c>
      <c r="I7" s="59"/>
      <c r="J7" s="60" t="n">
        <f aca="false">IF(COUNTA(C7:D7)=0,"",ROUND(SUM(H$7:H7)-SUM(I$7:I7),2))</f>
        <v>400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الثلاثاء</v>
      </c>
      <c r="C8" s="63" t="n">
        <v>46315</v>
      </c>
      <c r="D8" s="64" t="s">
        <v>78</v>
      </c>
      <c r="E8" s="65"/>
      <c r="F8" s="66"/>
      <c r="G8" s="62"/>
      <c r="H8" s="67"/>
      <c r="I8" s="67" t="n">
        <v>400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الأربعاء</v>
      </c>
      <c r="C9" s="55" t="n">
        <v>46316</v>
      </c>
      <c r="D9" s="56" t="s">
        <v>310</v>
      </c>
      <c r="E9" s="57" t="n">
        <v>30</v>
      </c>
      <c r="F9" s="58" t="n">
        <v>21</v>
      </c>
      <c r="G9" s="54" t="n">
        <v>0</v>
      </c>
      <c r="H9" s="59" t="n">
        <f aca="false">ROUND(E9*F9*IF(G9&gt;1,G9,1),2)</f>
        <v>630</v>
      </c>
      <c r="I9" s="59"/>
      <c r="J9" s="60" t="n">
        <f aca="false">IF(COUNTA(C9:D9)=0,"",ROUND(SUM(H$7:H9)-SUM(I$7:I9),2))</f>
        <v>630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الجمعة</v>
      </c>
      <c r="C10" s="63" t="n">
        <v>46318</v>
      </c>
      <c r="D10" s="64" t="s">
        <v>310</v>
      </c>
      <c r="E10" s="65" t="n">
        <v>28</v>
      </c>
      <c r="F10" s="66" t="n">
        <v>20</v>
      </c>
      <c r="G10" s="62" t="n">
        <v>0</v>
      </c>
      <c r="H10" s="67" t="n">
        <f aca="false">ROUND(E10*F10*IF(G10&gt;1,G10,1),2)</f>
        <v>560</v>
      </c>
      <c r="I10" s="67"/>
      <c r="J10" s="68" t="n">
        <f aca="false">IF(COUNTA(C10:D10)=0,"",ROUND(SUM(H$7:H10)-SUM(I$7:I10),2))</f>
        <v>1190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الاثنين</v>
      </c>
      <c r="C11" s="55" t="n">
        <v>46321</v>
      </c>
      <c r="D11" s="56" t="s">
        <v>310</v>
      </c>
      <c r="E11" s="57" t="n">
        <v>24</v>
      </c>
      <c r="F11" s="58" t="n">
        <v>25</v>
      </c>
      <c r="G11" s="54" t="n">
        <v>0</v>
      </c>
      <c r="H11" s="59" t="n">
        <f aca="false">ROUND(E11*F11*IF(G11&gt;1,G11,1),2)</f>
        <v>600</v>
      </c>
      <c r="I11" s="59"/>
      <c r="J11" s="60" t="n">
        <f aca="false">IF(COUNTA(C11:D11)=0,"",ROUND(SUM(H$7:H11)-SUM(I$7:I11),2))</f>
        <v>1790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الثلاثاء</v>
      </c>
      <c r="C12" s="63" t="n">
        <v>46322</v>
      </c>
      <c r="D12" s="64" t="s">
        <v>78</v>
      </c>
      <c r="E12" s="65"/>
      <c r="F12" s="66"/>
      <c r="G12" s="62"/>
      <c r="H12" s="67"/>
      <c r="I12" s="67" t="n">
        <v>1750</v>
      </c>
      <c r="J12" s="68" t="n">
        <f aca="false">IF(COUNTA(C12:D12)=0,"",ROUND(SUM(H$7:H12)-SUM(I$7:I12),2))</f>
        <v>40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46322</v>
      </c>
      <c r="D13" s="56" t="s">
        <v>311</v>
      </c>
      <c r="E13" s="57"/>
      <c r="F13" s="58"/>
      <c r="G13" s="54"/>
      <c r="H13" s="59"/>
      <c r="I13" s="59" t="n">
        <v>40</v>
      </c>
      <c r="J13" s="60" t="n">
        <f aca="false">IF(COUNTA(C13:D13)=0,"",ROUND(SUM(H$7:H13)-SUM(I$7:I13),2))</f>
        <v>0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312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46318</v>
      </c>
      <c r="E4" s="48" t="n">
        <f aca="false">IF(COUNT(C7:C1000)=0,"",MAX(C7:C1000))</f>
        <v>46318</v>
      </c>
      <c r="F4" s="49" t="n">
        <f aca="false">SUM(H7:H1000)</f>
        <v>1400</v>
      </c>
      <c r="G4" s="49" t="n">
        <f aca="false">SUM(I7:I1000)</f>
        <v>0</v>
      </c>
      <c r="H4" s="50" t="n">
        <f aca="false">ROUND(F4-G4,2)</f>
        <v>1400</v>
      </c>
      <c r="I4" s="49" t="n">
        <f aca="false">ROUND(SUMPRODUCT((G7:G1000&gt;1)*E7:E1000*F7:F1000*(G7:G1000-1)),2)</f>
        <v>0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46318</v>
      </c>
      <c r="D7" s="56" t="s">
        <v>310</v>
      </c>
      <c r="E7" s="57" t="n">
        <v>70</v>
      </c>
      <c r="F7" s="58" t="n">
        <v>20</v>
      </c>
      <c r="G7" s="54" t="n">
        <v>0</v>
      </c>
      <c r="H7" s="59" t="n">
        <f aca="false">ROUND(E7*F7*IF(G7&gt;1,G7,1),2)</f>
        <v>1400</v>
      </c>
      <c r="I7" s="59"/>
      <c r="J7" s="60" t="n">
        <f aca="false">IF(COUNTA(C7:D7)=0,"",ROUND(SUM(H$7:H7)-SUM(I$7:I7),2))</f>
        <v>1400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/>
      </c>
      <c r="C8" s="70"/>
      <c r="D8" s="64"/>
      <c r="E8" s="71"/>
      <c r="F8" s="72"/>
      <c r="G8" s="73"/>
      <c r="H8" s="74"/>
      <c r="I8" s="74"/>
      <c r="J8" s="68" t="str">
        <f aca="false">IF(COUNTA(C8:D8)=0,"",ROUND(SUM(H$7:H8)-SUM(I$7:I8),2))</f>
        <v/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313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46314</v>
      </c>
      <c r="E4" s="48" t="n">
        <f aca="false">IF(COUNT(C7:C1000)=0,"",MAX(C7:C1000))</f>
        <v>46325</v>
      </c>
      <c r="F4" s="49" t="n">
        <f aca="false">SUM(H7:H1000)</f>
        <v>7880</v>
      </c>
      <c r="G4" s="49" t="n">
        <f aca="false">SUM(I7:I1000)</f>
        <v>5425</v>
      </c>
      <c r="H4" s="50" t="n">
        <f aca="false">ROUND(F4-G4,2)</f>
        <v>2455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46325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الاثنين</v>
      </c>
      <c r="C7" s="55" t="n">
        <v>46314</v>
      </c>
      <c r="D7" s="56" t="s">
        <v>85</v>
      </c>
      <c r="E7" s="57" t="n">
        <v>30</v>
      </c>
      <c r="F7" s="58" t="n">
        <v>20</v>
      </c>
      <c r="G7" s="54" t="n">
        <v>0</v>
      </c>
      <c r="H7" s="59" t="n">
        <f aca="false">ROUND(E7*F7*IF(G7&gt;1,G7,1),2)</f>
        <v>600</v>
      </c>
      <c r="I7" s="59"/>
      <c r="J7" s="60" t="n">
        <f aca="false">IF(COUNTA(C7:D7)=0,"",ROUND(SUM(H$7:H7)-SUM(I$7:I7),2))</f>
        <v>600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46316</v>
      </c>
      <c r="D8" s="64" t="s">
        <v>85</v>
      </c>
      <c r="E8" s="65" t="n">
        <v>27</v>
      </c>
      <c r="F8" s="66" t="n">
        <v>20</v>
      </c>
      <c r="G8" s="62" t="n">
        <v>0</v>
      </c>
      <c r="H8" s="67" t="n">
        <f aca="false">ROUND(E8*F8*IF(G8&gt;1,G8,1),2)</f>
        <v>540</v>
      </c>
      <c r="I8" s="67"/>
      <c r="J8" s="68" t="n">
        <f aca="false">IF(COUNTA(C8:D8)=0,"",ROUND(SUM(H$7:H8)-SUM(I$7:I8),2))</f>
        <v>1140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الأربعاء</v>
      </c>
      <c r="C9" s="55" t="n">
        <v>46316</v>
      </c>
      <c r="D9" s="56" t="s">
        <v>292</v>
      </c>
      <c r="E9" s="57"/>
      <c r="F9" s="58"/>
      <c r="G9" s="54"/>
      <c r="H9" s="59"/>
      <c r="I9" s="59" t="n">
        <v>600</v>
      </c>
      <c r="J9" s="60" t="n">
        <f aca="false">IF(COUNTA(C9:D9)=0,"",ROUND(SUM(H$7:H9)-SUM(I$7:I9),2))</f>
        <v>540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الأحد</v>
      </c>
      <c r="C10" s="63" t="n">
        <v>46320</v>
      </c>
      <c r="D10" s="64" t="s">
        <v>292</v>
      </c>
      <c r="E10" s="65"/>
      <c r="F10" s="66"/>
      <c r="G10" s="62"/>
      <c r="H10" s="67"/>
      <c r="I10" s="67" t="n">
        <v>525</v>
      </c>
      <c r="J10" s="68" t="n">
        <f aca="false">IF(COUNTA(C10:D10)=0,"",ROUND(SUM(H$7:H10)-SUM(I$7:I10),2))</f>
        <v>15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الأحد</v>
      </c>
      <c r="C11" s="55" t="n">
        <v>46320</v>
      </c>
      <c r="D11" s="56" t="s">
        <v>79</v>
      </c>
      <c r="E11" s="57" t="n">
        <v>25</v>
      </c>
      <c r="F11" s="58" t="n">
        <v>88</v>
      </c>
      <c r="G11" s="54" t="n">
        <v>0</v>
      </c>
      <c r="H11" s="59" t="n">
        <f aca="false">ROUND(E11*F11*IF(G11&gt;1,G11,1),2)</f>
        <v>2200</v>
      </c>
      <c r="I11" s="59"/>
      <c r="J11" s="60" t="n">
        <f aca="false">IF(COUNTA(C11:D11)=0,"",ROUND(SUM(H$7:H11)-SUM(I$7:I11),2))</f>
        <v>2215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الأحد</v>
      </c>
      <c r="C12" s="63" t="n">
        <v>46320</v>
      </c>
      <c r="D12" s="64" t="s">
        <v>77</v>
      </c>
      <c r="E12" s="65" t="n">
        <v>30</v>
      </c>
      <c r="F12" s="66" t="n">
        <v>20</v>
      </c>
      <c r="G12" s="62" t="n">
        <v>0</v>
      </c>
      <c r="H12" s="67" t="n">
        <f aca="false">ROUND(E12*F12*IF(G12&gt;1,G12,1),2)</f>
        <v>600</v>
      </c>
      <c r="I12" s="67"/>
      <c r="J12" s="68" t="n">
        <f aca="false">IF(COUNTA(C12:D12)=0,"",ROUND(SUM(H$7:H12)-SUM(I$7:I12),2))</f>
        <v>2815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46322</v>
      </c>
      <c r="D13" s="56" t="s">
        <v>292</v>
      </c>
      <c r="E13" s="57"/>
      <c r="F13" s="58"/>
      <c r="G13" s="54"/>
      <c r="H13" s="59"/>
      <c r="I13" s="59" t="n">
        <v>1300</v>
      </c>
      <c r="J13" s="60" t="n">
        <f aca="false">IF(COUNTA(C13:D13)=0,"",ROUND(SUM(H$7:H13)-SUM(I$7:I13),2))</f>
        <v>1515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الثلاثاء</v>
      </c>
      <c r="C14" s="63" t="n">
        <v>46322</v>
      </c>
      <c r="D14" s="64" t="s">
        <v>79</v>
      </c>
      <c r="E14" s="65" t="n">
        <v>30</v>
      </c>
      <c r="F14" s="66" t="n">
        <v>88</v>
      </c>
      <c r="G14" s="62" t="n">
        <v>0</v>
      </c>
      <c r="H14" s="67" t="n">
        <f aca="false">ROUND(E14*F14*IF(G14&gt;1,G14,1),2)</f>
        <v>2640</v>
      </c>
      <c r="I14" s="67"/>
      <c r="J14" s="68" t="n">
        <f aca="false">IF(COUNTA(C14:D14)=0,"",ROUND(SUM(H$7:H14)-SUM(I$7:I14),2))</f>
        <v>4155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الأربعاء</v>
      </c>
      <c r="C15" s="55" t="n">
        <v>46323</v>
      </c>
      <c r="D15" s="56" t="s">
        <v>292</v>
      </c>
      <c r="E15" s="57"/>
      <c r="F15" s="58"/>
      <c r="G15" s="54"/>
      <c r="H15" s="59"/>
      <c r="I15" s="59" t="n">
        <v>1000</v>
      </c>
      <c r="J15" s="60" t="n">
        <f aca="false">IF(COUNTA(C15:D15)=0,"",ROUND(SUM(H$7:H15)-SUM(I$7:I15),2))</f>
        <v>3155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الخميس</v>
      </c>
      <c r="C16" s="63" t="n">
        <v>46324</v>
      </c>
      <c r="D16" s="64" t="s">
        <v>77</v>
      </c>
      <c r="E16" s="65" t="n">
        <v>30</v>
      </c>
      <c r="F16" s="66" t="n">
        <v>20</v>
      </c>
      <c r="G16" s="62" t="n">
        <v>0</v>
      </c>
      <c r="H16" s="67" t="n">
        <f aca="false">ROUND(E16*F16*IF(G16&gt;1,G16,1),2)</f>
        <v>600</v>
      </c>
      <c r="I16" s="67"/>
      <c r="J16" s="68" t="n">
        <f aca="false">IF(COUNTA(C16:D16)=0,"",ROUND(SUM(H$7:H16)-SUM(I$7:I16),2))</f>
        <v>3755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الجمعة</v>
      </c>
      <c r="C17" s="55" t="n">
        <v>46325</v>
      </c>
      <c r="D17" s="56" t="s">
        <v>292</v>
      </c>
      <c r="E17" s="57"/>
      <c r="F17" s="58"/>
      <c r="G17" s="54"/>
      <c r="H17" s="59"/>
      <c r="I17" s="59" t="n">
        <v>2000</v>
      </c>
      <c r="J17" s="60" t="n">
        <f aca="false">IF(COUNTA(C17:D17)=0,"",ROUND(SUM(H$7:H17)-SUM(I$7:I17),2))</f>
        <v>1755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الجمعة</v>
      </c>
      <c r="C18" s="63" t="n">
        <v>46325</v>
      </c>
      <c r="D18" s="64" t="s">
        <v>77</v>
      </c>
      <c r="E18" s="65" t="n">
        <v>35</v>
      </c>
      <c r="F18" s="66" t="n">
        <v>20</v>
      </c>
      <c r="G18" s="62" t="n">
        <v>0</v>
      </c>
      <c r="H18" s="67" t="n">
        <f aca="false">ROUND(E18*F18*IF(G18&gt;1,G18,1),2)</f>
        <v>700</v>
      </c>
      <c r="I18" s="67"/>
      <c r="J18" s="68" t="n">
        <f aca="false">IF(COUNTA(C18:D18)=0,"",ROUND(SUM(H$7:H18)-SUM(I$7:I18),2))</f>
        <v>2455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314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46316</v>
      </c>
      <c r="E4" s="48" t="n">
        <f aca="false">IF(COUNT(C7:C1000)=0,"",MAX(C7:C1000))</f>
        <v>46323</v>
      </c>
      <c r="F4" s="49" t="n">
        <f aca="false">SUM(H7:H1000)</f>
        <v>4275</v>
      </c>
      <c r="G4" s="49" t="n">
        <f aca="false">SUM(I7:I1000)</f>
        <v>4275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46323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الأربعاء</v>
      </c>
      <c r="C7" s="55" t="n">
        <v>46316</v>
      </c>
      <c r="D7" s="56" t="s">
        <v>80</v>
      </c>
      <c r="E7" s="57" t="n">
        <v>15</v>
      </c>
      <c r="F7" s="58" t="n">
        <v>125</v>
      </c>
      <c r="G7" s="54" t="n">
        <v>0</v>
      </c>
      <c r="H7" s="59" t="n">
        <f aca="false">ROUND(E7*F7*IF(G7&gt;1,G7,1),2)</f>
        <v>1875</v>
      </c>
      <c r="I7" s="59"/>
      <c r="J7" s="60" t="n">
        <f aca="false">IF(COUNTA(C7:D7)=0,"",ROUND(SUM(H$7:H7)-SUM(I$7:I7),2))</f>
        <v>1875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الخميس</v>
      </c>
      <c r="C8" s="63" t="n">
        <v>46317</v>
      </c>
      <c r="D8" s="64" t="s">
        <v>80</v>
      </c>
      <c r="E8" s="65" t="n">
        <v>10</v>
      </c>
      <c r="F8" s="66" t="n">
        <v>128</v>
      </c>
      <c r="G8" s="62" t="n">
        <v>0</v>
      </c>
      <c r="H8" s="67" t="n">
        <f aca="false">ROUND(E8*F8*IF(G8&gt;1,G8,1),2)</f>
        <v>1280</v>
      </c>
      <c r="I8" s="67"/>
      <c r="J8" s="68" t="n">
        <f aca="false">IF(COUNTA(C8:D8)=0,"",ROUND(SUM(H$7:H8)-SUM(I$7:I8),2))</f>
        <v>3155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46319</v>
      </c>
      <c r="D9" s="56" t="s">
        <v>80</v>
      </c>
      <c r="E9" s="57" t="n">
        <v>8</v>
      </c>
      <c r="F9" s="58" t="n">
        <v>140</v>
      </c>
      <c r="G9" s="54" t="n">
        <v>0</v>
      </c>
      <c r="H9" s="59" t="n">
        <f aca="false">ROUND(E9*F9*IF(G9&gt;1,G9,1),2)</f>
        <v>1120</v>
      </c>
      <c r="I9" s="59"/>
      <c r="J9" s="60" t="n">
        <f aca="false">IF(COUNTA(C9:D9)=0,"",ROUND(SUM(H$7:H9)-SUM(I$7:I9),2))</f>
        <v>4275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الأربعاء</v>
      </c>
      <c r="C10" s="63" t="n">
        <v>46323</v>
      </c>
      <c r="D10" s="64" t="s">
        <v>78</v>
      </c>
      <c r="E10" s="65"/>
      <c r="F10" s="66"/>
      <c r="G10" s="62"/>
      <c r="H10" s="67"/>
      <c r="I10" s="67" t="n">
        <v>4275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315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46309</v>
      </c>
      <c r="E4" s="48" t="n">
        <f aca="false">IF(COUNT(C7:C1000)=0,"",MAX(C7:C1000))</f>
        <v>46311</v>
      </c>
      <c r="F4" s="49" t="n">
        <f aca="false">SUM(H7:H1000)</f>
        <v>160</v>
      </c>
      <c r="G4" s="49" t="n">
        <f aca="false">SUM(I7:I1000)</f>
        <v>160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46311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الأربعاء</v>
      </c>
      <c r="C7" s="55" t="n">
        <v>46309</v>
      </c>
      <c r="D7" s="56" t="s">
        <v>100</v>
      </c>
      <c r="E7" s="57" t="n">
        <v>16</v>
      </c>
      <c r="F7" s="58" t="n">
        <v>10</v>
      </c>
      <c r="G7" s="54" t="n">
        <v>0</v>
      </c>
      <c r="H7" s="59" t="n">
        <f aca="false">ROUND(E7*F7*IF(G7&gt;1,G7,1),2)</f>
        <v>160</v>
      </c>
      <c r="I7" s="59"/>
      <c r="J7" s="60" t="n">
        <f aca="false">IF(COUNTA(C7:D7)=0,"",ROUND(SUM(H$7:H7)-SUM(I$7:I7),2))</f>
        <v>160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46311</v>
      </c>
      <c r="D8" s="64" t="s">
        <v>78</v>
      </c>
      <c r="E8" s="65"/>
      <c r="F8" s="66"/>
      <c r="G8" s="62"/>
      <c r="H8" s="67"/>
      <c r="I8" s="67" t="n">
        <v>160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316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46313</v>
      </c>
      <c r="E4" s="48" t="n">
        <f aca="false">IF(COUNT(C7:C1000)=0,"",MAX(C7:C1000))</f>
        <v>46313</v>
      </c>
      <c r="F4" s="49" t="n">
        <f aca="false">SUM(H7:H1000)</f>
        <v>568.1</v>
      </c>
      <c r="G4" s="49" t="n">
        <f aca="false">SUM(I7:I1000)</f>
        <v>0</v>
      </c>
      <c r="H4" s="50" t="n">
        <f aca="false">ROUND(F4-G4,2)</f>
        <v>568.1</v>
      </c>
      <c r="I4" s="49" t="n">
        <f aca="false">ROUND(SUMPRODUCT((G7:G1000&gt;1)*E7:E1000*F7:F1000*(G7:G1000-1)),2)</f>
        <v>74.1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46313</v>
      </c>
      <c r="D7" s="56" t="s">
        <v>317</v>
      </c>
      <c r="E7" s="57" t="n">
        <v>19</v>
      </c>
      <c r="F7" s="58" t="n">
        <v>26</v>
      </c>
      <c r="G7" s="54" t="n">
        <v>1.15</v>
      </c>
      <c r="H7" s="59" t="n">
        <f aca="false">ROUND(E7*F7*IF(G7&gt;1,G7,1),2)</f>
        <v>568.1</v>
      </c>
      <c r="I7" s="59"/>
      <c r="J7" s="60" t="n">
        <f aca="false">IF(COUNTA(C7:D7)=0,"",ROUND(SUM(H$7:H7)-SUM(I$7:I7),2))</f>
        <v>568.1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/>
      </c>
      <c r="C8" s="70"/>
      <c r="D8" s="64"/>
      <c r="E8" s="71"/>
      <c r="F8" s="72"/>
      <c r="G8" s="73"/>
      <c r="H8" s="74"/>
      <c r="I8" s="74"/>
      <c r="J8" s="68" t="str">
        <f aca="false">IF(COUNTA(C8:D8)=0,"",ROUND(SUM(H$7:H8)-SUM(I$7:I8),2))</f>
        <v/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318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46322</v>
      </c>
      <c r="E4" s="48" t="n">
        <f aca="false">IF(COUNT(C7:C1000)=0,"",MAX(C7:C1000))</f>
        <v>46323</v>
      </c>
      <c r="F4" s="49" t="n">
        <f aca="false">SUM(H7:H1000)</f>
        <v>75</v>
      </c>
      <c r="G4" s="49" t="n">
        <f aca="false">SUM(I7:I1000)</f>
        <v>75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46323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الثلاثاء</v>
      </c>
      <c r="C7" s="55" t="n">
        <v>46322</v>
      </c>
      <c r="D7" s="56" t="s">
        <v>102</v>
      </c>
      <c r="E7" s="57" t="n">
        <v>1</v>
      </c>
      <c r="F7" s="58" t="n">
        <v>20</v>
      </c>
      <c r="G7" s="54" t="n">
        <v>0</v>
      </c>
      <c r="H7" s="59" t="n">
        <f aca="false">ROUND(E7*F7*IF(G7&gt;1,G7,1),2)</f>
        <v>20</v>
      </c>
      <c r="I7" s="59"/>
      <c r="J7" s="60" t="n">
        <f aca="false">IF(COUNTA(C7:D7)=0,"",ROUND(SUM(H$7:H7)-SUM(I$7:I7),2))</f>
        <v>20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الثلاثاء</v>
      </c>
      <c r="C8" s="63" t="n">
        <v>46322</v>
      </c>
      <c r="D8" s="64" t="s">
        <v>103</v>
      </c>
      <c r="E8" s="65" t="n">
        <v>1</v>
      </c>
      <c r="F8" s="66" t="n">
        <v>55</v>
      </c>
      <c r="G8" s="62" t="n">
        <v>0</v>
      </c>
      <c r="H8" s="67" t="n">
        <f aca="false">ROUND(E8*F8*IF(G8&gt;1,G8,1),2)</f>
        <v>55</v>
      </c>
      <c r="I8" s="67"/>
      <c r="J8" s="68" t="n">
        <f aca="false">IF(COUNTA(C8:D8)=0,"",ROUND(SUM(H$7:H8)-SUM(I$7:I8),2))</f>
        <v>75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الأربعاء</v>
      </c>
      <c r="C9" s="55" t="n">
        <v>46323</v>
      </c>
      <c r="D9" s="56" t="s">
        <v>78</v>
      </c>
      <c r="E9" s="57"/>
      <c r="F9" s="58"/>
      <c r="G9" s="54"/>
      <c r="H9" s="59"/>
      <c r="I9" s="59" t="n">
        <v>75</v>
      </c>
      <c r="J9" s="60" t="n">
        <f aca="false">IF(COUNTA(C9:D9)=0,"",ROUND(SUM(H$7:H9)-SUM(I$7:I9),2))</f>
        <v>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319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46298</v>
      </c>
      <c r="E4" s="48" t="n">
        <f aca="false">IF(COUNT(C7:C1000)=0,"",MAX(C7:C1000))</f>
        <v>46317</v>
      </c>
      <c r="F4" s="49" t="n">
        <f aca="false">SUM(H7:H1000)</f>
        <v>10430</v>
      </c>
      <c r="G4" s="49" t="n">
        <f aca="false">SUM(I7:I1000)</f>
        <v>6760</v>
      </c>
      <c r="H4" s="50" t="n">
        <f aca="false">ROUND(F4-G4,2)</f>
        <v>3670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46308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السبت</v>
      </c>
      <c r="C7" s="55" t="n">
        <v>46298</v>
      </c>
      <c r="D7" s="56" t="s">
        <v>320</v>
      </c>
      <c r="E7" s="57" t="n">
        <v>40</v>
      </c>
      <c r="F7" s="58" t="n">
        <v>30</v>
      </c>
      <c r="G7" s="54" t="n">
        <v>0</v>
      </c>
      <c r="H7" s="59" t="n">
        <f aca="false">ROUND(E7*F7*IF(G7&gt;1,G7,1),2)</f>
        <v>1200</v>
      </c>
      <c r="I7" s="59"/>
      <c r="J7" s="60" t="n">
        <f aca="false">IF(COUNTA(C7:D7)=0,"",ROUND(SUM(H$7:H7)-SUM(I$7:I7),2))</f>
        <v>1200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الأحد</v>
      </c>
      <c r="C8" s="63" t="n">
        <v>46299</v>
      </c>
      <c r="D8" s="64" t="s">
        <v>105</v>
      </c>
      <c r="E8" s="65" t="n">
        <v>40</v>
      </c>
      <c r="F8" s="66" t="n">
        <v>40</v>
      </c>
      <c r="G8" s="62" t="n">
        <v>0</v>
      </c>
      <c r="H8" s="67" t="n">
        <f aca="false">ROUND(E8*F8*IF(G8&gt;1,G8,1),2)</f>
        <v>1600</v>
      </c>
      <c r="I8" s="67"/>
      <c r="J8" s="68" t="n">
        <f aca="false">IF(COUNTA(C8:D8)=0,"",ROUND(SUM(H$7:H8)-SUM(I$7:I8),2))</f>
        <v>2800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الخميس</v>
      </c>
      <c r="C9" s="55" t="n">
        <v>46303</v>
      </c>
      <c r="D9" s="56" t="s">
        <v>105</v>
      </c>
      <c r="E9" s="57" t="n">
        <v>40</v>
      </c>
      <c r="F9" s="58" t="n">
        <v>39</v>
      </c>
      <c r="G9" s="54" t="n">
        <v>0</v>
      </c>
      <c r="H9" s="59" t="n">
        <f aca="false">ROUND(E9*F9*IF(G9&gt;1,G9,1),2)</f>
        <v>1560</v>
      </c>
      <c r="I9" s="59"/>
      <c r="J9" s="60" t="n">
        <f aca="false">IF(COUNTA(C9:D9)=0,"",ROUND(SUM(H$7:H9)-SUM(I$7:I9),2))</f>
        <v>4360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الخميس</v>
      </c>
      <c r="C10" s="63" t="n">
        <v>46303</v>
      </c>
      <c r="D10" s="64" t="s">
        <v>320</v>
      </c>
      <c r="E10" s="65" t="n">
        <v>20</v>
      </c>
      <c r="F10" s="66" t="n">
        <v>27</v>
      </c>
      <c r="G10" s="62" t="n">
        <v>0</v>
      </c>
      <c r="H10" s="67" t="n">
        <f aca="false">ROUND(E10*F10*IF(G10&gt;1,G10,1),2)</f>
        <v>540</v>
      </c>
      <c r="I10" s="67"/>
      <c r="J10" s="68" t="n">
        <f aca="false">IF(COUNTA(C10:D10)=0,"",ROUND(SUM(H$7:H10)-SUM(I$7:I10),2))</f>
        <v>4900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الخميس</v>
      </c>
      <c r="C11" s="55" t="n">
        <v>46303</v>
      </c>
      <c r="D11" s="56" t="s">
        <v>106</v>
      </c>
      <c r="E11" s="57" t="n">
        <v>30</v>
      </c>
      <c r="F11" s="58" t="n">
        <v>38</v>
      </c>
      <c r="G11" s="54" t="n">
        <v>0</v>
      </c>
      <c r="H11" s="59" t="n">
        <f aca="false">ROUND(E11*F11*IF(G11&gt;1,G11,1),2)</f>
        <v>1140</v>
      </c>
      <c r="I11" s="59"/>
      <c r="J11" s="60" t="n">
        <f aca="false">IF(COUNTA(C11:D11)=0,"",ROUND(SUM(H$7:H11)-SUM(I$7:I11),2))</f>
        <v>6040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السبت</v>
      </c>
      <c r="C12" s="63" t="n">
        <v>46305</v>
      </c>
      <c r="D12" s="64" t="s">
        <v>90</v>
      </c>
      <c r="E12" s="65" t="n">
        <v>80</v>
      </c>
      <c r="F12" s="66" t="n">
        <v>9</v>
      </c>
      <c r="G12" s="62" t="n">
        <v>0</v>
      </c>
      <c r="H12" s="67" t="n">
        <f aca="false">ROUND(E12*F12*IF(G12&gt;1,G12,1),2)</f>
        <v>720</v>
      </c>
      <c r="I12" s="67"/>
      <c r="J12" s="68" t="n">
        <f aca="false">IF(COUNTA(C12:D12)=0,"",ROUND(SUM(H$7:H12)-SUM(I$7:I12),2))</f>
        <v>6760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46308</v>
      </c>
      <c r="D13" s="56" t="s">
        <v>321</v>
      </c>
      <c r="E13" s="57"/>
      <c r="F13" s="58"/>
      <c r="G13" s="54"/>
      <c r="H13" s="59"/>
      <c r="I13" s="59" t="n">
        <v>6760</v>
      </c>
      <c r="J13" s="60" t="n">
        <f aca="false">IF(COUNTA(C13:D13)=0,"",ROUND(SUM(H$7:H13)-SUM(I$7:I13),2))</f>
        <v>0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الخميس</v>
      </c>
      <c r="C14" s="63" t="n">
        <v>46317</v>
      </c>
      <c r="D14" s="64" t="s">
        <v>105</v>
      </c>
      <c r="E14" s="65" t="n">
        <v>40</v>
      </c>
      <c r="F14" s="66" t="n">
        <v>40</v>
      </c>
      <c r="G14" s="62" t="n">
        <v>0</v>
      </c>
      <c r="H14" s="67" t="n">
        <f aca="false">ROUND(E14*F14*IF(G14&gt;1,G14,1),2)</f>
        <v>1600</v>
      </c>
      <c r="I14" s="67"/>
      <c r="J14" s="68" t="n">
        <f aca="false">IF(COUNTA(C14:D14)=0,"",ROUND(SUM(H$7:H14)-SUM(I$7:I14),2))</f>
        <v>1600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الخميس</v>
      </c>
      <c r="C15" s="55" t="n">
        <v>46317</v>
      </c>
      <c r="D15" s="56" t="s">
        <v>106</v>
      </c>
      <c r="E15" s="57" t="n">
        <v>30</v>
      </c>
      <c r="F15" s="58" t="n">
        <v>39</v>
      </c>
      <c r="G15" s="54" t="n">
        <v>0</v>
      </c>
      <c r="H15" s="59" t="n">
        <f aca="false">ROUND(E15*F15*IF(G15&gt;1,G15,1),2)</f>
        <v>1170</v>
      </c>
      <c r="I15" s="59"/>
      <c r="J15" s="60" t="n">
        <f aca="false">IF(COUNTA(C15:D15)=0,"",ROUND(SUM(H$7:H15)-SUM(I$7:I15),2))</f>
        <v>2770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الخميس</v>
      </c>
      <c r="C16" s="63" t="n">
        <v>46317</v>
      </c>
      <c r="D16" s="64" t="s">
        <v>320</v>
      </c>
      <c r="E16" s="65" t="n">
        <v>30</v>
      </c>
      <c r="F16" s="66" t="n">
        <v>30</v>
      </c>
      <c r="G16" s="62" t="n">
        <v>0</v>
      </c>
      <c r="H16" s="67" t="n">
        <f aca="false">ROUND(E16*F16*IF(G16&gt;1,G16,1),2)</f>
        <v>900</v>
      </c>
      <c r="I16" s="67"/>
      <c r="J16" s="68" t="n">
        <f aca="false">IF(COUNTA(C16:D16)=0,"",ROUND(SUM(H$7:H16)-SUM(I$7:I16),2))</f>
        <v>3670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322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46307</v>
      </c>
      <c r="E4" s="48" t="n">
        <f aca="false">IF(COUNT(C7:C1000)=0,"",MAX(C7:C1000))</f>
        <v>46309</v>
      </c>
      <c r="F4" s="49" t="n">
        <f aca="false">SUM(H7:H1000)</f>
        <v>7636</v>
      </c>
      <c r="G4" s="49" t="n">
        <f aca="false">SUM(I7:I1000)</f>
        <v>0</v>
      </c>
      <c r="H4" s="50" t="n">
        <f aca="false">ROUND(F4-G4,2)</f>
        <v>7636</v>
      </c>
      <c r="I4" s="49" t="n">
        <f aca="false">ROUND(SUMPRODUCT((G7:G1000&gt;1)*E7:E1000*F7:F1000*(G7:G1000-1)),2)</f>
        <v>996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الاثنين</v>
      </c>
      <c r="C7" s="55" t="n">
        <v>46307</v>
      </c>
      <c r="D7" s="56" t="s">
        <v>323</v>
      </c>
      <c r="E7" s="57" t="n">
        <v>30</v>
      </c>
      <c r="F7" s="58" t="n">
        <v>35</v>
      </c>
      <c r="G7" s="54" t="n">
        <v>1.15</v>
      </c>
      <c r="H7" s="59" t="n">
        <f aca="false">ROUND(E7*F7*IF(G7&gt;1,G7,1),2)</f>
        <v>1207.5</v>
      </c>
      <c r="I7" s="59"/>
      <c r="J7" s="60" t="n">
        <f aca="false">IF(COUNTA(C7:D7)=0,"",ROUND(SUM(H$7:H7)-SUM(I$7:I7),2))</f>
        <v>1207.5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الاثنين</v>
      </c>
      <c r="C8" s="63" t="n">
        <v>46307</v>
      </c>
      <c r="D8" s="64" t="s">
        <v>324</v>
      </c>
      <c r="E8" s="65" t="n">
        <v>20</v>
      </c>
      <c r="F8" s="66" t="n">
        <v>27</v>
      </c>
      <c r="G8" s="62" t="n">
        <v>1.15</v>
      </c>
      <c r="H8" s="67" t="n">
        <f aca="false">ROUND(E8*F8*IF(G8&gt;1,G8,1),2)</f>
        <v>621</v>
      </c>
      <c r="I8" s="67"/>
      <c r="J8" s="68" t="n">
        <f aca="false">IF(COUNTA(C8:D8)=0,"",ROUND(SUM(H$7:H8)-SUM(I$7:I8),2))</f>
        <v>1828.5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الاثنين</v>
      </c>
      <c r="C9" s="55" t="n">
        <v>46307</v>
      </c>
      <c r="D9" s="56" t="s">
        <v>325</v>
      </c>
      <c r="E9" s="57" t="n">
        <v>20</v>
      </c>
      <c r="F9" s="58" t="n">
        <v>35</v>
      </c>
      <c r="G9" s="54" t="n">
        <v>1.15</v>
      </c>
      <c r="H9" s="59" t="n">
        <f aca="false">ROUND(E9*F9*IF(G9&gt;1,G9,1),2)</f>
        <v>805</v>
      </c>
      <c r="I9" s="59"/>
      <c r="J9" s="60" t="n">
        <f aca="false">IF(COUNTA(C9:D9)=0,"",ROUND(SUM(H$7:H9)-SUM(I$7:I9),2))</f>
        <v>2633.5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الاثنين</v>
      </c>
      <c r="C10" s="63" t="n">
        <v>46307</v>
      </c>
      <c r="D10" s="64" t="s">
        <v>90</v>
      </c>
      <c r="E10" s="65" t="n">
        <v>80</v>
      </c>
      <c r="F10" s="66" t="n">
        <v>7</v>
      </c>
      <c r="G10" s="62" t="n">
        <v>1.15</v>
      </c>
      <c r="H10" s="67" t="n">
        <f aca="false">ROUND(E10*F10*IF(G10&gt;1,G10,1),2)</f>
        <v>644</v>
      </c>
      <c r="I10" s="67"/>
      <c r="J10" s="68" t="n">
        <f aca="false">IF(COUNTA(C10:D10)=0,"",ROUND(SUM(H$7:H10)-SUM(I$7:I10),2))</f>
        <v>3277.5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الأربعاء</v>
      </c>
      <c r="C11" s="55" t="n">
        <v>46309</v>
      </c>
      <c r="D11" s="56" t="s">
        <v>323</v>
      </c>
      <c r="E11" s="57" t="n">
        <v>40</v>
      </c>
      <c r="F11" s="58" t="n">
        <v>35</v>
      </c>
      <c r="G11" s="54" t="n">
        <v>1.15</v>
      </c>
      <c r="H11" s="59" t="n">
        <f aca="false">ROUND(E11*F11*IF(G11&gt;1,G11,1),2)</f>
        <v>1610</v>
      </c>
      <c r="I11" s="59"/>
      <c r="J11" s="60" t="n">
        <f aca="false">IF(COUNTA(C11:D11)=0,"",ROUND(SUM(H$7:H11)-SUM(I$7:I11),2))</f>
        <v>4887.5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الأربعاء</v>
      </c>
      <c r="C12" s="63" t="n">
        <v>46309</v>
      </c>
      <c r="D12" s="64" t="s">
        <v>325</v>
      </c>
      <c r="E12" s="65" t="n">
        <v>30</v>
      </c>
      <c r="F12" s="66" t="n">
        <v>34</v>
      </c>
      <c r="G12" s="62" t="n">
        <v>1.15</v>
      </c>
      <c r="H12" s="67" t="n">
        <f aca="false">ROUND(E12*F12*IF(G12&gt;1,G12,1),2)</f>
        <v>1173</v>
      </c>
      <c r="I12" s="67"/>
      <c r="J12" s="68" t="n">
        <f aca="false">IF(COUNTA(C12:D12)=0,"",ROUND(SUM(H$7:H12)-SUM(I$7:I12),2))</f>
        <v>6060.5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الأربعاء</v>
      </c>
      <c r="C13" s="55" t="n">
        <v>46309</v>
      </c>
      <c r="D13" s="56" t="s">
        <v>324</v>
      </c>
      <c r="E13" s="57" t="n">
        <v>30</v>
      </c>
      <c r="F13" s="58" t="n">
        <v>27</v>
      </c>
      <c r="G13" s="54" t="n">
        <v>1.15</v>
      </c>
      <c r="H13" s="59" t="n">
        <f aca="false">ROUND(E13*F13*IF(G13&gt;1,G13,1),2)</f>
        <v>931.5</v>
      </c>
      <c r="I13" s="59"/>
      <c r="J13" s="60" t="n">
        <f aca="false">IF(COUNTA(C13:D13)=0,"",ROUND(SUM(H$7:H13)-SUM(I$7:I13),2))</f>
        <v>6992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46309</v>
      </c>
      <c r="D14" s="64" t="s">
        <v>90</v>
      </c>
      <c r="E14" s="65" t="n">
        <v>80</v>
      </c>
      <c r="F14" s="66" t="n">
        <v>7</v>
      </c>
      <c r="G14" s="62" t="n">
        <v>1.15</v>
      </c>
      <c r="H14" s="67" t="n">
        <f aca="false">ROUND(E14*F14*IF(G14&gt;1,G14,1),2)</f>
        <v>644</v>
      </c>
      <c r="I14" s="67"/>
      <c r="J14" s="68" t="n">
        <f aca="false">IF(COUNTA(C14:D14)=0,"",ROUND(SUM(H$7:H14)-SUM(I$7:I14),2))</f>
        <v>7636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326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46307</v>
      </c>
      <c r="E4" s="48" t="n">
        <f aca="false">IF(COUNT(C7:C1000)=0,"",MAX(C7:C1000))</f>
        <v>46321</v>
      </c>
      <c r="F4" s="49" t="n">
        <f aca="false">SUM(H7:H1000)</f>
        <v>10835.55</v>
      </c>
      <c r="G4" s="49" t="n">
        <f aca="false">SUM(I7:I1000)</f>
        <v>10835</v>
      </c>
      <c r="H4" s="50" t="n">
        <f aca="false">ROUND(F4-G4,2)</f>
        <v>0.55</v>
      </c>
      <c r="I4" s="49" t="n">
        <f aca="false">ROUND(SUMPRODUCT((G7:G1000&gt;1)*E7:E1000*F7:F1000*(G7:G1000-1)),2)</f>
        <v>547.25</v>
      </c>
      <c r="J4" s="48" t="n">
        <f aca="false">IF(COUNTIFS(I7:I1000,"&gt;0",E7:E1000,"")=0,"",_xlfn.MAXIFS(C7:C1000,I7:I1000,"&gt;0",E7:E1000,""))</f>
        <v>46321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الاثنين</v>
      </c>
      <c r="C7" s="55" t="n">
        <v>46307</v>
      </c>
      <c r="D7" s="56" t="s">
        <v>90</v>
      </c>
      <c r="E7" s="57" t="n">
        <v>16</v>
      </c>
      <c r="F7" s="58" t="n">
        <v>7</v>
      </c>
      <c r="G7" s="54" t="n">
        <v>1.15</v>
      </c>
      <c r="H7" s="59" t="n">
        <f aca="false">ROUND(E7*F7*IF(G7&gt;1,G7,1),2)</f>
        <v>128.8</v>
      </c>
      <c r="I7" s="59"/>
      <c r="J7" s="60" t="n">
        <f aca="false">IF(COUNTA(C7:D7)=0,"",ROUND(SUM(H$7:H7)-SUM(I$7:I7),2))</f>
        <v>128.8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46311</v>
      </c>
      <c r="D8" s="64" t="s">
        <v>80</v>
      </c>
      <c r="E8" s="65" t="n">
        <v>14</v>
      </c>
      <c r="F8" s="66" t="n">
        <v>108.7</v>
      </c>
      <c r="G8" s="62" t="n">
        <v>1.15</v>
      </c>
      <c r="H8" s="67" t="n">
        <f aca="false">ROUND(E8*F8*IF(G8&gt;1,G8,1),2)</f>
        <v>1750.07</v>
      </c>
      <c r="I8" s="67"/>
      <c r="J8" s="68" t="n">
        <f aca="false">IF(COUNTA(C8:D8)=0,"",ROUND(SUM(H$7:H8)-SUM(I$7:I8),2))</f>
        <v>1878.87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46312</v>
      </c>
      <c r="D9" s="56" t="s">
        <v>90</v>
      </c>
      <c r="E9" s="57" t="n">
        <v>32</v>
      </c>
      <c r="F9" s="58" t="n">
        <v>8</v>
      </c>
      <c r="G9" s="54" t="n">
        <v>1.15</v>
      </c>
      <c r="H9" s="59" t="n">
        <f aca="false">ROUND(E9*F9*IF(G9&gt;1,G9,1),2)</f>
        <v>294.4</v>
      </c>
      <c r="I9" s="59"/>
      <c r="J9" s="60" t="n">
        <f aca="false">IF(COUNTA(C9:D9)=0,"",ROUND(SUM(H$7:H9)-SUM(I$7:I9),2))</f>
        <v>2173.27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الأحد</v>
      </c>
      <c r="C10" s="63" t="n">
        <v>46313</v>
      </c>
      <c r="D10" s="64" t="s">
        <v>80</v>
      </c>
      <c r="E10" s="65" t="n">
        <v>15</v>
      </c>
      <c r="F10" s="66" t="n">
        <v>108.7</v>
      </c>
      <c r="G10" s="62" t="n">
        <v>1.15</v>
      </c>
      <c r="H10" s="67" t="n">
        <f aca="false">ROUND(E10*F10*IF(G10&gt;1,G10,1),2)</f>
        <v>1875.08</v>
      </c>
      <c r="I10" s="67"/>
      <c r="J10" s="68" t="n">
        <f aca="false">IF(COUNTA(C10:D10)=0,"",ROUND(SUM(H$7:H10)-SUM(I$7:I10),2))</f>
        <v>4048.35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الاثنين</v>
      </c>
      <c r="C11" s="55" t="n">
        <v>46314</v>
      </c>
      <c r="D11" s="56" t="s">
        <v>90</v>
      </c>
      <c r="E11" s="57" t="n">
        <v>16</v>
      </c>
      <c r="F11" s="58" t="n">
        <v>8</v>
      </c>
      <c r="G11" s="54" t="n">
        <v>1.15</v>
      </c>
      <c r="H11" s="59" t="n">
        <f aca="false">ROUND(E11*F11*IF(G11&gt;1,G11,1),2)</f>
        <v>147.2</v>
      </c>
      <c r="I11" s="59"/>
      <c r="J11" s="60" t="n">
        <f aca="false">IF(COUNTA(C11:D11)=0,"",ROUND(SUM(H$7:H11)-SUM(I$7:I11),2))</f>
        <v>4195.55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الأربعاء</v>
      </c>
      <c r="C12" s="63" t="n">
        <v>46316</v>
      </c>
      <c r="D12" s="64" t="s">
        <v>80</v>
      </c>
      <c r="E12" s="65" t="n">
        <v>10</v>
      </c>
      <c r="F12" s="66" t="n">
        <v>128</v>
      </c>
      <c r="G12" s="62" t="n">
        <v>0</v>
      </c>
      <c r="H12" s="67" t="n">
        <f aca="false">ROUND(E12*F12*IF(G12&gt;1,G12,1),2)</f>
        <v>1280</v>
      </c>
      <c r="I12" s="67"/>
      <c r="J12" s="68" t="n">
        <f aca="false">IF(COUNTA(C12:D12)=0,"",ROUND(SUM(H$7:H12)-SUM(I$7:I12),2))</f>
        <v>5475.55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الخميس</v>
      </c>
      <c r="C13" s="55" t="n">
        <v>46317</v>
      </c>
      <c r="D13" s="56" t="s">
        <v>327</v>
      </c>
      <c r="E13" s="57"/>
      <c r="F13" s="58"/>
      <c r="G13" s="54"/>
      <c r="H13" s="59"/>
      <c r="I13" s="59" t="n">
        <v>3000</v>
      </c>
      <c r="J13" s="60" t="n">
        <f aca="false">IF(COUNTA(C13:D13)=0,"",ROUND(SUM(H$7:H13)-SUM(I$7:I13),2))</f>
        <v>2475.55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السبت</v>
      </c>
      <c r="C14" s="63" t="n">
        <v>46319</v>
      </c>
      <c r="D14" s="64" t="s">
        <v>80</v>
      </c>
      <c r="E14" s="65" t="n">
        <v>20</v>
      </c>
      <c r="F14" s="66" t="n">
        <v>138</v>
      </c>
      <c r="G14" s="62" t="n">
        <v>0</v>
      </c>
      <c r="H14" s="67" t="n">
        <f aca="false">ROUND(E14*F14*IF(G14&gt;1,G14,1),2)</f>
        <v>2760</v>
      </c>
      <c r="I14" s="67"/>
      <c r="J14" s="68" t="n">
        <f aca="false">IF(COUNTA(C14:D14)=0,"",ROUND(SUM(H$7:H14)-SUM(I$7:I14),2))</f>
        <v>5235.55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الأحد</v>
      </c>
      <c r="C15" s="55" t="n">
        <v>46320</v>
      </c>
      <c r="D15" s="56" t="s">
        <v>80</v>
      </c>
      <c r="E15" s="57" t="n">
        <v>20</v>
      </c>
      <c r="F15" s="58" t="n">
        <v>130</v>
      </c>
      <c r="G15" s="54" t="n">
        <v>0</v>
      </c>
      <c r="H15" s="59" t="n">
        <f aca="false">ROUND(E15*F15*IF(G15&gt;1,G15,1),2)</f>
        <v>2600</v>
      </c>
      <c r="I15" s="59"/>
      <c r="J15" s="60" t="n">
        <f aca="false">IF(COUNTA(C15:D15)=0,"",ROUND(SUM(H$7:H15)-SUM(I$7:I15),2))</f>
        <v>7835.55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الاثنين</v>
      </c>
      <c r="C16" s="63" t="n">
        <v>46321</v>
      </c>
      <c r="D16" s="64" t="s">
        <v>327</v>
      </c>
      <c r="E16" s="65"/>
      <c r="F16" s="66"/>
      <c r="G16" s="62"/>
      <c r="H16" s="67"/>
      <c r="I16" s="67" t="n">
        <v>7800</v>
      </c>
      <c r="J16" s="68" t="n">
        <f aca="false">IF(COUNTA(C16:D16)=0,"",ROUND(SUM(H$7:H16)-SUM(I$7:I16),2))</f>
        <v>35.55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الاثنين</v>
      </c>
      <c r="C17" s="55" t="n">
        <v>46321</v>
      </c>
      <c r="D17" s="56" t="s">
        <v>96</v>
      </c>
      <c r="E17" s="57"/>
      <c r="F17" s="58"/>
      <c r="G17" s="54"/>
      <c r="H17" s="59"/>
      <c r="I17" s="59" t="n">
        <v>35</v>
      </c>
      <c r="J17" s="60" t="n">
        <f aca="false">IF(COUNTA(C17:D17)=0,"",ROUND(SUM(H$7:H17)-SUM(I$7:I17),2))</f>
        <v>0.55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328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46313</v>
      </c>
      <c r="E4" s="48" t="n">
        <f aca="false">IF(COUNT(C7:C1000)=0,"",MAX(C7:C1000))</f>
        <v>46321</v>
      </c>
      <c r="F4" s="49" t="n">
        <f aca="false">SUM(H7:H1000)</f>
        <v>5037</v>
      </c>
      <c r="G4" s="49" t="n">
        <f aca="false">SUM(I7:I1000)</f>
        <v>5035</v>
      </c>
      <c r="H4" s="50" t="n">
        <f aca="false">ROUND(F4-G4,2)</f>
        <v>2</v>
      </c>
      <c r="I4" s="49" t="n">
        <f aca="false">ROUND(SUMPRODUCT((G7:G1000&gt;1)*E7:E1000*F7:F1000*(G7:G1000-1)),2)</f>
        <v>657</v>
      </c>
      <c r="J4" s="48" t="n">
        <f aca="false">IF(COUNTIFS(I7:I1000,"&gt;0",E7:E1000,"")=0,"",_xlfn.MAXIFS(C7:C1000,I7:I1000,"&gt;0",E7:E1000,""))</f>
        <v>46321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46313</v>
      </c>
      <c r="D7" s="56" t="s">
        <v>80</v>
      </c>
      <c r="E7" s="57" t="n">
        <v>20</v>
      </c>
      <c r="F7" s="58" t="n">
        <v>107</v>
      </c>
      <c r="G7" s="54" t="n">
        <v>1.15</v>
      </c>
      <c r="H7" s="59" t="n">
        <f aca="false">ROUND(E7*F7*IF(G7&gt;1,G7,1),2)</f>
        <v>2461</v>
      </c>
      <c r="I7" s="59"/>
      <c r="J7" s="60" t="n">
        <f aca="false">IF(COUNTA(C7:D7)=0,"",ROUND(SUM(H$7:H7)-SUM(I$7:I7),2))</f>
        <v>2461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46316</v>
      </c>
      <c r="D8" s="64" t="s">
        <v>78</v>
      </c>
      <c r="E8" s="65"/>
      <c r="F8" s="66"/>
      <c r="G8" s="62"/>
      <c r="H8" s="67"/>
      <c r="I8" s="67" t="n">
        <v>2460</v>
      </c>
      <c r="J8" s="68" t="n">
        <f aca="false">IF(COUNTA(C8:D8)=0,"",ROUND(SUM(H$7:H8)-SUM(I$7:I8),2))</f>
        <v>1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46319</v>
      </c>
      <c r="D9" s="56" t="s">
        <v>80</v>
      </c>
      <c r="E9" s="57" t="n">
        <v>20</v>
      </c>
      <c r="F9" s="58" t="n">
        <v>112</v>
      </c>
      <c r="G9" s="54" t="n">
        <v>1.15</v>
      </c>
      <c r="H9" s="59" t="n">
        <f aca="false">ROUND(E9*F9*IF(G9&gt;1,G9,1),2)</f>
        <v>2576</v>
      </c>
      <c r="I9" s="59"/>
      <c r="J9" s="60" t="n">
        <f aca="false">IF(COUNTA(C9:D9)=0,"",ROUND(SUM(H$7:H9)-SUM(I$7:I9),2))</f>
        <v>2577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الاثنين</v>
      </c>
      <c r="C10" s="63" t="n">
        <v>46321</v>
      </c>
      <c r="D10" s="64" t="s">
        <v>78</v>
      </c>
      <c r="E10" s="65"/>
      <c r="F10" s="66"/>
      <c r="G10" s="62"/>
      <c r="H10" s="67"/>
      <c r="I10" s="67" t="n">
        <v>2575</v>
      </c>
      <c r="J10" s="68" t="n">
        <f aca="false">IF(COUNTA(C10:D10)=0,"",ROUND(SUM(H$7:H10)-SUM(I$7:I10),2))</f>
        <v>2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329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46305</v>
      </c>
      <c r="E4" s="48" t="n">
        <f aca="false">IF(COUNT(C7:C1000)=0,"",MAX(C7:C1000))</f>
        <v>46313</v>
      </c>
      <c r="F4" s="49" t="n">
        <f aca="false">SUM(H7:H1000)</f>
        <v>720</v>
      </c>
      <c r="G4" s="49" t="n">
        <f aca="false">SUM(I7:I1000)</f>
        <v>715</v>
      </c>
      <c r="H4" s="50" t="n">
        <f aca="false">ROUND(F4-G4,2)</f>
        <v>5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46313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السبت</v>
      </c>
      <c r="C7" s="55" t="n">
        <v>46305</v>
      </c>
      <c r="D7" s="56" t="s">
        <v>77</v>
      </c>
      <c r="E7" s="57" t="n">
        <v>10</v>
      </c>
      <c r="F7" s="58" t="n">
        <v>18.5</v>
      </c>
      <c r="G7" s="54" t="n">
        <v>0</v>
      </c>
      <c r="H7" s="59" t="n">
        <f aca="false">ROUND(E7*F7*IF(G7&gt;1,G7,1),2)</f>
        <v>185</v>
      </c>
      <c r="I7" s="59"/>
      <c r="J7" s="60" t="n">
        <f aca="false">IF(COUNTA(C7:D7)=0,"",ROUND(SUM(H$7:H7)-SUM(I$7:I7),2))</f>
        <v>185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الأحد</v>
      </c>
      <c r="C8" s="63" t="n">
        <v>46306</v>
      </c>
      <c r="D8" s="64" t="s">
        <v>78</v>
      </c>
      <c r="E8" s="65"/>
      <c r="F8" s="66"/>
      <c r="G8" s="62"/>
      <c r="H8" s="67"/>
      <c r="I8" s="67" t="n">
        <v>180</v>
      </c>
      <c r="J8" s="68" t="n">
        <f aca="false">IF(COUNTA(C8:D8)=0,"",ROUND(SUM(H$7:H8)-SUM(I$7:I8),2))</f>
        <v>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الثلاثاء</v>
      </c>
      <c r="C9" s="55" t="n">
        <v>46308</v>
      </c>
      <c r="D9" s="56" t="s">
        <v>77</v>
      </c>
      <c r="E9" s="57" t="n">
        <v>10</v>
      </c>
      <c r="F9" s="58" t="n">
        <v>18</v>
      </c>
      <c r="G9" s="54" t="n">
        <v>0</v>
      </c>
      <c r="H9" s="59" t="n">
        <f aca="false">ROUND(E9*F9*IF(G9&gt;1,G9,1),2)</f>
        <v>180</v>
      </c>
      <c r="I9" s="59"/>
      <c r="J9" s="60" t="n">
        <f aca="false">IF(COUNTA(C9:D9)=0,"",ROUND(SUM(H$7:H9)-SUM(I$7:I9),2))</f>
        <v>185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الأربعاء</v>
      </c>
      <c r="C10" s="63" t="n">
        <v>46309</v>
      </c>
      <c r="D10" s="64" t="s">
        <v>77</v>
      </c>
      <c r="E10" s="65" t="n">
        <v>10</v>
      </c>
      <c r="F10" s="66" t="n">
        <v>18</v>
      </c>
      <c r="G10" s="62" t="n">
        <v>0</v>
      </c>
      <c r="H10" s="67" t="n">
        <f aca="false">ROUND(E10*F10*IF(G10&gt;1,G10,1),2)</f>
        <v>180</v>
      </c>
      <c r="I10" s="67"/>
      <c r="J10" s="68" t="n">
        <f aca="false">IF(COUNTA(C10:D10)=0,"",ROUND(SUM(H$7:H10)-SUM(I$7:I10),2))</f>
        <v>365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الخميس</v>
      </c>
      <c r="C11" s="55" t="n">
        <v>46310</v>
      </c>
      <c r="D11" s="56" t="s">
        <v>330</v>
      </c>
      <c r="E11" s="57"/>
      <c r="F11" s="58"/>
      <c r="G11" s="54"/>
      <c r="H11" s="59"/>
      <c r="I11" s="59" t="n">
        <v>180</v>
      </c>
      <c r="J11" s="60" t="n">
        <f aca="false">IF(COUNTA(C11:D11)=0,"",ROUND(SUM(H$7:H11)-SUM(I$7:I11),2))</f>
        <v>185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السبت</v>
      </c>
      <c r="C12" s="63" t="n">
        <v>46312</v>
      </c>
      <c r="D12" s="64" t="s">
        <v>331</v>
      </c>
      <c r="E12" s="65"/>
      <c r="F12" s="66"/>
      <c r="G12" s="62"/>
      <c r="H12" s="67"/>
      <c r="I12" s="67" t="n">
        <v>180</v>
      </c>
      <c r="J12" s="68" t="n">
        <f aca="false">IF(COUNTA(C12:D12)=0,"",ROUND(SUM(H$7:H12)-SUM(I$7:I12),2))</f>
        <v>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السبت</v>
      </c>
      <c r="C13" s="55" t="n">
        <v>46312</v>
      </c>
      <c r="D13" s="56" t="s">
        <v>77</v>
      </c>
      <c r="E13" s="57" t="n">
        <v>10</v>
      </c>
      <c r="F13" s="58" t="n">
        <v>17.5</v>
      </c>
      <c r="G13" s="54" t="n">
        <v>0</v>
      </c>
      <c r="H13" s="59" t="n">
        <f aca="false">ROUND(E13*F13*IF(G13&gt;1,G13,1),2)</f>
        <v>175</v>
      </c>
      <c r="I13" s="59"/>
      <c r="J13" s="60" t="n">
        <f aca="false">IF(COUNTA(C13:D13)=0,"",ROUND(SUM(H$7:H13)-SUM(I$7:I13),2))</f>
        <v>180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الأحد</v>
      </c>
      <c r="C14" s="63" t="n">
        <v>46313</v>
      </c>
      <c r="D14" s="64" t="s">
        <v>78</v>
      </c>
      <c r="E14" s="65"/>
      <c r="F14" s="66"/>
      <c r="G14" s="62"/>
      <c r="H14" s="67"/>
      <c r="I14" s="67" t="n">
        <v>175</v>
      </c>
      <c r="J14" s="68" t="n">
        <f aca="false">IF(COUNTA(C14:D14)=0,"",ROUND(SUM(H$7:H14)-SUM(I$7:I14),2))</f>
        <v>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332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46308</v>
      </c>
      <c r="E4" s="48" t="n">
        <f aca="false">IF(COUNT(C7:C1000)=0,"",MAX(C7:C1000))</f>
        <v>46325</v>
      </c>
      <c r="F4" s="49" t="n">
        <f aca="false">SUM(H7:H1000)</f>
        <v>285</v>
      </c>
      <c r="G4" s="49" t="n">
        <f aca="false">SUM(I7:I1000)</f>
        <v>285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46325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الثلاثاء</v>
      </c>
      <c r="C7" s="55" t="n">
        <v>46308</v>
      </c>
      <c r="D7" s="56" t="s">
        <v>79</v>
      </c>
      <c r="E7" s="57" t="n">
        <v>1</v>
      </c>
      <c r="F7" s="58" t="n">
        <v>55</v>
      </c>
      <c r="G7" s="54" t="n">
        <v>0</v>
      </c>
      <c r="H7" s="59" t="n">
        <f aca="false">ROUND(E7*F7*IF(G7&gt;1,G7,1),2)</f>
        <v>55</v>
      </c>
      <c r="I7" s="59"/>
      <c r="J7" s="60" t="n">
        <f aca="false">IF(COUNTA(C7:D7)=0,"",ROUND(SUM(H$7:H7)-SUM(I$7:I7),2))</f>
        <v>55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46309</v>
      </c>
      <c r="D8" s="64" t="s">
        <v>333</v>
      </c>
      <c r="E8" s="65"/>
      <c r="F8" s="66"/>
      <c r="G8" s="62"/>
      <c r="H8" s="67"/>
      <c r="I8" s="67" t="n">
        <v>55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الجمعة</v>
      </c>
      <c r="C9" s="55" t="n">
        <v>46311</v>
      </c>
      <c r="D9" s="56" t="s">
        <v>80</v>
      </c>
      <c r="E9" s="57" t="n">
        <v>1</v>
      </c>
      <c r="F9" s="58" t="n">
        <v>125</v>
      </c>
      <c r="G9" s="54" t="n">
        <v>0</v>
      </c>
      <c r="H9" s="59" t="n">
        <f aca="false">ROUND(E9*F9*IF(G9&gt;1,G9,1),2)</f>
        <v>125</v>
      </c>
      <c r="I9" s="59"/>
      <c r="J9" s="60" t="n">
        <f aca="false">IF(COUNTA(C9:D9)=0,"",ROUND(SUM(H$7:H9)-SUM(I$7:I9),2))</f>
        <v>125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السبت</v>
      </c>
      <c r="C10" s="63" t="n">
        <v>46312</v>
      </c>
      <c r="D10" s="64" t="s">
        <v>334</v>
      </c>
      <c r="E10" s="65"/>
      <c r="F10" s="66"/>
      <c r="G10" s="62"/>
      <c r="H10" s="67"/>
      <c r="I10" s="67" t="n">
        <v>125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الثلاثاء</v>
      </c>
      <c r="C11" s="55" t="n">
        <v>46322</v>
      </c>
      <c r="D11" s="56" t="s">
        <v>75</v>
      </c>
      <c r="E11" s="57" t="n">
        <v>1</v>
      </c>
      <c r="F11" s="58" t="n">
        <v>60</v>
      </c>
      <c r="G11" s="54" t="n">
        <v>0</v>
      </c>
      <c r="H11" s="59" t="n">
        <f aca="false">ROUND(E11*F11*IF(G11&gt;1,G11,1),2)</f>
        <v>60</v>
      </c>
      <c r="I11" s="59"/>
      <c r="J11" s="60" t="n">
        <f aca="false">IF(COUNTA(C11:D11)=0,"",ROUND(SUM(H$7:H11)-SUM(I$7:I11),2))</f>
        <v>60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الخميس</v>
      </c>
      <c r="C12" s="63" t="n">
        <v>46324</v>
      </c>
      <c r="D12" s="64" t="s">
        <v>335</v>
      </c>
      <c r="E12" s="65"/>
      <c r="F12" s="66"/>
      <c r="G12" s="62"/>
      <c r="H12" s="67"/>
      <c r="I12" s="67" t="n">
        <v>60</v>
      </c>
      <c r="J12" s="68" t="n">
        <f aca="false">IF(COUNTA(C12:D12)=0,"",ROUND(SUM(H$7:H12)-SUM(I$7:I12),2))</f>
        <v>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الخميس</v>
      </c>
      <c r="C13" s="55" t="n">
        <v>46324</v>
      </c>
      <c r="D13" s="56" t="s">
        <v>84</v>
      </c>
      <c r="E13" s="57" t="n">
        <v>1</v>
      </c>
      <c r="F13" s="58" t="n">
        <v>45</v>
      </c>
      <c r="G13" s="54" t="n">
        <v>0</v>
      </c>
      <c r="H13" s="59" t="n">
        <f aca="false">ROUND(E13*F13*IF(G13&gt;1,G13,1),2)</f>
        <v>45</v>
      </c>
      <c r="I13" s="59"/>
      <c r="J13" s="60" t="n">
        <f aca="false">IF(COUNTA(C13:D13)=0,"",ROUND(SUM(H$7:H13)-SUM(I$7:I13),2))</f>
        <v>45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الجمعة</v>
      </c>
      <c r="C14" s="63" t="n">
        <v>46325</v>
      </c>
      <c r="D14" s="64" t="s">
        <v>78</v>
      </c>
      <c r="E14" s="65"/>
      <c r="F14" s="66"/>
      <c r="G14" s="62"/>
      <c r="H14" s="67"/>
      <c r="I14" s="67" t="n">
        <v>45</v>
      </c>
      <c r="J14" s="68" t="n">
        <f aca="false">IF(COUNTA(C14:D14)=0,"",ROUND(SUM(H$7:H14)-SUM(I$7:I14),2))</f>
        <v>0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6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336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46299</v>
      </c>
      <c r="E4" s="48" t="n">
        <f aca="false">IF(COUNT(C7:C1000)=0,"",MAX(C7:C1000))</f>
        <v>46325</v>
      </c>
      <c r="F4" s="49" t="n">
        <f aca="false">SUM(H7:H1000)</f>
        <v>4308</v>
      </c>
      <c r="G4" s="49" t="n">
        <f aca="false">SUM(I7:I1000)</f>
        <v>3540</v>
      </c>
      <c r="H4" s="50" t="n">
        <f aca="false">ROUND(F4-G4,2)</f>
        <v>768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46325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46299</v>
      </c>
      <c r="D7" s="56" t="s">
        <v>87</v>
      </c>
      <c r="E7" s="57" t="n">
        <v>20</v>
      </c>
      <c r="F7" s="58" t="n">
        <v>12</v>
      </c>
      <c r="G7" s="54" t="n">
        <v>0</v>
      </c>
      <c r="H7" s="59" t="n">
        <f aca="false">ROUND(E7*F7*IF(G7&gt;1,G7,1),2)</f>
        <v>240</v>
      </c>
      <c r="I7" s="59"/>
      <c r="J7" s="60" t="n">
        <f aca="false">IF(COUNTA(C7:D7)=0,"",ROUND(SUM(H$7:H7)-SUM(I$7:I7),2))</f>
        <v>240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46302</v>
      </c>
      <c r="D8" s="64" t="s">
        <v>334</v>
      </c>
      <c r="E8" s="65"/>
      <c r="F8" s="66"/>
      <c r="G8" s="62"/>
      <c r="H8" s="67"/>
      <c r="I8" s="67" t="n">
        <v>240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الخميس</v>
      </c>
      <c r="C9" s="55" t="n">
        <v>46303</v>
      </c>
      <c r="D9" s="56" t="s">
        <v>87</v>
      </c>
      <c r="E9" s="57" t="n">
        <v>30</v>
      </c>
      <c r="F9" s="58" t="n">
        <v>12</v>
      </c>
      <c r="G9" s="54" t="n">
        <v>0</v>
      </c>
      <c r="H9" s="59" t="n">
        <f aca="false">ROUND(E9*F9*IF(G9&gt;1,G9,1),2)</f>
        <v>360</v>
      </c>
      <c r="I9" s="59"/>
      <c r="J9" s="60" t="n">
        <f aca="false">IF(COUNTA(C9:D9)=0,"",ROUND(SUM(H$7:H9)-SUM(I$7:I9),2))</f>
        <v>360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السبت</v>
      </c>
      <c r="C10" s="63" t="n">
        <v>46305</v>
      </c>
      <c r="D10" s="64" t="s">
        <v>292</v>
      </c>
      <c r="E10" s="65"/>
      <c r="F10" s="66"/>
      <c r="G10" s="62"/>
      <c r="H10" s="67"/>
      <c r="I10" s="67" t="n">
        <v>360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الاثنين</v>
      </c>
      <c r="C11" s="55" t="n">
        <v>46307</v>
      </c>
      <c r="D11" s="56" t="s">
        <v>77</v>
      </c>
      <c r="E11" s="57" t="n">
        <v>30</v>
      </c>
      <c r="F11" s="58" t="n">
        <v>18</v>
      </c>
      <c r="G11" s="54" t="n">
        <v>0</v>
      </c>
      <c r="H11" s="59" t="n">
        <f aca="false">ROUND(E11*F11*IF(G11&gt;1,G11,1),2)</f>
        <v>540</v>
      </c>
      <c r="I11" s="59"/>
      <c r="J11" s="60" t="n">
        <f aca="false">IF(COUNTA(C11:D11)=0,"",ROUND(SUM(H$7:H11)-SUM(I$7:I11),2))</f>
        <v>540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الثلاثاء</v>
      </c>
      <c r="C12" s="63" t="n">
        <v>46308</v>
      </c>
      <c r="D12" s="64" t="s">
        <v>77</v>
      </c>
      <c r="E12" s="65" t="n">
        <v>40</v>
      </c>
      <c r="F12" s="66" t="n">
        <v>18</v>
      </c>
      <c r="G12" s="62" t="n">
        <v>0</v>
      </c>
      <c r="H12" s="67" t="n">
        <f aca="false">ROUND(E12*F12*IF(G12&gt;1,G12,1),2)</f>
        <v>720</v>
      </c>
      <c r="I12" s="67"/>
      <c r="J12" s="68" t="n">
        <f aca="false">IF(COUNTA(C12:D12)=0,"",ROUND(SUM(H$7:H12)-SUM(I$7:I12),2))</f>
        <v>1260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46308</v>
      </c>
      <c r="D13" s="56" t="s">
        <v>108</v>
      </c>
      <c r="E13" s="57" t="n">
        <v>5</v>
      </c>
      <c r="F13" s="58" t="n">
        <v>20</v>
      </c>
      <c r="G13" s="54" t="n">
        <v>0</v>
      </c>
      <c r="H13" s="59" t="n">
        <f aca="false">ROUND(E13*F13*IF(G13&gt;1,G13,1),2)</f>
        <v>100</v>
      </c>
      <c r="I13" s="59"/>
      <c r="J13" s="60" t="n">
        <f aca="false">IF(COUNTA(C13:D13)=0,"",ROUND(SUM(H$7:H13)-SUM(I$7:I13),2))</f>
        <v>1360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46309</v>
      </c>
      <c r="D14" s="64" t="s">
        <v>292</v>
      </c>
      <c r="E14" s="65"/>
      <c r="F14" s="66"/>
      <c r="G14" s="62"/>
      <c r="H14" s="67"/>
      <c r="I14" s="67" t="n">
        <v>540</v>
      </c>
      <c r="J14" s="68" t="n">
        <f aca="false">IF(COUNTA(C14:D14)=0,"",ROUND(SUM(H$7:H14)-SUM(I$7:I14),2))</f>
        <v>820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الخميس</v>
      </c>
      <c r="C15" s="55" t="n">
        <v>46310</v>
      </c>
      <c r="D15" s="56" t="s">
        <v>77</v>
      </c>
      <c r="E15" s="57" t="n">
        <v>30</v>
      </c>
      <c r="F15" s="58" t="n">
        <v>18</v>
      </c>
      <c r="G15" s="54" t="n">
        <v>0</v>
      </c>
      <c r="H15" s="59" t="n">
        <f aca="false">ROUND(E15*F15*IF(G15&gt;1,G15,1),2)</f>
        <v>540</v>
      </c>
      <c r="I15" s="59"/>
      <c r="J15" s="60" t="n">
        <f aca="false">IF(COUNTA(C15:D15)=0,"",ROUND(SUM(H$7:H15)-SUM(I$7:I15),2))</f>
        <v>1360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الجمعة</v>
      </c>
      <c r="C16" s="63" t="n">
        <v>46311</v>
      </c>
      <c r="D16" s="64" t="s">
        <v>292</v>
      </c>
      <c r="E16" s="65"/>
      <c r="F16" s="66"/>
      <c r="G16" s="62"/>
      <c r="H16" s="67"/>
      <c r="I16" s="67" t="n">
        <v>600</v>
      </c>
      <c r="J16" s="68" t="n">
        <f aca="false">IF(COUNTA(C16:D16)=0,"",ROUND(SUM(H$7:H16)-SUM(I$7:I16),2))</f>
        <v>760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الاثنين</v>
      </c>
      <c r="C17" s="55" t="n">
        <v>46314</v>
      </c>
      <c r="D17" s="56" t="s">
        <v>337</v>
      </c>
      <c r="E17" s="57"/>
      <c r="F17" s="58"/>
      <c r="G17" s="54"/>
      <c r="H17" s="59"/>
      <c r="I17" s="59" t="n">
        <v>750</v>
      </c>
      <c r="J17" s="60" t="n">
        <f aca="false">IF(COUNTA(C17:D17)=0,"",ROUND(SUM(H$7:H17)-SUM(I$7:I17),2))</f>
        <v>10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الاثنين</v>
      </c>
      <c r="C18" s="63" t="n">
        <v>46314</v>
      </c>
      <c r="D18" s="64" t="s">
        <v>96</v>
      </c>
      <c r="E18" s="65"/>
      <c r="F18" s="66"/>
      <c r="G18" s="62"/>
      <c r="H18" s="67"/>
      <c r="I18" s="67" t="n">
        <v>10</v>
      </c>
      <c r="J18" s="68" t="n">
        <f aca="false">IF(COUNTA(C18:D18)=0,"",ROUND(SUM(H$7:H18)-SUM(I$7:I18),2))</f>
        <v>0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الخميس</v>
      </c>
      <c r="C19" s="55" t="n">
        <v>46317</v>
      </c>
      <c r="D19" s="56" t="s">
        <v>75</v>
      </c>
      <c r="E19" s="57" t="n">
        <v>8</v>
      </c>
      <c r="F19" s="58" t="n">
        <v>55</v>
      </c>
      <c r="G19" s="54" t="n">
        <v>0</v>
      </c>
      <c r="H19" s="59" t="n">
        <f aca="false">ROUND(E19*F19*IF(G19&gt;1,G19,1),2)</f>
        <v>440</v>
      </c>
      <c r="I19" s="59"/>
      <c r="J19" s="60" t="n">
        <f aca="false">IF(COUNTA(C19:D19)=0,"",ROUND(SUM(H$7:H19)-SUM(I$7:I19),2))</f>
        <v>440</v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السبت</v>
      </c>
      <c r="C20" s="63" t="n">
        <v>46319</v>
      </c>
      <c r="D20" s="64" t="s">
        <v>78</v>
      </c>
      <c r="E20" s="65"/>
      <c r="F20" s="66"/>
      <c r="G20" s="62"/>
      <c r="H20" s="67"/>
      <c r="I20" s="67" t="n">
        <v>440</v>
      </c>
      <c r="J20" s="68" t="n">
        <f aca="false">IF(COUNTA(C20:D20)=0,"",ROUND(SUM(H$7:H20)-SUM(I$7:I20),2))</f>
        <v>0</v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الأحد</v>
      </c>
      <c r="C21" s="55" t="n">
        <v>46320</v>
      </c>
      <c r="D21" s="56" t="s">
        <v>75</v>
      </c>
      <c r="E21" s="57" t="n">
        <v>5</v>
      </c>
      <c r="F21" s="58" t="n">
        <v>54</v>
      </c>
      <c r="G21" s="54" t="n">
        <v>0</v>
      </c>
      <c r="H21" s="59" t="n">
        <f aca="false">ROUND(E21*F21*IF(G21&gt;1,G21,1),2)</f>
        <v>270</v>
      </c>
      <c r="I21" s="59"/>
      <c r="J21" s="60" t="n">
        <f aca="false">IF(COUNTA(C21:D21)=0,"",ROUND(SUM(H$7:H21)-SUM(I$7:I21),2))</f>
        <v>270</v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>الثلاثاء</v>
      </c>
      <c r="C22" s="63" t="n">
        <v>46322</v>
      </c>
      <c r="D22" s="64" t="s">
        <v>75</v>
      </c>
      <c r="E22" s="65" t="n">
        <v>12</v>
      </c>
      <c r="F22" s="66" t="n">
        <v>55</v>
      </c>
      <c r="G22" s="62" t="n">
        <v>0</v>
      </c>
      <c r="H22" s="67" t="n">
        <f aca="false">ROUND(E22*F22*IF(G22&gt;1,G22,1),2)</f>
        <v>660</v>
      </c>
      <c r="I22" s="67"/>
      <c r="J22" s="68" t="n">
        <f aca="false">IF(COUNTA(C22:D22)=0,"",ROUND(SUM(H$7:H22)-SUM(I$7:I22),2))</f>
        <v>930</v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>الأربعاء</v>
      </c>
      <c r="C23" s="55" t="n">
        <v>46323</v>
      </c>
      <c r="D23" s="56" t="s">
        <v>75</v>
      </c>
      <c r="E23" s="57" t="n">
        <v>5</v>
      </c>
      <c r="F23" s="58" t="n">
        <v>54</v>
      </c>
      <c r="G23" s="54" t="n">
        <v>0</v>
      </c>
      <c r="H23" s="59" t="n">
        <f aca="false">ROUND(E23*F23*IF(G23&gt;1,G23,1),2)</f>
        <v>270</v>
      </c>
      <c r="I23" s="59"/>
      <c r="J23" s="60" t="n">
        <f aca="false">IF(COUNTA(C23:D23)=0,"",ROUND(SUM(H$7:H23)-SUM(I$7:I23),2))</f>
        <v>1200</v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>الخميس</v>
      </c>
      <c r="C24" s="63" t="n">
        <v>46324</v>
      </c>
      <c r="D24" s="64" t="s">
        <v>84</v>
      </c>
      <c r="E24" s="65" t="n">
        <v>2</v>
      </c>
      <c r="F24" s="66" t="n">
        <v>42</v>
      </c>
      <c r="G24" s="62" t="n">
        <v>0</v>
      </c>
      <c r="H24" s="67" t="n">
        <f aca="false">ROUND(E24*F24*IF(G24&gt;1,G24,1),2)</f>
        <v>84</v>
      </c>
      <c r="I24" s="67"/>
      <c r="J24" s="68" t="n">
        <f aca="false">IF(COUNTA(C24:D24)=0,"",ROUND(SUM(H$7:H24)-SUM(I$7:I24),2))</f>
        <v>1284</v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>الجمعة</v>
      </c>
      <c r="C25" s="55" t="n">
        <v>46325</v>
      </c>
      <c r="D25" s="56" t="s">
        <v>292</v>
      </c>
      <c r="E25" s="57"/>
      <c r="F25" s="58"/>
      <c r="G25" s="54"/>
      <c r="H25" s="59"/>
      <c r="I25" s="59" t="n">
        <v>600</v>
      </c>
      <c r="J25" s="60" t="n">
        <f aca="false">IF(COUNTA(C25:D25)=0,"",ROUND(SUM(H$7:H25)-SUM(I$7:I25),2))</f>
        <v>684</v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>الجمعة</v>
      </c>
      <c r="C26" s="63" t="n">
        <v>46325</v>
      </c>
      <c r="D26" s="64" t="s">
        <v>84</v>
      </c>
      <c r="E26" s="65" t="n">
        <v>2</v>
      </c>
      <c r="F26" s="66" t="n">
        <v>42</v>
      </c>
      <c r="G26" s="62" t="n">
        <v>0</v>
      </c>
      <c r="H26" s="67" t="n">
        <f aca="false">ROUND(E26*F26*IF(G26&gt;1,G26,1),2)</f>
        <v>84</v>
      </c>
      <c r="I26" s="67"/>
      <c r="J26" s="68" t="n">
        <f aca="false">IF(COUNTA(C26:D26)=0,"",ROUND(SUM(H$7:H26)-SUM(I$7:I26),2))</f>
        <v>768</v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  <row r="59" customFormat="false" ht="1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/>
      </c>
      <c r="C59" s="70"/>
      <c r="D59" s="56"/>
      <c r="E59" s="71"/>
      <c r="F59" s="72"/>
      <c r="G59" s="73"/>
      <c r="H59" s="74"/>
      <c r="I59" s="74"/>
      <c r="J59" s="60" t="str">
        <f aca="false">IF(COUNTA(C59:D59)=0,"",ROUND(SUM(H$7:H59)-SUM(I$7:I59),2))</f>
        <v/>
      </c>
      <c r="K59" s="54"/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/>
      </c>
      <c r="C60" s="70"/>
      <c r="D60" s="64"/>
      <c r="E60" s="71"/>
      <c r="F60" s="72"/>
      <c r="G60" s="73"/>
      <c r="H60" s="74"/>
      <c r="I60" s="74"/>
      <c r="J60" s="68" t="str">
        <f aca="false">IF(COUNTA(C60:D60)=0,"",ROUND(SUM(H$7:H60)-SUM(I$7:I60),2))</f>
        <v/>
      </c>
      <c r="K60" s="62"/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/>
      </c>
      <c r="C61" s="70"/>
      <c r="D61" s="56"/>
      <c r="E61" s="71"/>
      <c r="F61" s="72"/>
      <c r="G61" s="73"/>
      <c r="H61" s="74"/>
      <c r="I61" s="74"/>
      <c r="J61" s="60" t="str">
        <f aca="false">IF(COUNTA(C61:D61)=0,"",ROUND(SUM(H$7:H61)-SUM(I$7:I61),2))</f>
        <v/>
      </c>
      <c r="K61" s="54"/>
      <c r="L61" s="56"/>
    </row>
    <row r="62" customFormat="false" ht="15" hidden="false" customHeight="false" outlineLevel="0" collapsed="false">
      <c r="B62" s="62" t="str">
        <f aca="false">IF(C62="","",CHOOSE(WEEKDAY(C62),"الأحد","الاثنين","الثلاثاء","الأربعاء","الخميس","الجمعة","السبت"))</f>
        <v/>
      </c>
      <c r="C62" s="70"/>
      <c r="D62" s="64"/>
      <c r="E62" s="71"/>
      <c r="F62" s="72"/>
      <c r="G62" s="73"/>
      <c r="H62" s="74"/>
      <c r="I62" s="74"/>
      <c r="J62" s="68" t="str">
        <f aca="false">IF(COUNTA(C62:D62)=0,"",ROUND(SUM(H$7:H62)-SUM(I$7:I62),2))</f>
        <v/>
      </c>
      <c r="K62" s="62"/>
      <c r="L62" s="64"/>
    </row>
    <row r="63" customFormat="false" ht="15" hidden="false" customHeight="false" outlineLevel="0" collapsed="false">
      <c r="B63" s="54" t="str">
        <f aca="false">IF(C63="","",CHOOSE(WEEKDAY(C63),"الأحد","الاثنين","الثلاثاء","الأربعاء","الخميس","الجمعة","السبت"))</f>
        <v/>
      </c>
      <c r="C63" s="70"/>
      <c r="D63" s="56"/>
      <c r="E63" s="71"/>
      <c r="F63" s="72"/>
      <c r="G63" s="73"/>
      <c r="H63" s="74"/>
      <c r="I63" s="74"/>
      <c r="J63" s="60" t="str">
        <f aca="false">IF(COUNTA(C63:D63)=0,"",ROUND(SUM(H$7:H63)-SUM(I$7:I63),2))</f>
        <v/>
      </c>
      <c r="K63" s="54"/>
      <c r="L63" s="56"/>
    </row>
    <row r="64" customFormat="false" ht="15" hidden="false" customHeight="false" outlineLevel="0" collapsed="false">
      <c r="B64" s="62" t="str">
        <f aca="false">IF(C64="","",CHOOSE(WEEKDAY(C64),"الأحد","الاثنين","الثلاثاء","الأربعاء","الخميس","الجمعة","السبت"))</f>
        <v/>
      </c>
      <c r="C64" s="70"/>
      <c r="D64" s="64"/>
      <c r="E64" s="71"/>
      <c r="F64" s="72"/>
      <c r="G64" s="73"/>
      <c r="H64" s="74"/>
      <c r="I64" s="74"/>
      <c r="J64" s="68" t="str">
        <f aca="false">IF(COUNTA(C64:D64)=0,"",ROUND(SUM(H$7:H64)-SUM(I$7:I64),2))</f>
        <v/>
      </c>
      <c r="K64" s="62"/>
      <c r="L64" s="64"/>
    </row>
    <row r="65" customFormat="false" ht="15" hidden="false" customHeight="false" outlineLevel="0" collapsed="false">
      <c r="B65" s="54" t="str">
        <f aca="false">IF(C65="","",CHOOSE(WEEKDAY(C65),"الأحد","الاثنين","الثلاثاء","الأربعاء","الخميس","الجمعة","السبت"))</f>
        <v/>
      </c>
      <c r="C65" s="70"/>
      <c r="D65" s="56"/>
      <c r="E65" s="71"/>
      <c r="F65" s="72"/>
      <c r="G65" s="73"/>
      <c r="H65" s="74"/>
      <c r="I65" s="74"/>
      <c r="J65" s="60" t="str">
        <f aca="false">IF(COUNTA(C65:D65)=0,"",ROUND(SUM(H$7:H65)-SUM(I$7:I65),2))</f>
        <v/>
      </c>
      <c r="K65" s="54"/>
      <c r="L65" s="56"/>
    </row>
    <row r="66" customFormat="false" ht="15" hidden="false" customHeight="false" outlineLevel="0" collapsed="false">
      <c r="B66" s="62" t="str">
        <f aca="false">IF(C66="","",CHOOSE(WEEKDAY(C66),"الأحد","الاثنين","الثلاثاء","الأربعاء","الخميس","الجمعة","السبت"))</f>
        <v/>
      </c>
      <c r="C66" s="70"/>
      <c r="D66" s="64"/>
      <c r="E66" s="71"/>
      <c r="F66" s="72"/>
      <c r="G66" s="73"/>
      <c r="H66" s="74"/>
      <c r="I66" s="74"/>
      <c r="J66" s="68" t="str">
        <f aca="false">IF(COUNTA(C66:D66)=0,"",ROUND(SUM(H$7:H66)-SUM(I$7:I66),2))</f>
        <v/>
      </c>
      <c r="K66" s="62"/>
      <c r="L66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338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46299</v>
      </c>
      <c r="E4" s="48" t="n">
        <f aca="false">IF(COUNT(C7:C1000)=0,"",MAX(C7:C1000))</f>
        <v>46316</v>
      </c>
      <c r="F4" s="49" t="n">
        <f aca="false">SUM(H7:H1000)</f>
        <v>6728.5</v>
      </c>
      <c r="G4" s="49" t="n">
        <f aca="false">SUM(I7:I1000)</f>
        <v>6730</v>
      </c>
      <c r="H4" s="50" t="n">
        <f aca="false">ROUND(F4-G4,2)</f>
        <v>-1.5</v>
      </c>
      <c r="I4" s="49" t="n">
        <f aca="false">ROUND(SUMPRODUCT((G7:G1000&gt;1)*E7:E1000*F7:F1000*(G7:G1000-1)),2)</f>
        <v>850.5</v>
      </c>
      <c r="J4" s="48" t="n">
        <f aca="false">IF(COUNTIFS(I7:I1000,"&gt;0",E7:E1000,"")=0,"",_xlfn.MAXIFS(C7:C1000,I7:I1000,"&gt;0",E7:E1000,""))</f>
        <v>46316</v>
      </c>
      <c r="K4" s="51" t="str">
        <f aca="false">IF(ABS(H4)&lt;0.01,"مسدد",IF(H4&gt;0,"مستحق لنا","رصيد للعميل"))</f>
        <v>رصيد للعميل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الأحد</v>
      </c>
      <c r="C7" s="55" t="n">
        <v>46299</v>
      </c>
      <c r="D7" s="56" t="s">
        <v>86</v>
      </c>
      <c r="E7" s="57" t="n">
        <v>270</v>
      </c>
      <c r="F7" s="58" t="n">
        <v>21</v>
      </c>
      <c r="G7" s="54" t="n">
        <v>1.15</v>
      </c>
      <c r="H7" s="59" t="n">
        <f aca="false">ROUND(E7*F7*IF(G7&gt;1,G7,1),2)</f>
        <v>6520.5</v>
      </c>
      <c r="I7" s="59"/>
      <c r="J7" s="60" t="n">
        <f aca="false">IF(COUNTA(C7:D7)=0,"",ROUND(SUM(H$7:H7)-SUM(I$7:I7),2))</f>
        <v>6520.5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الثلاثاء</v>
      </c>
      <c r="C8" s="63" t="n">
        <v>46301</v>
      </c>
      <c r="D8" s="64" t="s">
        <v>109</v>
      </c>
      <c r="E8" s="65" t="n">
        <v>8</v>
      </c>
      <c r="F8" s="66" t="n">
        <v>16</v>
      </c>
      <c r="G8" s="62" t="n">
        <v>0</v>
      </c>
      <c r="H8" s="67" t="n">
        <f aca="false">ROUND(E8*F8*IF(G8&gt;1,G8,1),2)</f>
        <v>128</v>
      </c>
      <c r="I8" s="67"/>
      <c r="J8" s="68" t="n">
        <f aca="false">IF(COUNTA(C8:D8)=0,"",ROUND(SUM(H$7:H8)-SUM(I$7:I8),2))</f>
        <v>6648.5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الثلاثاء</v>
      </c>
      <c r="C9" s="55" t="n">
        <v>46301</v>
      </c>
      <c r="D9" s="56" t="s">
        <v>339</v>
      </c>
      <c r="E9" s="57"/>
      <c r="F9" s="58"/>
      <c r="G9" s="54"/>
      <c r="H9" s="59"/>
      <c r="I9" s="59" t="n">
        <v>1500</v>
      </c>
      <c r="J9" s="60" t="n">
        <f aca="false">IF(COUNTA(C9:D9)=0,"",ROUND(SUM(H$7:H9)-SUM(I$7:I9),2))</f>
        <v>5148.5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الثلاثاء</v>
      </c>
      <c r="C10" s="63" t="n">
        <v>46301</v>
      </c>
      <c r="D10" s="64" t="s">
        <v>82</v>
      </c>
      <c r="E10" s="65" t="n">
        <v>30</v>
      </c>
      <c r="F10" s="66" t="n">
        <v>38</v>
      </c>
      <c r="G10" s="62" t="n">
        <v>0</v>
      </c>
      <c r="H10" s="67"/>
      <c r="I10" s="67" t="n">
        <f aca="false">ROUND(E10*F10*IF(G10&gt;1,G10,1),2)</f>
        <v>1140</v>
      </c>
      <c r="J10" s="68" t="n">
        <f aca="false">IF(COUNTA(C10:D10)=0,"",ROUND(SUM(H$7:H10)-SUM(I$7:I10),2))</f>
        <v>4008.5</v>
      </c>
      <c r="K10" s="62"/>
      <c r="L10" s="69" t="s">
        <v>340</v>
      </c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الأربعاء</v>
      </c>
      <c r="C11" s="55" t="n">
        <v>46302</v>
      </c>
      <c r="D11" s="56" t="s">
        <v>109</v>
      </c>
      <c r="E11" s="57" t="n">
        <v>5</v>
      </c>
      <c r="F11" s="58" t="n">
        <v>16</v>
      </c>
      <c r="G11" s="54" t="n">
        <v>0</v>
      </c>
      <c r="H11" s="59" t="n">
        <f aca="false">ROUND(E11*F11*IF(G11&gt;1,G11,1),2)</f>
        <v>80</v>
      </c>
      <c r="I11" s="59"/>
      <c r="J11" s="60" t="n">
        <f aca="false">IF(COUNTA(C11:D11)=0,"",ROUND(SUM(H$7:H11)-SUM(I$7:I11),2))</f>
        <v>4088.5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السبت</v>
      </c>
      <c r="C12" s="63" t="n">
        <v>46305</v>
      </c>
      <c r="D12" s="64" t="s">
        <v>330</v>
      </c>
      <c r="E12" s="65"/>
      <c r="F12" s="66"/>
      <c r="G12" s="62"/>
      <c r="H12" s="67"/>
      <c r="I12" s="67" t="n">
        <v>1500</v>
      </c>
      <c r="J12" s="68" t="n">
        <f aca="false">IF(COUNTA(C12:D12)=0,"",ROUND(SUM(H$7:H12)-SUM(I$7:I12),2))</f>
        <v>2588.5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الجمعة</v>
      </c>
      <c r="C13" s="55" t="n">
        <v>46311</v>
      </c>
      <c r="D13" s="56" t="s">
        <v>330</v>
      </c>
      <c r="E13" s="57"/>
      <c r="F13" s="58"/>
      <c r="G13" s="54"/>
      <c r="H13" s="59"/>
      <c r="I13" s="59" t="n">
        <v>1000</v>
      </c>
      <c r="J13" s="60" t="n">
        <f aca="false">IF(COUNTA(C13:D13)=0,"",ROUND(SUM(H$7:H13)-SUM(I$7:I13),2))</f>
        <v>1588.5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46316</v>
      </c>
      <c r="D14" s="64" t="s">
        <v>330</v>
      </c>
      <c r="E14" s="65"/>
      <c r="F14" s="66"/>
      <c r="G14" s="62"/>
      <c r="H14" s="67"/>
      <c r="I14" s="67" t="n">
        <v>1590</v>
      </c>
      <c r="J14" s="68" t="n">
        <f aca="false">IF(COUNTA(C14:D14)=0,"",ROUND(SUM(H$7:H14)-SUM(I$7:I14),2))</f>
        <v>-1.5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341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46297</v>
      </c>
      <c r="E4" s="48" t="n">
        <f aca="false">IF(COUNT(C7:C1000)=0,"",MAX(C7:C1000))</f>
        <v>46309</v>
      </c>
      <c r="F4" s="49" t="n">
        <f aca="false">SUM(H7:H1000)</f>
        <v>4171.36</v>
      </c>
      <c r="G4" s="49" t="n">
        <f aca="false">SUM(I7:I1000)</f>
        <v>4169</v>
      </c>
      <c r="H4" s="50" t="n">
        <f aca="false">ROUND(F4-G4,2)</f>
        <v>2.36</v>
      </c>
      <c r="I4" s="49" t="n">
        <f aca="false">ROUND(SUMPRODUCT((G7:G1000&gt;1)*E7:E1000*F7:F1000*(G7:G1000-1)),2)</f>
        <v>361.19</v>
      </c>
      <c r="J4" s="48" t="n">
        <f aca="false">IF(COUNTIFS(I7:I1000,"&gt;0",E7:E1000,"")=0,"",_xlfn.MAXIFS(C7:C1000,I7:I1000,"&gt;0",E7:E1000,""))</f>
        <v>46309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46297</v>
      </c>
      <c r="D7" s="56" t="s">
        <v>87</v>
      </c>
      <c r="E7" s="57" t="n">
        <v>50</v>
      </c>
      <c r="F7" s="58" t="n">
        <v>10.435</v>
      </c>
      <c r="G7" s="54" t="n">
        <v>1.15</v>
      </c>
      <c r="H7" s="59" t="n">
        <f aca="false">ROUND(E7*F7*IF(G7&gt;1,G7,1),2)</f>
        <v>600.01</v>
      </c>
      <c r="I7" s="59"/>
      <c r="J7" s="60" t="n">
        <f aca="false">IF(COUNTA(C7:D7)=0,"",ROUND(SUM(H$7:H7)-SUM(I$7:I7),2))</f>
        <v>600.01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46297</v>
      </c>
      <c r="D8" s="64" t="s">
        <v>108</v>
      </c>
      <c r="E8" s="65" t="n">
        <v>5</v>
      </c>
      <c r="F8" s="66" t="n">
        <v>32.174</v>
      </c>
      <c r="G8" s="62" t="n">
        <v>1.15</v>
      </c>
      <c r="H8" s="67" t="n">
        <f aca="false">ROUND(E8*F8*IF(G8&gt;1,G8,1),2)</f>
        <v>185</v>
      </c>
      <c r="I8" s="67"/>
      <c r="J8" s="68" t="n">
        <f aca="false">IF(COUNTA(C8:D8)=0,"",ROUND(SUM(H$7:H8)-SUM(I$7:I8),2))</f>
        <v>785.01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الجمعة</v>
      </c>
      <c r="C9" s="55" t="n">
        <v>46297</v>
      </c>
      <c r="D9" s="56" t="s">
        <v>106</v>
      </c>
      <c r="E9" s="57" t="n">
        <v>3</v>
      </c>
      <c r="F9" s="58" t="n">
        <v>30.435</v>
      </c>
      <c r="G9" s="54" t="n">
        <v>1.15</v>
      </c>
      <c r="H9" s="59" t="n">
        <f aca="false">ROUND(E9*F9*IF(G9&gt;1,G9,1),2)</f>
        <v>105</v>
      </c>
      <c r="I9" s="59"/>
      <c r="J9" s="60" t="n">
        <f aca="false">IF(COUNTA(C9:D9)=0,"",ROUND(SUM(H$7:H9)-SUM(I$7:I9),2))</f>
        <v>890.01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الجمعة</v>
      </c>
      <c r="C10" s="63" t="n">
        <v>46297</v>
      </c>
      <c r="D10" s="64" t="s">
        <v>111</v>
      </c>
      <c r="E10" s="65" t="n">
        <v>86</v>
      </c>
      <c r="F10" s="66" t="n">
        <v>19</v>
      </c>
      <c r="G10" s="62" t="n">
        <v>1.15</v>
      </c>
      <c r="H10" s="67" t="n">
        <f aca="false">ROUND(E10*F10*IF(G10&gt;1,G10,1),2)</f>
        <v>1879.1</v>
      </c>
      <c r="I10" s="67"/>
      <c r="J10" s="68" t="n">
        <f aca="false">IF(COUNTA(C10:D10)=0,"",ROUND(SUM(H$7:H10)-SUM(I$7:I10),2))</f>
        <v>2769.11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الثلاثاء</v>
      </c>
      <c r="C11" s="55" t="n">
        <v>46301</v>
      </c>
      <c r="D11" s="56" t="s">
        <v>87</v>
      </c>
      <c r="E11" s="57" t="n">
        <v>57</v>
      </c>
      <c r="F11" s="58" t="n">
        <v>13</v>
      </c>
      <c r="G11" s="54" t="n">
        <v>0</v>
      </c>
      <c r="H11" s="59" t="n">
        <f aca="false">ROUND(E11*F11*IF(G11&gt;1,G11,1),2)</f>
        <v>741</v>
      </c>
      <c r="I11" s="59"/>
      <c r="J11" s="60" t="n">
        <f aca="false">IF(COUNTA(C11:D11)=0,"",ROUND(SUM(H$7:H11)-SUM(I$7:I11),2))</f>
        <v>3510.11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الثلاثاء</v>
      </c>
      <c r="C12" s="63" t="n">
        <v>46301</v>
      </c>
      <c r="D12" s="64" t="s">
        <v>342</v>
      </c>
      <c r="E12" s="65"/>
      <c r="F12" s="66"/>
      <c r="G12" s="62"/>
      <c r="H12" s="67"/>
      <c r="I12" s="67" t="n">
        <v>2769</v>
      </c>
      <c r="J12" s="68" t="n">
        <f aca="false">IF(COUNTA(C12:D12)=0,"",ROUND(SUM(H$7:H12)-SUM(I$7:I12),2))</f>
        <v>741.11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الأربعاء</v>
      </c>
      <c r="C13" s="55" t="n">
        <v>46302</v>
      </c>
      <c r="D13" s="56" t="s">
        <v>87</v>
      </c>
      <c r="E13" s="57" t="n">
        <v>50</v>
      </c>
      <c r="F13" s="58" t="n">
        <v>13.225</v>
      </c>
      <c r="G13" s="54" t="n">
        <v>0</v>
      </c>
      <c r="H13" s="59" t="n">
        <f aca="false">ROUND(E13*F13*IF(G13&gt;1,G13,1),2)</f>
        <v>661.25</v>
      </c>
      <c r="I13" s="59"/>
      <c r="J13" s="60" t="n">
        <f aca="false">IF(COUNTA(C13:D13)=0,"",ROUND(SUM(H$7:H13)-SUM(I$7:I13),2))</f>
        <v>1402.36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46309</v>
      </c>
      <c r="D14" s="64" t="s">
        <v>342</v>
      </c>
      <c r="E14" s="65"/>
      <c r="F14" s="66"/>
      <c r="G14" s="62"/>
      <c r="H14" s="67"/>
      <c r="I14" s="67" t="n">
        <v>1400</v>
      </c>
      <c r="J14" s="68" t="n">
        <f aca="false">IF(COUNTA(C14:D14)=0,"",ROUND(SUM(H$7:H14)-SUM(I$7:I14),2))</f>
        <v>2.36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343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46301</v>
      </c>
      <c r="E4" s="48" t="n">
        <f aca="false">IF(COUNT(C7:C1000)=0,"",MAX(C7:C1000))</f>
        <v>46319</v>
      </c>
      <c r="F4" s="49" t="n">
        <f aca="false">SUM(H7:H1000)</f>
        <v>9508</v>
      </c>
      <c r="G4" s="49" t="n">
        <f aca="false">SUM(I7:I1000)</f>
        <v>7308</v>
      </c>
      <c r="H4" s="50" t="n">
        <f aca="false">ROUND(F4-G4,2)</f>
        <v>2200</v>
      </c>
      <c r="I4" s="49" t="n">
        <f aca="false">ROUND(SUMPRODUCT((G7:G1000&gt;1)*E7:E1000*F7:F1000*(G7:G1000-1)),2)</f>
        <v>528</v>
      </c>
      <c r="J4" s="48" t="n">
        <f aca="false">IF(COUNTIFS(I7:I1000,"&gt;0",E7:E1000,"")=0,"",_xlfn.MAXIFS(C7:C1000,I7:I1000,"&gt;0",E7:E1000,""))</f>
        <v>46319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الثلاثاء</v>
      </c>
      <c r="C7" s="55" t="n">
        <v>46301</v>
      </c>
      <c r="D7" s="56" t="s">
        <v>77</v>
      </c>
      <c r="E7" s="57" t="n">
        <v>220</v>
      </c>
      <c r="F7" s="58" t="n">
        <v>16</v>
      </c>
      <c r="G7" s="54" t="n">
        <v>1.15</v>
      </c>
      <c r="H7" s="59" t="n">
        <f aca="false">ROUND(E7*F7*IF(G7&gt;1,G7,1),2)</f>
        <v>4048</v>
      </c>
      <c r="I7" s="59"/>
      <c r="J7" s="60" t="n">
        <f aca="false">IF(COUNTA(C7:D7)=0,"",ROUND(SUM(H$7:H7)-SUM(I$7:I7),2))</f>
        <v>4048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الثلاثاء</v>
      </c>
      <c r="C8" s="63" t="n">
        <v>46301</v>
      </c>
      <c r="D8" s="64" t="s">
        <v>82</v>
      </c>
      <c r="E8" s="65" t="n">
        <v>30</v>
      </c>
      <c r="F8" s="66" t="n">
        <v>42</v>
      </c>
      <c r="G8" s="62" t="n">
        <v>0</v>
      </c>
      <c r="H8" s="67" t="n">
        <f aca="false">ROUND(E8*F8*IF(G8&gt;1,G8,1),2)</f>
        <v>1260</v>
      </c>
      <c r="I8" s="67"/>
      <c r="J8" s="68" t="n">
        <f aca="false">IF(COUNTA(C8:D8)=0,"",ROUND(SUM(H$7:H8)-SUM(I$7:I8),2))</f>
        <v>5308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الثلاثاء</v>
      </c>
      <c r="C9" s="55" t="n">
        <v>46301</v>
      </c>
      <c r="D9" s="56" t="s">
        <v>344</v>
      </c>
      <c r="E9" s="57"/>
      <c r="F9" s="58"/>
      <c r="G9" s="54"/>
      <c r="H9" s="59"/>
      <c r="I9" s="59" t="n">
        <v>4048</v>
      </c>
      <c r="J9" s="60" t="n">
        <f aca="false">IF(COUNTA(C9:D9)=0,"",ROUND(SUM(H$7:H9)-SUM(I$7:I9),2))</f>
        <v>1260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الأربعاء</v>
      </c>
      <c r="C10" s="63" t="n">
        <v>46302</v>
      </c>
      <c r="D10" s="64" t="s">
        <v>334</v>
      </c>
      <c r="E10" s="65"/>
      <c r="F10" s="66"/>
      <c r="G10" s="62"/>
      <c r="H10" s="67"/>
      <c r="I10" s="67" t="n">
        <v>1260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الاثنين</v>
      </c>
      <c r="C11" s="55" t="n">
        <v>46314</v>
      </c>
      <c r="D11" s="56" t="s">
        <v>85</v>
      </c>
      <c r="E11" s="57" t="n">
        <v>200</v>
      </c>
      <c r="F11" s="58" t="n">
        <v>21</v>
      </c>
      <c r="G11" s="54" t="n">
        <v>0</v>
      </c>
      <c r="H11" s="59" t="n">
        <f aca="false">ROUND(E11*F11*IF(G11&gt;1,G11,1),2)</f>
        <v>4200</v>
      </c>
      <c r="I11" s="59"/>
      <c r="J11" s="60" t="n">
        <f aca="false">IF(COUNTA(C11:D11)=0,"",ROUND(SUM(H$7:H11)-SUM(I$7:I11),2))</f>
        <v>4200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السبت</v>
      </c>
      <c r="C12" s="63" t="n">
        <v>46319</v>
      </c>
      <c r="D12" s="64" t="s">
        <v>345</v>
      </c>
      <c r="E12" s="65"/>
      <c r="F12" s="66"/>
      <c r="G12" s="62"/>
      <c r="H12" s="67"/>
      <c r="I12" s="67" t="n">
        <v>2000</v>
      </c>
      <c r="J12" s="68" t="n">
        <f aca="false">IF(COUNTA(C12:D12)=0,"",ROUND(SUM(H$7:H12)-SUM(I$7:I12),2))</f>
        <v>2200</v>
      </c>
      <c r="K12" s="62" t="s">
        <v>346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347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46314</v>
      </c>
      <c r="E4" s="48" t="n">
        <f aca="false">IF(COUNT(C7:C1000)=0,"",MAX(C7:C1000))</f>
        <v>46321</v>
      </c>
      <c r="F4" s="49" t="n">
        <f aca="false">SUM(H7:H1000)</f>
        <v>1224</v>
      </c>
      <c r="G4" s="49" t="n">
        <f aca="false">SUM(I7:I1000)</f>
        <v>900</v>
      </c>
      <c r="H4" s="50" t="n">
        <f aca="false">ROUND(F4-G4,2)</f>
        <v>324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46321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الاثنين</v>
      </c>
      <c r="C7" s="55" t="n">
        <v>46314</v>
      </c>
      <c r="D7" s="56" t="s">
        <v>97</v>
      </c>
      <c r="E7" s="57" t="n">
        <v>3</v>
      </c>
      <c r="F7" s="58" t="n">
        <v>75</v>
      </c>
      <c r="G7" s="54" t="n">
        <v>0</v>
      </c>
      <c r="H7" s="59" t="n">
        <f aca="false">ROUND(E7*F7*IF(G7&gt;1,G7,1),2)</f>
        <v>225</v>
      </c>
      <c r="I7" s="59"/>
      <c r="J7" s="60" t="n">
        <f aca="false">IF(COUNTA(C7:D7)=0,"",ROUND(SUM(H$7:H7)-SUM(I$7:I7),2))</f>
        <v>225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46316</v>
      </c>
      <c r="D8" s="64" t="s">
        <v>97</v>
      </c>
      <c r="E8" s="65" t="n">
        <v>4</v>
      </c>
      <c r="F8" s="66" t="n">
        <v>78</v>
      </c>
      <c r="G8" s="62" t="n">
        <v>0</v>
      </c>
      <c r="H8" s="67" t="n">
        <f aca="false">ROUND(E8*F8*IF(G8&gt;1,G8,1),2)</f>
        <v>312</v>
      </c>
      <c r="I8" s="67"/>
      <c r="J8" s="68" t="n">
        <f aca="false">IF(COUNTA(C8:D8)=0,"",ROUND(SUM(H$7:H8)-SUM(I$7:I8),2))</f>
        <v>537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الخميس</v>
      </c>
      <c r="C9" s="55" t="n">
        <v>46317</v>
      </c>
      <c r="D9" s="56" t="s">
        <v>97</v>
      </c>
      <c r="E9" s="57" t="n">
        <v>4</v>
      </c>
      <c r="F9" s="58" t="n">
        <v>78</v>
      </c>
      <c r="G9" s="54" t="n">
        <v>0</v>
      </c>
      <c r="H9" s="59" t="n">
        <f aca="false">ROUND(E9*F9*IF(G9&gt;1,G9,1),2)</f>
        <v>312</v>
      </c>
      <c r="I9" s="59"/>
      <c r="J9" s="60" t="n">
        <f aca="false">IF(COUNTA(C9:D9)=0,"",ROUND(SUM(H$7:H9)-SUM(I$7:I9),2))</f>
        <v>849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الخميس</v>
      </c>
      <c r="C10" s="63" t="n">
        <v>46317</v>
      </c>
      <c r="D10" s="64" t="s">
        <v>292</v>
      </c>
      <c r="E10" s="65"/>
      <c r="F10" s="66"/>
      <c r="G10" s="62"/>
      <c r="H10" s="67"/>
      <c r="I10" s="67" t="n">
        <v>300</v>
      </c>
      <c r="J10" s="68" t="n">
        <f aca="false">IF(COUNTA(C10:D10)=0,"",ROUND(SUM(H$7:H10)-SUM(I$7:I10),2))</f>
        <v>549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السبت</v>
      </c>
      <c r="C11" s="55" t="n">
        <v>46319</v>
      </c>
      <c r="D11" s="56" t="s">
        <v>97</v>
      </c>
      <c r="E11" s="57" t="n">
        <v>5</v>
      </c>
      <c r="F11" s="58" t="n">
        <v>75</v>
      </c>
      <c r="G11" s="54" t="n">
        <v>0</v>
      </c>
      <c r="H11" s="59" t="n">
        <f aca="false">ROUND(E11*F11*IF(G11&gt;1,G11,1),2)</f>
        <v>375</v>
      </c>
      <c r="I11" s="59"/>
      <c r="J11" s="60" t="n">
        <f aca="false">IF(COUNTA(C11:D11)=0,"",ROUND(SUM(H$7:H11)-SUM(I$7:I11),2))</f>
        <v>924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السبت</v>
      </c>
      <c r="C12" s="63" t="n">
        <v>46319</v>
      </c>
      <c r="D12" s="64" t="s">
        <v>292</v>
      </c>
      <c r="E12" s="65"/>
      <c r="F12" s="66"/>
      <c r="G12" s="62"/>
      <c r="H12" s="67"/>
      <c r="I12" s="67" t="n">
        <v>200</v>
      </c>
      <c r="J12" s="68" t="n">
        <f aca="false">IF(COUNTA(C12:D12)=0,"",ROUND(SUM(H$7:H12)-SUM(I$7:I12),2))</f>
        <v>724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الأحد</v>
      </c>
      <c r="C13" s="55" t="n">
        <v>46320</v>
      </c>
      <c r="D13" s="56" t="s">
        <v>292</v>
      </c>
      <c r="E13" s="57"/>
      <c r="F13" s="58"/>
      <c r="G13" s="54"/>
      <c r="H13" s="59"/>
      <c r="I13" s="59" t="n">
        <v>200</v>
      </c>
      <c r="J13" s="60" t="n">
        <f aca="false">IF(COUNTA(C13:D13)=0,"",ROUND(SUM(H$7:H13)-SUM(I$7:I13),2))</f>
        <v>524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الاثنين</v>
      </c>
      <c r="C14" s="63" t="n">
        <v>46321</v>
      </c>
      <c r="D14" s="64" t="s">
        <v>292</v>
      </c>
      <c r="E14" s="65"/>
      <c r="F14" s="66"/>
      <c r="G14" s="62"/>
      <c r="H14" s="67"/>
      <c r="I14" s="67" t="n">
        <v>200</v>
      </c>
      <c r="J14" s="68" t="n">
        <f aca="false">IF(COUNTA(C14:D14)=0,"",ROUND(SUM(H$7:H14)-SUM(I$7:I14),2))</f>
        <v>324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6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348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46303</v>
      </c>
      <c r="E4" s="48" t="n">
        <f aca="false">IF(COUNT(C7:C1000)=0,"",MAX(C7:C1000))</f>
        <v>46323</v>
      </c>
      <c r="F4" s="49" t="n">
        <f aca="false">SUM(H7:H1000)</f>
        <v>11030</v>
      </c>
      <c r="G4" s="49" t="n">
        <f aca="false">SUM(I7:I1000)</f>
        <v>11030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46319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46303</v>
      </c>
      <c r="D7" s="56" t="s">
        <v>80</v>
      </c>
      <c r="E7" s="57" t="n">
        <v>10</v>
      </c>
      <c r="F7" s="58" t="n">
        <v>120</v>
      </c>
      <c r="G7" s="54" t="n">
        <v>0</v>
      </c>
      <c r="H7" s="59" t="n">
        <f aca="false">ROUND(E7*F7*IF(G7&gt;1,G7,1),2)</f>
        <v>1200</v>
      </c>
      <c r="I7" s="59"/>
      <c r="J7" s="60" t="n">
        <f aca="false">IF(COUNTA(C7:D7)=0,"",ROUND(SUM(H$7:H7)-SUM(I$7:I7),2))</f>
        <v>1200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46304</v>
      </c>
      <c r="D8" s="64" t="s">
        <v>349</v>
      </c>
      <c r="E8" s="65"/>
      <c r="F8" s="66"/>
      <c r="G8" s="62"/>
      <c r="H8" s="67"/>
      <c r="I8" s="67" t="n">
        <v>1200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الثلاثاء</v>
      </c>
      <c r="C9" s="55" t="n">
        <v>46308</v>
      </c>
      <c r="D9" s="56" t="s">
        <v>80</v>
      </c>
      <c r="E9" s="57" t="n">
        <v>3</v>
      </c>
      <c r="F9" s="58" t="n">
        <v>130</v>
      </c>
      <c r="G9" s="54" t="n">
        <v>0</v>
      </c>
      <c r="H9" s="59" t="n">
        <f aca="false">ROUND(E9*F9*IF(G9&gt;1,G9,1),2)</f>
        <v>390</v>
      </c>
      <c r="I9" s="59"/>
      <c r="J9" s="60" t="n">
        <f aca="false">IF(COUNTA(C9:D9)=0,"",ROUND(SUM(H$7:H9)-SUM(I$7:I9),2))</f>
        <v>390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الأربعاء</v>
      </c>
      <c r="C10" s="63" t="n">
        <v>46309</v>
      </c>
      <c r="D10" s="64" t="s">
        <v>80</v>
      </c>
      <c r="E10" s="65" t="n">
        <v>5</v>
      </c>
      <c r="F10" s="66" t="n">
        <v>120</v>
      </c>
      <c r="G10" s="62" t="n">
        <v>0</v>
      </c>
      <c r="H10" s="67" t="n">
        <f aca="false">ROUND(E10*F10*IF(G10&gt;1,G10,1),2)</f>
        <v>600</v>
      </c>
      <c r="I10" s="67"/>
      <c r="J10" s="68" t="n">
        <f aca="false">IF(COUNTA(C10:D10)=0,"",ROUND(SUM(H$7:H10)-SUM(I$7:I10),2))</f>
        <v>990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الأربعاء</v>
      </c>
      <c r="C11" s="55" t="n">
        <v>46309</v>
      </c>
      <c r="D11" s="56" t="s">
        <v>349</v>
      </c>
      <c r="E11" s="57"/>
      <c r="F11" s="58"/>
      <c r="G11" s="54"/>
      <c r="H11" s="59"/>
      <c r="I11" s="59" t="n">
        <v>990</v>
      </c>
      <c r="J11" s="60" t="n">
        <f aca="false">IF(COUNTA(C11:D11)=0,"",ROUND(SUM(H$7:H11)-SUM(I$7:I11),2))</f>
        <v>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الخميس</v>
      </c>
      <c r="C12" s="63" t="n">
        <v>46310</v>
      </c>
      <c r="D12" s="64" t="s">
        <v>80</v>
      </c>
      <c r="E12" s="65" t="n">
        <v>30</v>
      </c>
      <c r="F12" s="66" t="n">
        <v>125</v>
      </c>
      <c r="G12" s="62" t="n">
        <v>0</v>
      </c>
      <c r="H12" s="67" t="n">
        <f aca="false">ROUND(E12*F12*IF(G12&gt;1,G12,1),2)</f>
        <v>3750</v>
      </c>
      <c r="I12" s="67"/>
      <c r="J12" s="68" t="n">
        <f aca="false">IF(COUNTA(C12:D12)=0,"",ROUND(SUM(H$7:H12)-SUM(I$7:I12),2))</f>
        <v>3750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الجمعة</v>
      </c>
      <c r="C13" s="55" t="n">
        <v>46311</v>
      </c>
      <c r="D13" s="56" t="s">
        <v>80</v>
      </c>
      <c r="E13" s="57" t="n">
        <v>23</v>
      </c>
      <c r="F13" s="58" t="n">
        <v>120</v>
      </c>
      <c r="G13" s="54" t="n">
        <v>0</v>
      </c>
      <c r="H13" s="59" t="n">
        <f aca="false">ROUND(E13*F13*IF(G13&gt;1,G13,1),2)</f>
        <v>2760</v>
      </c>
      <c r="I13" s="59"/>
      <c r="J13" s="60" t="n">
        <f aca="false">IF(COUNTA(C13:D13)=0,"",ROUND(SUM(H$7:H13)-SUM(I$7:I13),2))</f>
        <v>6510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الجمعة</v>
      </c>
      <c r="C14" s="63" t="n">
        <v>46311</v>
      </c>
      <c r="D14" s="64" t="s">
        <v>330</v>
      </c>
      <c r="E14" s="65"/>
      <c r="F14" s="66"/>
      <c r="G14" s="62"/>
      <c r="H14" s="67"/>
      <c r="I14" s="67" t="n">
        <v>1750</v>
      </c>
      <c r="J14" s="68" t="n">
        <f aca="false">IF(COUNTA(C14:D14)=0,"",ROUND(SUM(H$7:H14)-SUM(I$7:I14),2))</f>
        <v>4760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السبت</v>
      </c>
      <c r="C15" s="55" t="n">
        <v>46312</v>
      </c>
      <c r="D15" s="56" t="s">
        <v>330</v>
      </c>
      <c r="E15" s="57"/>
      <c r="F15" s="58"/>
      <c r="G15" s="54"/>
      <c r="H15" s="59"/>
      <c r="I15" s="59" t="n">
        <v>2000</v>
      </c>
      <c r="J15" s="60" t="n">
        <f aca="false">IF(COUNTA(C15:D15)=0,"",ROUND(SUM(H$7:H15)-SUM(I$7:I15),2))</f>
        <v>2760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الأحد</v>
      </c>
      <c r="C16" s="63" t="n">
        <v>46313</v>
      </c>
      <c r="D16" s="64" t="s">
        <v>80</v>
      </c>
      <c r="E16" s="65" t="n">
        <v>10</v>
      </c>
      <c r="F16" s="66" t="n">
        <v>120</v>
      </c>
      <c r="G16" s="62" t="n">
        <v>0</v>
      </c>
      <c r="H16" s="67"/>
      <c r="I16" s="67" t="n">
        <f aca="false">ROUND(E16*F16*IF(G16&gt;1,G16,1),2)</f>
        <v>1200</v>
      </c>
      <c r="J16" s="68" t="n">
        <f aca="false">IF(COUNTA(C16:D16)=0,"",ROUND(SUM(H$7:H16)-SUM(I$7:I16),2))</f>
        <v>1560</v>
      </c>
      <c r="K16" s="62"/>
      <c r="L16" s="69" t="s">
        <v>340</v>
      </c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الأربعاء</v>
      </c>
      <c r="C17" s="55" t="n">
        <v>46316</v>
      </c>
      <c r="D17" s="56" t="s">
        <v>292</v>
      </c>
      <c r="E17" s="57"/>
      <c r="F17" s="58"/>
      <c r="G17" s="54"/>
      <c r="H17" s="59"/>
      <c r="I17" s="59" t="n">
        <v>550</v>
      </c>
      <c r="J17" s="60" t="n">
        <f aca="false">IF(COUNTA(C17:D17)=0,"",ROUND(SUM(H$7:H17)-SUM(I$7:I17),2))</f>
        <v>1010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الخميس</v>
      </c>
      <c r="C18" s="63" t="n">
        <v>46317</v>
      </c>
      <c r="D18" s="64" t="s">
        <v>80</v>
      </c>
      <c r="E18" s="65" t="n">
        <v>10</v>
      </c>
      <c r="F18" s="66" t="n">
        <v>130</v>
      </c>
      <c r="G18" s="62" t="n">
        <v>0</v>
      </c>
      <c r="H18" s="67" t="n">
        <f aca="false">ROUND(E18*F18*IF(G18&gt;1,G18,1),2)</f>
        <v>1300</v>
      </c>
      <c r="I18" s="67"/>
      <c r="J18" s="68" t="n">
        <f aca="false">IF(COUNTA(C18:D18)=0,"",ROUND(SUM(H$7:H18)-SUM(I$7:I18),2))</f>
        <v>2310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السبت</v>
      </c>
      <c r="C19" s="55" t="n">
        <v>46319</v>
      </c>
      <c r="D19" s="56" t="s">
        <v>80</v>
      </c>
      <c r="E19" s="57" t="n">
        <v>18</v>
      </c>
      <c r="F19" s="58" t="n">
        <v>130</v>
      </c>
      <c r="G19" s="54" t="n">
        <v>0</v>
      </c>
      <c r="H19" s="59"/>
      <c r="I19" s="59" t="n">
        <f aca="false">ROUND(E19*F19*IF(G19&gt;1,G19,1),2)</f>
        <v>2340</v>
      </c>
      <c r="J19" s="60" t="n">
        <f aca="false">IF(COUNTA(C19:D19)=0,"",ROUND(SUM(H$7:H19)-SUM(I$7:I19),2))</f>
        <v>-30</v>
      </c>
      <c r="K19" s="54"/>
      <c r="L19" s="61" t="s">
        <v>340</v>
      </c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السبت</v>
      </c>
      <c r="C20" s="63" t="n">
        <v>46319</v>
      </c>
      <c r="D20" s="64" t="s">
        <v>292</v>
      </c>
      <c r="E20" s="65"/>
      <c r="F20" s="66"/>
      <c r="G20" s="62"/>
      <c r="H20" s="67"/>
      <c r="I20" s="67" t="n">
        <v>1000</v>
      </c>
      <c r="J20" s="68" t="n">
        <f aca="false">IF(COUNTA(C20:D20)=0,"",ROUND(SUM(H$7:H20)-SUM(I$7:I20),2))</f>
        <v>-1030</v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الاثنين</v>
      </c>
      <c r="C21" s="55" t="n">
        <v>46321</v>
      </c>
      <c r="D21" s="56" t="s">
        <v>330</v>
      </c>
      <c r="E21" s="57"/>
      <c r="F21" s="58"/>
      <c r="G21" s="54"/>
      <c r="H21" s="59" t="n">
        <v>850</v>
      </c>
      <c r="I21" s="59"/>
      <c r="J21" s="60" t="n">
        <f aca="false">IF(COUNTA(C21:D21)=0,"",ROUND(SUM(H$7:H21)-SUM(I$7:I21),2))</f>
        <v>-180</v>
      </c>
      <c r="K21" s="54"/>
      <c r="L21" s="61" t="s">
        <v>340</v>
      </c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>الأربعاء</v>
      </c>
      <c r="C22" s="63" t="n">
        <v>46323</v>
      </c>
      <c r="D22" s="64" t="s">
        <v>78</v>
      </c>
      <c r="E22" s="65"/>
      <c r="F22" s="66"/>
      <c r="G22" s="62"/>
      <c r="H22" s="67" t="n">
        <v>150</v>
      </c>
      <c r="I22" s="67"/>
      <c r="J22" s="68" t="n">
        <f aca="false">IF(COUNTA(C22:D22)=0,"",ROUND(SUM(H$7:H22)-SUM(I$7:I22),2))</f>
        <v>-30</v>
      </c>
      <c r="K22" s="62"/>
      <c r="L22" s="69" t="s">
        <v>340</v>
      </c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>الأربعاء</v>
      </c>
      <c r="C23" s="55" t="n">
        <v>46323</v>
      </c>
      <c r="D23" s="56" t="s">
        <v>350</v>
      </c>
      <c r="E23" s="57"/>
      <c r="F23" s="58"/>
      <c r="G23" s="54"/>
      <c r="H23" s="59" t="n">
        <v>30</v>
      </c>
      <c r="I23" s="59"/>
      <c r="J23" s="60" t="n">
        <f aca="false">IF(COUNTA(C23:D23)=0,"",ROUND(SUM(H$7:H23)-SUM(I$7:I23),2))</f>
        <v>0</v>
      </c>
      <c r="K23" s="54"/>
      <c r="L23" s="61" t="s">
        <v>340</v>
      </c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  <row r="59" customFormat="false" ht="1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/>
      </c>
      <c r="C59" s="70"/>
      <c r="D59" s="56"/>
      <c r="E59" s="71"/>
      <c r="F59" s="72"/>
      <c r="G59" s="73"/>
      <c r="H59" s="74"/>
      <c r="I59" s="74"/>
      <c r="J59" s="60" t="str">
        <f aca="false">IF(COUNTA(C59:D59)=0,"",ROUND(SUM(H$7:H59)-SUM(I$7:I59),2))</f>
        <v/>
      </c>
      <c r="K59" s="54"/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/>
      </c>
      <c r="C60" s="70"/>
      <c r="D60" s="64"/>
      <c r="E60" s="71"/>
      <c r="F60" s="72"/>
      <c r="G60" s="73"/>
      <c r="H60" s="74"/>
      <c r="I60" s="74"/>
      <c r="J60" s="68" t="str">
        <f aca="false">IF(COUNTA(C60:D60)=0,"",ROUND(SUM(H$7:H60)-SUM(I$7:I60),2))</f>
        <v/>
      </c>
      <c r="K60" s="62"/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/>
      </c>
      <c r="C61" s="70"/>
      <c r="D61" s="56"/>
      <c r="E61" s="71"/>
      <c r="F61" s="72"/>
      <c r="G61" s="73"/>
      <c r="H61" s="74"/>
      <c r="I61" s="74"/>
      <c r="J61" s="60" t="str">
        <f aca="false">IF(COUNTA(C61:D61)=0,"",ROUND(SUM(H$7:H61)-SUM(I$7:I61),2))</f>
        <v/>
      </c>
      <c r="K61" s="54"/>
      <c r="L61" s="56"/>
    </row>
    <row r="62" customFormat="false" ht="15" hidden="false" customHeight="false" outlineLevel="0" collapsed="false">
      <c r="B62" s="62" t="str">
        <f aca="false">IF(C62="","",CHOOSE(WEEKDAY(C62),"الأحد","الاثنين","الثلاثاء","الأربعاء","الخميس","الجمعة","السبت"))</f>
        <v/>
      </c>
      <c r="C62" s="70"/>
      <c r="D62" s="64"/>
      <c r="E62" s="71"/>
      <c r="F62" s="72"/>
      <c r="G62" s="73"/>
      <c r="H62" s="74"/>
      <c r="I62" s="74"/>
      <c r="J62" s="68" t="str">
        <f aca="false">IF(COUNTA(C62:D62)=0,"",ROUND(SUM(H$7:H62)-SUM(I$7:I62),2))</f>
        <v/>
      </c>
      <c r="K62" s="62"/>
      <c r="L62" s="64"/>
    </row>
    <row r="63" customFormat="false" ht="15" hidden="false" customHeight="false" outlineLevel="0" collapsed="false">
      <c r="B63" s="54" t="str">
        <f aca="false">IF(C63="","",CHOOSE(WEEKDAY(C63),"الأحد","الاثنين","الثلاثاء","الأربعاء","الخميس","الجمعة","السبت"))</f>
        <v/>
      </c>
      <c r="C63" s="70"/>
      <c r="D63" s="56"/>
      <c r="E63" s="71"/>
      <c r="F63" s="72"/>
      <c r="G63" s="73"/>
      <c r="H63" s="74"/>
      <c r="I63" s="74"/>
      <c r="J63" s="60" t="str">
        <f aca="false">IF(COUNTA(C63:D63)=0,"",ROUND(SUM(H$7:H63)-SUM(I$7:I63),2))</f>
        <v/>
      </c>
      <c r="K63" s="54"/>
      <c r="L63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9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351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46308</v>
      </c>
      <c r="E4" s="48" t="n">
        <f aca="false">IF(COUNT(C7:C1000)=0,"",MAX(C7:C1000))</f>
        <v>46325</v>
      </c>
      <c r="F4" s="49" t="n">
        <f aca="false">SUM(H7:H1000)</f>
        <v>56681.2</v>
      </c>
      <c r="G4" s="49" t="n">
        <f aca="false">SUM(I7:I1000)</f>
        <v>43938</v>
      </c>
      <c r="H4" s="50" t="n">
        <f aca="false">ROUND(F4-G4,2)</f>
        <v>12743.2</v>
      </c>
      <c r="I4" s="49" t="n">
        <f aca="false">ROUND(SUMPRODUCT((G7:G1000&gt;1)*E7:E1000*F7:F1000*(G7:G1000-1)),2)</f>
        <v>7393.2</v>
      </c>
      <c r="J4" s="48" t="n">
        <f aca="false">IF(COUNTIFS(I7:I1000,"&gt;0",E7:E1000,"")=0,"",_xlfn.MAXIFS(C7:C1000,I7:I1000,"&gt;0",E7:E1000,""))</f>
        <v>46325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الثلاثاء</v>
      </c>
      <c r="C7" s="55" t="n">
        <v>46308</v>
      </c>
      <c r="D7" s="56" t="s">
        <v>79</v>
      </c>
      <c r="E7" s="57" t="n">
        <v>70</v>
      </c>
      <c r="F7" s="58" t="n">
        <v>45</v>
      </c>
      <c r="G7" s="54" t="n">
        <v>1.15</v>
      </c>
      <c r="H7" s="59" t="n">
        <f aca="false">ROUND(E7*F7*IF(G7&gt;1,G7,1),2)</f>
        <v>3622.5</v>
      </c>
      <c r="I7" s="59"/>
      <c r="J7" s="60" t="n">
        <f aca="false">IF(COUNTA(C7:D7)=0,"",ROUND(SUM(H$7:H7)-SUM(I$7:I7),2))</f>
        <v>3622.5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46309</v>
      </c>
      <c r="D8" s="64" t="s">
        <v>79</v>
      </c>
      <c r="E8" s="65" t="n">
        <v>72</v>
      </c>
      <c r="F8" s="66" t="n">
        <v>45</v>
      </c>
      <c r="G8" s="62" t="n">
        <v>1.15</v>
      </c>
      <c r="H8" s="67" t="n">
        <f aca="false">ROUND(E8*F8*IF(G8&gt;1,G8,1),2)</f>
        <v>3726</v>
      </c>
      <c r="I8" s="67"/>
      <c r="J8" s="68" t="n">
        <f aca="false">IF(COUNTA(C8:D8)=0,"",ROUND(SUM(H$7:H8)-SUM(I$7:I8),2))</f>
        <v>7348.5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الخميس</v>
      </c>
      <c r="C9" s="55" t="n">
        <v>46310</v>
      </c>
      <c r="D9" s="56" t="s">
        <v>352</v>
      </c>
      <c r="E9" s="57"/>
      <c r="F9" s="58"/>
      <c r="G9" s="54"/>
      <c r="H9" s="59"/>
      <c r="I9" s="59" t="n">
        <v>3622.5</v>
      </c>
      <c r="J9" s="60" t="n">
        <f aca="false">IF(COUNTA(C9:D9)=0,"",ROUND(SUM(H$7:H9)-SUM(I$7:I9),2))</f>
        <v>3726</v>
      </c>
      <c r="K9" s="54" t="s">
        <v>353</v>
      </c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السبت</v>
      </c>
      <c r="C10" s="63" t="n">
        <v>46312</v>
      </c>
      <c r="D10" s="64" t="s">
        <v>354</v>
      </c>
      <c r="E10" s="65"/>
      <c r="F10" s="66"/>
      <c r="G10" s="62"/>
      <c r="H10" s="67"/>
      <c r="I10" s="67" t="n">
        <v>3726</v>
      </c>
      <c r="J10" s="68" t="n">
        <f aca="false">IF(COUNTA(C10:D10)=0,"",ROUND(SUM(H$7:H10)-SUM(I$7:I10),2))</f>
        <v>0</v>
      </c>
      <c r="K10" s="62" t="s">
        <v>355</v>
      </c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الأحد</v>
      </c>
      <c r="C11" s="55" t="n">
        <v>46313</v>
      </c>
      <c r="D11" s="56" t="s">
        <v>91</v>
      </c>
      <c r="E11" s="57" t="n">
        <v>20</v>
      </c>
      <c r="F11" s="58" t="n">
        <v>8</v>
      </c>
      <c r="G11" s="54" t="n">
        <v>1.15</v>
      </c>
      <c r="H11" s="59" t="n">
        <f aca="false">ROUND(E11*F11*IF(G11&gt;1,G11,1),2)</f>
        <v>184</v>
      </c>
      <c r="I11" s="59"/>
      <c r="J11" s="60" t="n">
        <f aca="false">IF(COUNTA(C11:D11)=0,"",ROUND(SUM(H$7:H11)-SUM(I$7:I11),2))</f>
        <v>184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الاثنين</v>
      </c>
      <c r="C12" s="63" t="n">
        <v>46314</v>
      </c>
      <c r="D12" s="64" t="s">
        <v>356</v>
      </c>
      <c r="E12" s="65"/>
      <c r="F12" s="66"/>
      <c r="G12" s="62"/>
      <c r="H12" s="67"/>
      <c r="I12" s="67" t="n">
        <v>184</v>
      </c>
      <c r="J12" s="68" t="n">
        <f aca="false">IF(COUNTA(C12:D12)=0,"",ROUND(SUM(H$7:H12)-SUM(I$7:I12),2))</f>
        <v>0</v>
      </c>
      <c r="K12" s="62" t="s">
        <v>357</v>
      </c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الثلاثاء</v>
      </c>
      <c r="C13" s="55" t="n">
        <v>46315</v>
      </c>
      <c r="D13" s="56" t="s">
        <v>84</v>
      </c>
      <c r="E13" s="57" t="n">
        <v>41</v>
      </c>
      <c r="F13" s="58" t="n">
        <v>38</v>
      </c>
      <c r="G13" s="54" t="n">
        <v>1.15</v>
      </c>
      <c r="H13" s="59" t="n">
        <f aca="false">ROUND(E13*F13*IF(G13&gt;1,G13,1),2)</f>
        <v>1791.7</v>
      </c>
      <c r="I13" s="59"/>
      <c r="J13" s="60" t="n">
        <f aca="false">IF(COUNTA(C13:D13)=0,"",ROUND(SUM(H$7:H13)-SUM(I$7:I13),2))</f>
        <v>1791.7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46316</v>
      </c>
      <c r="D14" s="64" t="s">
        <v>84</v>
      </c>
      <c r="E14" s="65" t="n">
        <v>32</v>
      </c>
      <c r="F14" s="66" t="n">
        <v>37</v>
      </c>
      <c r="G14" s="62" t="n">
        <v>1.15</v>
      </c>
      <c r="H14" s="67" t="n">
        <f aca="false">ROUND(E14*F14*IF(G14&gt;1,G14,1),2)</f>
        <v>1361.6</v>
      </c>
      <c r="I14" s="67"/>
      <c r="J14" s="68" t="n">
        <f aca="false">IF(COUNTA(C14:D14)=0,"",ROUND(SUM(H$7:H14)-SUM(I$7:I14),2))</f>
        <v>3153.3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الأربعاء</v>
      </c>
      <c r="C15" s="55" t="n">
        <v>46316</v>
      </c>
      <c r="D15" s="56" t="s">
        <v>93</v>
      </c>
      <c r="E15" s="57" t="n">
        <v>30</v>
      </c>
      <c r="F15" s="58" t="n">
        <v>8</v>
      </c>
      <c r="G15" s="54" t="n">
        <v>1.15</v>
      </c>
      <c r="H15" s="59" t="n">
        <f aca="false">ROUND(E15*F15*IF(G15&gt;1,G15,1),2)</f>
        <v>276</v>
      </c>
      <c r="I15" s="59"/>
      <c r="J15" s="60" t="n">
        <f aca="false">IF(COUNTA(C15:D15)=0,"",ROUND(SUM(H$7:H15)-SUM(I$7:I15),2))</f>
        <v>3429.3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الأربعاء</v>
      </c>
      <c r="C16" s="63" t="n">
        <v>46316</v>
      </c>
      <c r="D16" s="64" t="s">
        <v>95</v>
      </c>
      <c r="E16" s="65" t="n">
        <v>5</v>
      </c>
      <c r="F16" s="66" t="n">
        <v>8</v>
      </c>
      <c r="G16" s="62" t="n">
        <v>1.15</v>
      </c>
      <c r="H16" s="67" t="n">
        <f aca="false">ROUND(E16*F16*IF(G16&gt;1,G16,1),2)</f>
        <v>46</v>
      </c>
      <c r="I16" s="67"/>
      <c r="J16" s="68" t="n">
        <f aca="false">IF(COUNTA(C16:D16)=0,"",ROUND(SUM(H$7:H16)-SUM(I$7:I16),2))</f>
        <v>3475.3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الأربعاء</v>
      </c>
      <c r="C17" s="55" t="n">
        <v>46316</v>
      </c>
      <c r="D17" s="56" t="s">
        <v>87</v>
      </c>
      <c r="E17" s="57" t="n">
        <v>37</v>
      </c>
      <c r="F17" s="58" t="n">
        <v>12</v>
      </c>
      <c r="G17" s="54" t="n">
        <v>1.15</v>
      </c>
      <c r="H17" s="59" t="n">
        <f aca="false">ROUND(E17*F17*IF(G17&gt;1,G17,1),2)</f>
        <v>510.6</v>
      </c>
      <c r="I17" s="59"/>
      <c r="J17" s="60" t="n">
        <f aca="false">IF(COUNTA(C17:D17)=0,"",ROUND(SUM(H$7:H17)-SUM(I$7:I17),2))</f>
        <v>3985.9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الخميس</v>
      </c>
      <c r="C18" s="63" t="n">
        <v>46317</v>
      </c>
      <c r="D18" s="64" t="s">
        <v>358</v>
      </c>
      <c r="E18" s="65"/>
      <c r="F18" s="66"/>
      <c r="G18" s="62"/>
      <c r="H18" s="67"/>
      <c r="I18" s="67" t="n">
        <v>1791</v>
      </c>
      <c r="J18" s="68" t="n">
        <f aca="false">IF(COUNTA(C18:D18)=0,"",ROUND(SUM(H$7:H18)-SUM(I$7:I18),2))</f>
        <v>2194.9</v>
      </c>
      <c r="K18" s="62" t="s">
        <v>359</v>
      </c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الخميس</v>
      </c>
      <c r="C19" s="55" t="n">
        <v>46317</v>
      </c>
      <c r="D19" s="56" t="s">
        <v>84</v>
      </c>
      <c r="E19" s="57" t="n">
        <v>39</v>
      </c>
      <c r="F19" s="58" t="n">
        <v>35</v>
      </c>
      <c r="G19" s="54" t="n">
        <v>1.15</v>
      </c>
      <c r="H19" s="59" t="n">
        <f aca="false">ROUND(E19*F19*IF(G19&gt;1,G19,1),2)</f>
        <v>1569.75</v>
      </c>
      <c r="I19" s="59"/>
      <c r="J19" s="60" t="n">
        <f aca="false">IF(COUNTA(C19:D19)=0,"",ROUND(SUM(H$7:H19)-SUM(I$7:I19),2))</f>
        <v>3764.65</v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الخميس</v>
      </c>
      <c r="C20" s="63" t="n">
        <v>46317</v>
      </c>
      <c r="D20" s="64" t="s">
        <v>97</v>
      </c>
      <c r="E20" s="65" t="n">
        <v>35</v>
      </c>
      <c r="F20" s="66" t="n">
        <v>67</v>
      </c>
      <c r="G20" s="62" t="n">
        <v>1.15</v>
      </c>
      <c r="H20" s="67" t="n">
        <f aca="false">ROUND(E20*F20*IF(G20&gt;1,G20,1),2)</f>
        <v>2696.75</v>
      </c>
      <c r="I20" s="67"/>
      <c r="J20" s="68" t="n">
        <f aca="false">IF(COUNTA(C20:D20)=0,"",ROUND(SUM(H$7:H20)-SUM(I$7:I20),2))</f>
        <v>6461.4</v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الجمعة</v>
      </c>
      <c r="C21" s="55" t="n">
        <v>46318</v>
      </c>
      <c r="D21" s="56" t="s">
        <v>84</v>
      </c>
      <c r="E21" s="57" t="n">
        <v>57</v>
      </c>
      <c r="F21" s="58" t="n">
        <v>35</v>
      </c>
      <c r="G21" s="54" t="n">
        <v>1.15</v>
      </c>
      <c r="H21" s="59" t="n">
        <f aca="false">ROUND(E21*F21*IF(G21&gt;1,G21,1),2)</f>
        <v>2294.25</v>
      </c>
      <c r="I21" s="59"/>
      <c r="J21" s="60" t="n">
        <f aca="false">IF(COUNTA(C21:D21)=0,"",ROUND(SUM(H$7:H21)-SUM(I$7:I21),2))</f>
        <v>8755.65</v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>الجمعة</v>
      </c>
      <c r="C22" s="63" t="n">
        <v>46318</v>
      </c>
      <c r="D22" s="64" t="s">
        <v>97</v>
      </c>
      <c r="E22" s="65" t="n">
        <v>30</v>
      </c>
      <c r="F22" s="66" t="n">
        <v>66</v>
      </c>
      <c r="G22" s="62" t="n">
        <v>1.15</v>
      </c>
      <c r="H22" s="67" t="n">
        <f aca="false">ROUND(E22*F22*IF(G22&gt;1,G22,1),2)</f>
        <v>2277</v>
      </c>
      <c r="I22" s="67"/>
      <c r="J22" s="68" t="n">
        <f aca="false">IF(COUNTA(C22:D22)=0,"",ROUND(SUM(H$7:H22)-SUM(I$7:I22),2))</f>
        <v>11032.65</v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>الجمعة</v>
      </c>
      <c r="C23" s="55" t="n">
        <v>46318</v>
      </c>
      <c r="D23" s="56" t="s">
        <v>360</v>
      </c>
      <c r="E23" s="57"/>
      <c r="F23" s="58"/>
      <c r="G23" s="54"/>
      <c r="H23" s="59"/>
      <c r="I23" s="59" t="n">
        <v>2194</v>
      </c>
      <c r="J23" s="60" t="n">
        <f aca="false">IF(COUNTA(C23:D23)=0,"",ROUND(SUM(H$7:H23)-SUM(I$7:I23),2))</f>
        <v>8838.65</v>
      </c>
      <c r="K23" s="54" t="s">
        <v>361</v>
      </c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>السبت</v>
      </c>
      <c r="C24" s="63" t="n">
        <v>46319</v>
      </c>
      <c r="D24" s="64" t="s">
        <v>362</v>
      </c>
      <c r="E24" s="65"/>
      <c r="F24" s="66"/>
      <c r="G24" s="62"/>
      <c r="H24" s="67"/>
      <c r="I24" s="67" t="n">
        <v>4266.5</v>
      </c>
      <c r="J24" s="68" t="n">
        <f aca="false">IF(COUNTA(C24:D24)=0,"",ROUND(SUM(H$7:H24)-SUM(I$7:I24),2))</f>
        <v>4572.15</v>
      </c>
      <c r="K24" s="62" t="s">
        <v>363</v>
      </c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>السبت</v>
      </c>
      <c r="C25" s="55" t="n">
        <v>46319</v>
      </c>
      <c r="D25" s="56" t="s">
        <v>97</v>
      </c>
      <c r="E25" s="57" t="n">
        <v>25</v>
      </c>
      <c r="F25" s="58" t="n">
        <v>63</v>
      </c>
      <c r="G25" s="54" t="n">
        <v>1.15</v>
      </c>
      <c r="H25" s="59" t="n">
        <f aca="false">ROUND(E25*F25*IF(G25&gt;1,G25,1),2)</f>
        <v>1811.25</v>
      </c>
      <c r="I25" s="59"/>
      <c r="J25" s="60" t="n">
        <f aca="false">IF(COUNTA(C25:D25)=0,"",ROUND(SUM(H$7:H25)-SUM(I$7:I25),2))</f>
        <v>6383.4</v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>السبت</v>
      </c>
      <c r="C26" s="63" t="n">
        <v>46319</v>
      </c>
      <c r="D26" s="64" t="s">
        <v>84</v>
      </c>
      <c r="E26" s="65" t="n">
        <v>54</v>
      </c>
      <c r="F26" s="66" t="n">
        <v>34</v>
      </c>
      <c r="G26" s="62" t="n">
        <v>1.15</v>
      </c>
      <c r="H26" s="67" t="n">
        <f aca="false">ROUND(E26*F26*IF(G26&gt;1,G26,1),2)</f>
        <v>2111.4</v>
      </c>
      <c r="I26" s="67"/>
      <c r="J26" s="68" t="n">
        <f aca="false">IF(COUNTA(C26:D26)=0,"",ROUND(SUM(H$7:H26)-SUM(I$7:I26),2))</f>
        <v>8494.8</v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>الأحد</v>
      </c>
      <c r="C27" s="55" t="n">
        <v>46320</v>
      </c>
      <c r="D27" s="56" t="s">
        <v>364</v>
      </c>
      <c r="E27" s="57"/>
      <c r="F27" s="58"/>
      <c r="G27" s="54"/>
      <c r="H27" s="59"/>
      <c r="I27" s="59" t="n">
        <v>4570</v>
      </c>
      <c r="J27" s="60" t="n">
        <f aca="false">IF(COUNTA(C27:D27)=0,"",ROUND(SUM(H$7:H27)-SUM(I$7:I27),2))</f>
        <v>3924.8</v>
      </c>
      <c r="K27" s="54" t="s">
        <v>365</v>
      </c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>الأحد</v>
      </c>
      <c r="C28" s="63" t="n">
        <v>46320</v>
      </c>
      <c r="D28" s="64" t="s">
        <v>79</v>
      </c>
      <c r="E28" s="65" t="n">
        <v>40</v>
      </c>
      <c r="F28" s="66" t="n">
        <v>58</v>
      </c>
      <c r="G28" s="62" t="n">
        <v>1.15</v>
      </c>
      <c r="H28" s="67" t="n">
        <f aca="false">ROUND(E28*F28*IF(G28&gt;1,G28,1),2)</f>
        <v>2668</v>
      </c>
      <c r="I28" s="67"/>
      <c r="J28" s="68" t="n">
        <f aca="false">IF(COUNTA(C28:D28)=0,"",ROUND(SUM(H$7:H28)-SUM(I$7:I28),2))</f>
        <v>6592.8</v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>الأحد</v>
      </c>
      <c r="C29" s="55" t="n">
        <v>46320</v>
      </c>
      <c r="D29" s="56" t="s">
        <v>112</v>
      </c>
      <c r="E29" s="57" t="n">
        <v>85</v>
      </c>
      <c r="F29" s="58" t="n">
        <v>14</v>
      </c>
      <c r="G29" s="54" t="n">
        <v>1.15</v>
      </c>
      <c r="H29" s="59" t="n">
        <f aca="false">ROUND(E29*F29*IF(G29&gt;1,G29,1),2)</f>
        <v>1368.5</v>
      </c>
      <c r="I29" s="59"/>
      <c r="J29" s="60" t="n">
        <f aca="false">IF(COUNTA(C29:D29)=0,"",ROUND(SUM(H$7:H29)-SUM(I$7:I29),2))</f>
        <v>7961.3</v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>الأحد</v>
      </c>
      <c r="C30" s="63" t="n">
        <v>46320</v>
      </c>
      <c r="D30" s="64" t="s">
        <v>97</v>
      </c>
      <c r="E30" s="65" t="n">
        <v>42</v>
      </c>
      <c r="F30" s="66" t="n">
        <v>61</v>
      </c>
      <c r="G30" s="62" t="n">
        <v>1.15</v>
      </c>
      <c r="H30" s="67" t="n">
        <f aca="false">ROUND(E30*F30*IF(G30&gt;1,G30,1),2)</f>
        <v>2946.3</v>
      </c>
      <c r="I30" s="67"/>
      <c r="J30" s="68" t="n">
        <f aca="false">IF(COUNTA(C30:D30)=0,"",ROUND(SUM(H$7:H30)-SUM(I$7:I30),2))</f>
        <v>10907.6</v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>الأحد</v>
      </c>
      <c r="C31" s="55" t="n">
        <v>46320</v>
      </c>
      <c r="D31" s="56" t="s">
        <v>84</v>
      </c>
      <c r="E31" s="57" t="n">
        <v>62</v>
      </c>
      <c r="F31" s="58" t="n">
        <v>33</v>
      </c>
      <c r="G31" s="54" t="n">
        <v>1.15</v>
      </c>
      <c r="H31" s="59" t="n">
        <f aca="false">ROUND(E31*F31*IF(G31&gt;1,G31,1),2)</f>
        <v>2352.9</v>
      </c>
      <c r="I31" s="59"/>
      <c r="J31" s="60" t="n">
        <f aca="false">IF(COUNTA(C31:D31)=0,"",ROUND(SUM(H$7:H31)-SUM(I$7:I31),2))</f>
        <v>13260.5</v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>الاثنين</v>
      </c>
      <c r="C32" s="63" t="n">
        <v>46321</v>
      </c>
      <c r="D32" s="64" t="s">
        <v>366</v>
      </c>
      <c r="E32" s="65"/>
      <c r="F32" s="66"/>
      <c r="G32" s="62"/>
      <c r="H32" s="67"/>
      <c r="I32" s="67" t="n">
        <v>3922</v>
      </c>
      <c r="J32" s="68" t="n">
        <f aca="false">IF(COUNTA(C32:D32)=0,"",ROUND(SUM(H$7:H32)-SUM(I$7:I32),2))</f>
        <v>9338.5</v>
      </c>
      <c r="K32" s="62" t="s">
        <v>367</v>
      </c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>الاثنين</v>
      </c>
      <c r="C33" s="55" t="n">
        <v>46321</v>
      </c>
      <c r="D33" s="56" t="s">
        <v>97</v>
      </c>
      <c r="E33" s="57" t="n">
        <v>40</v>
      </c>
      <c r="F33" s="58" t="n">
        <v>61</v>
      </c>
      <c r="G33" s="54" t="n">
        <v>1.15</v>
      </c>
      <c r="H33" s="59" t="n">
        <f aca="false">ROUND(E33*F33*IF(G33&gt;1,G33,1),2)</f>
        <v>2806</v>
      </c>
      <c r="I33" s="59"/>
      <c r="J33" s="60" t="n">
        <f aca="false">IF(COUNTA(C33:D33)=0,"",ROUND(SUM(H$7:H33)-SUM(I$7:I33),2))</f>
        <v>12144.5</v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>الاثنين</v>
      </c>
      <c r="C34" s="63" t="n">
        <v>46321</v>
      </c>
      <c r="D34" s="64" t="s">
        <v>112</v>
      </c>
      <c r="E34" s="65" t="n">
        <v>35</v>
      </c>
      <c r="F34" s="66" t="n">
        <v>13</v>
      </c>
      <c r="G34" s="62" t="n">
        <v>1.15</v>
      </c>
      <c r="H34" s="67" t="n">
        <f aca="false">ROUND(E34*F34*IF(G34&gt;1,G34,1),2)</f>
        <v>523.25</v>
      </c>
      <c r="I34" s="67"/>
      <c r="J34" s="68" t="n">
        <f aca="false">IF(COUNTA(C34:D34)=0,"",ROUND(SUM(H$7:H34)-SUM(I$7:I34),2))</f>
        <v>12667.75</v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>الثلاثاء</v>
      </c>
      <c r="C35" s="55" t="n">
        <v>46322</v>
      </c>
      <c r="D35" s="56" t="s">
        <v>368</v>
      </c>
      <c r="E35" s="57"/>
      <c r="F35" s="58"/>
      <c r="G35" s="54"/>
      <c r="H35" s="59"/>
      <c r="I35" s="59" t="n">
        <v>9335</v>
      </c>
      <c r="J35" s="60" t="n">
        <f aca="false">IF(COUNTA(C35:D35)=0,"",ROUND(SUM(H$7:H35)-SUM(I$7:I35),2))</f>
        <v>3332.75</v>
      </c>
      <c r="K35" s="54" t="s">
        <v>369</v>
      </c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>الثلاثاء</v>
      </c>
      <c r="C36" s="63" t="n">
        <v>46322</v>
      </c>
      <c r="D36" s="64" t="s">
        <v>84</v>
      </c>
      <c r="E36" s="65" t="n">
        <v>52</v>
      </c>
      <c r="F36" s="66" t="n">
        <v>35</v>
      </c>
      <c r="G36" s="62" t="n">
        <v>1.15</v>
      </c>
      <c r="H36" s="67" t="n">
        <f aca="false">ROUND(E36*F36*IF(G36&gt;1,G36,1),2)</f>
        <v>2093</v>
      </c>
      <c r="I36" s="67"/>
      <c r="J36" s="68" t="n">
        <f aca="false">IF(COUNTA(C36:D36)=0,"",ROUND(SUM(H$7:H36)-SUM(I$7:I36),2))</f>
        <v>5425.75</v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>الأربعاء</v>
      </c>
      <c r="C37" s="55" t="n">
        <v>46323</v>
      </c>
      <c r="D37" s="56" t="s">
        <v>370</v>
      </c>
      <c r="E37" s="57"/>
      <c r="F37" s="58"/>
      <c r="G37" s="54"/>
      <c r="H37" s="59"/>
      <c r="I37" s="59" t="n">
        <v>3329</v>
      </c>
      <c r="J37" s="60" t="n">
        <f aca="false">IF(COUNTA(C37:D37)=0,"",ROUND(SUM(H$7:H37)-SUM(I$7:I37),2))</f>
        <v>2096.75</v>
      </c>
      <c r="K37" s="54" t="s">
        <v>371</v>
      </c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>الأربعاء</v>
      </c>
      <c r="C38" s="63" t="n">
        <v>46323</v>
      </c>
      <c r="D38" s="64" t="s">
        <v>93</v>
      </c>
      <c r="E38" s="65" t="n">
        <v>32</v>
      </c>
      <c r="F38" s="66" t="n">
        <v>43</v>
      </c>
      <c r="G38" s="62" t="n">
        <v>1.15</v>
      </c>
      <c r="H38" s="67" t="n">
        <f aca="false">ROUND(E38*F38*IF(G38&gt;1,G38,1),2)</f>
        <v>1582.4</v>
      </c>
      <c r="I38" s="67"/>
      <c r="J38" s="68" t="n">
        <f aca="false">IF(COUNTA(C38:D38)=0,"",ROUND(SUM(H$7:H38)-SUM(I$7:I38),2))</f>
        <v>3679.15</v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>الأربعاء</v>
      </c>
      <c r="C39" s="55" t="n">
        <v>46323</v>
      </c>
      <c r="D39" s="56" t="s">
        <v>95</v>
      </c>
      <c r="E39" s="57" t="n">
        <v>25</v>
      </c>
      <c r="F39" s="58" t="n">
        <v>30</v>
      </c>
      <c r="G39" s="54" t="n">
        <v>1.15</v>
      </c>
      <c r="H39" s="59" t="n">
        <f aca="false">ROUND(E39*F39*IF(G39&gt;1,G39,1),2)</f>
        <v>862.5</v>
      </c>
      <c r="I39" s="59"/>
      <c r="J39" s="60" t="n">
        <f aca="false">IF(COUNTA(C39:D39)=0,"",ROUND(SUM(H$7:H39)-SUM(I$7:I39),2))</f>
        <v>4541.65</v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>الأربعاء</v>
      </c>
      <c r="C40" s="63" t="n">
        <v>46323</v>
      </c>
      <c r="D40" s="64" t="s">
        <v>84</v>
      </c>
      <c r="E40" s="65" t="n">
        <v>52</v>
      </c>
      <c r="F40" s="66" t="n">
        <v>35</v>
      </c>
      <c r="G40" s="62" t="n">
        <v>1.15</v>
      </c>
      <c r="H40" s="67" t="n">
        <f aca="false">ROUND(E40*F40*IF(G40&gt;1,G40,1),2)</f>
        <v>2093</v>
      </c>
      <c r="I40" s="67"/>
      <c r="J40" s="68" t="n">
        <f aca="false">IF(COUNTA(C40:D40)=0,"",ROUND(SUM(H$7:H40)-SUM(I$7:I40),2))</f>
        <v>6634.65</v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>الأربعاء</v>
      </c>
      <c r="C41" s="55" t="n">
        <v>46323</v>
      </c>
      <c r="D41" s="56" t="s">
        <v>113</v>
      </c>
      <c r="E41" s="57" t="n">
        <v>5</v>
      </c>
      <c r="F41" s="58" t="n">
        <v>64</v>
      </c>
      <c r="G41" s="54" t="n">
        <v>1.15</v>
      </c>
      <c r="H41" s="59" t="n">
        <f aca="false">ROUND(E41*F41*IF(G41&gt;1,G41,1),2)</f>
        <v>368</v>
      </c>
      <c r="I41" s="59"/>
      <c r="J41" s="60" t="n">
        <f aca="false">IF(COUNTA(C41:D41)=0,"",ROUND(SUM(H$7:H41)-SUM(I$7:I41),2))</f>
        <v>7002.65</v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>الخميس</v>
      </c>
      <c r="C42" s="63" t="n">
        <v>46324</v>
      </c>
      <c r="D42" s="64" t="s">
        <v>372</v>
      </c>
      <c r="E42" s="65"/>
      <c r="F42" s="66"/>
      <c r="G42" s="62"/>
      <c r="H42" s="67"/>
      <c r="I42" s="67" t="n">
        <v>2090</v>
      </c>
      <c r="J42" s="68" t="n">
        <f aca="false">IF(COUNTA(C42:D42)=0,"",ROUND(SUM(H$7:H42)-SUM(I$7:I42),2))</f>
        <v>4912.65</v>
      </c>
      <c r="K42" s="62" t="s">
        <v>373</v>
      </c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>الخميس</v>
      </c>
      <c r="C43" s="55" t="n">
        <v>46324</v>
      </c>
      <c r="D43" s="56" t="s">
        <v>374</v>
      </c>
      <c r="E43" s="57"/>
      <c r="F43" s="58"/>
      <c r="G43" s="54"/>
      <c r="H43" s="59"/>
      <c r="I43" s="59" t="n">
        <v>3</v>
      </c>
      <c r="J43" s="60" t="n">
        <f aca="false">IF(COUNTA(C43:D43)=0,"",ROUND(SUM(H$7:H43)-SUM(I$7:I43),2))</f>
        <v>4909.65</v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>الخميس</v>
      </c>
      <c r="C44" s="63" t="n">
        <v>46324</v>
      </c>
      <c r="D44" s="64" t="s">
        <v>93</v>
      </c>
      <c r="E44" s="65" t="n">
        <v>42</v>
      </c>
      <c r="F44" s="66" t="n">
        <v>43</v>
      </c>
      <c r="G44" s="62" t="n">
        <v>1.15</v>
      </c>
      <c r="H44" s="67" t="n">
        <f aca="false">ROUND(E44*F44*IF(G44&gt;1,G44,1),2)</f>
        <v>2076.9</v>
      </c>
      <c r="I44" s="67"/>
      <c r="J44" s="68" t="n">
        <f aca="false">IF(COUNTA(C44:D44)=0,"",ROUND(SUM(H$7:H44)-SUM(I$7:I44),2))</f>
        <v>6986.55</v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>الخميس</v>
      </c>
      <c r="C45" s="55" t="n">
        <v>46324</v>
      </c>
      <c r="D45" s="56" t="s">
        <v>95</v>
      </c>
      <c r="E45" s="57" t="n">
        <v>34</v>
      </c>
      <c r="F45" s="58" t="n">
        <v>31</v>
      </c>
      <c r="G45" s="54" t="n">
        <v>1.15</v>
      </c>
      <c r="H45" s="59" t="n">
        <f aca="false">ROUND(E45*F45*IF(G45&gt;1,G45,1),2)</f>
        <v>1212.1</v>
      </c>
      <c r="I45" s="59"/>
      <c r="J45" s="60" t="n">
        <f aca="false">IF(COUNTA(C45:D45)=0,"",ROUND(SUM(H$7:H45)-SUM(I$7:I45),2))</f>
        <v>8198.65</v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>الخميس</v>
      </c>
      <c r="C46" s="63" t="n">
        <v>46324</v>
      </c>
      <c r="D46" s="64" t="s">
        <v>84</v>
      </c>
      <c r="E46" s="65" t="n">
        <v>69</v>
      </c>
      <c r="F46" s="66" t="n">
        <v>34</v>
      </c>
      <c r="G46" s="62" t="n">
        <v>1.15</v>
      </c>
      <c r="H46" s="67" t="n">
        <f aca="false">ROUND(E46*F46*IF(G46&gt;1,G46,1),2)</f>
        <v>2697.9</v>
      </c>
      <c r="I46" s="67"/>
      <c r="J46" s="68" t="n">
        <f aca="false">IF(COUNTA(C46:D46)=0,"",ROUND(SUM(H$7:H46)-SUM(I$7:I46),2))</f>
        <v>10896.55</v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>الخميس</v>
      </c>
      <c r="C47" s="55" t="n">
        <v>46324</v>
      </c>
      <c r="D47" s="56" t="s">
        <v>97</v>
      </c>
      <c r="E47" s="57" t="n">
        <v>60</v>
      </c>
      <c r="F47" s="58" t="n">
        <v>53</v>
      </c>
      <c r="G47" s="54" t="n">
        <v>1.15</v>
      </c>
      <c r="H47" s="59" t="n">
        <f aca="false">ROUND(E47*F47*IF(G47&gt;1,G47,1),2)</f>
        <v>3657</v>
      </c>
      <c r="I47" s="59"/>
      <c r="J47" s="60" t="n">
        <f aca="false">IF(COUNTA(C47:D47)=0,"",ROUND(SUM(H$7:H47)-SUM(I$7:I47),2))</f>
        <v>14553.55</v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>الجمعة</v>
      </c>
      <c r="C48" s="63" t="n">
        <v>46325</v>
      </c>
      <c r="D48" s="64" t="s">
        <v>375</v>
      </c>
      <c r="E48" s="65"/>
      <c r="F48" s="66"/>
      <c r="G48" s="62"/>
      <c r="H48" s="67"/>
      <c r="I48" s="67" t="n">
        <v>4905</v>
      </c>
      <c r="J48" s="68" t="n">
        <f aca="false">IF(COUNTA(C48:D48)=0,"",ROUND(SUM(H$7:H48)-SUM(I$7:I48),2))</f>
        <v>9648.55</v>
      </c>
      <c r="K48" s="62" t="s">
        <v>376</v>
      </c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>الجمعة</v>
      </c>
      <c r="C49" s="55" t="n">
        <v>46325</v>
      </c>
      <c r="D49" s="56" t="s">
        <v>84</v>
      </c>
      <c r="E49" s="57" t="n">
        <v>63</v>
      </c>
      <c r="F49" s="58" t="n">
        <v>34</v>
      </c>
      <c r="G49" s="54" t="n">
        <v>1.15</v>
      </c>
      <c r="H49" s="59" t="n">
        <f aca="false">ROUND(E49*F49*IF(G49&gt;1,G49,1),2)</f>
        <v>2463.3</v>
      </c>
      <c r="I49" s="59"/>
      <c r="J49" s="60" t="n">
        <f aca="false">IF(COUNTA(C49:D49)=0,"",ROUND(SUM(H$7:H49)-SUM(I$7:I49),2))</f>
        <v>12111.85</v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>الجمعة</v>
      </c>
      <c r="C50" s="63" t="n">
        <v>46325</v>
      </c>
      <c r="D50" s="64" t="s">
        <v>113</v>
      </c>
      <c r="E50" s="65" t="n">
        <v>9</v>
      </c>
      <c r="F50" s="66" t="n">
        <v>61</v>
      </c>
      <c r="G50" s="62" t="n">
        <v>1.15</v>
      </c>
      <c r="H50" s="67" t="n">
        <f aca="false">ROUND(E50*F50*IF(G50&gt;1,G50,1),2)</f>
        <v>631.35</v>
      </c>
      <c r="I50" s="67"/>
      <c r="J50" s="68" t="n">
        <f aca="false">IF(COUNTA(C50:D50)=0,"",ROUND(SUM(H$7:H50)-SUM(I$7:I50),2))</f>
        <v>12743.2</v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  <row r="59" customFormat="false" ht="1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/>
      </c>
      <c r="C59" s="70"/>
      <c r="D59" s="56"/>
      <c r="E59" s="71"/>
      <c r="F59" s="72"/>
      <c r="G59" s="73"/>
      <c r="H59" s="74"/>
      <c r="I59" s="74"/>
      <c r="J59" s="60" t="str">
        <f aca="false">IF(COUNTA(C59:D59)=0,"",ROUND(SUM(H$7:H59)-SUM(I$7:I59),2))</f>
        <v/>
      </c>
      <c r="K59" s="54"/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/>
      </c>
      <c r="C60" s="70"/>
      <c r="D60" s="64"/>
      <c r="E60" s="71"/>
      <c r="F60" s="72"/>
      <c r="G60" s="73"/>
      <c r="H60" s="74"/>
      <c r="I60" s="74"/>
      <c r="J60" s="68" t="str">
        <f aca="false">IF(COUNTA(C60:D60)=0,"",ROUND(SUM(H$7:H60)-SUM(I$7:I60),2))</f>
        <v/>
      </c>
      <c r="K60" s="62"/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/>
      </c>
      <c r="C61" s="70"/>
      <c r="D61" s="56"/>
      <c r="E61" s="71"/>
      <c r="F61" s="72"/>
      <c r="G61" s="73"/>
      <c r="H61" s="74"/>
      <c r="I61" s="74"/>
      <c r="J61" s="60" t="str">
        <f aca="false">IF(COUNTA(C61:D61)=0,"",ROUND(SUM(H$7:H61)-SUM(I$7:I61),2))</f>
        <v/>
      </c>
      <c r="K61" s="54"/>
      <c r="L61" s="56"/>
    </row>
    <row r="62" customFormat="false" ht="15" hidden="false" customHeight="false" outlineLevel="0" collapsed="false">
      <c r="B62" s="62" t="str">
        <f aca="false">IF(C62="","",CHOOSE(WEEKDAY(C62),"الأحد","الاثنين","الثلاثاء","الأربعاء","الخميس","الجمعة","السبت"))</f>
        <v/>
      </c>
      <c r="C62" s="70"/>
      <c r="D62" s="64"/>
      <c r="E62" s="71"/>
      <c r="F62" s="72"/>
      <c r="G62" s="73"/>
      <c r="H62" s="74"/>
      <c r="I62" s="74"/>
      <c r="J62" s="68" t="str">
        <f aca="false">IF(COUNTA(C62:D62)=0,"",ROUND(SUM(H$7:H62)-SUM(I$7:I62),2))</f>
        <v/>
      </c>
      <c r="K62" s="62"/>
      <c r="L62" s="64"/>
    </row>
    <row r="63" customFormat="false" ht="15" hidden="false" customHeight="false" outlineLevel="0" collapsed="false">
      <c r="B63" s="54" t="str">
        <f aca="false">IF(C63="","",CHOOSE(WEEKDAY(C63),"الأحد","الاثنين","الثلاثاء","الأربعاء","الخميس","الجمعة","السبت"))</f>
        <v/>
      </c>
      <c r="C63" s="70"/>
      <c r="D63" s="56"/>
      <c r="E63" s="71"/>
      <c r="F63" s="72"/>
      <c r="G63" s="73"/>
      <c r="H63" s="74"/>
      <c r="I63" s="74"/>
      <c r="J63" s="60" t="str">
        <f aca="false">IF(COUNTA(C63:D63)=0,"",ROUND(SUM(H$7:H63)-SUM(I$7:I63),2))</f>
        <v/>
      </c>
      <c r="K63" s="54"/>
      <c r="L63" s="56"/>
    </row>
    <row r="64" customFormat="false" ht="15" hidden="false" customHeight="false" outlineLevel="0" collapsed="false">
      <c r="B64" s="62" t="str">
        <f aca="false">IF(C64="","",CHOOSE(WEEKDAY(C64),"الأحد","الاثنين","الثلاثاء","الأربعاء","الخميس","الجمعة","السبت"))</f>
        <v/>
      </c>
      <c r="C64" s="70"/>
      <c r="D64" s="64"/>
      <c r="E64" s="71"/>
      <c r="F64" s="72"/>
      <c r="G64" s="73"/>
      <c r="H64" s="74"/>
      <c r="I64" s="74"/>
      <c r="J64" s="68" t="str">
        <f aca="false">IF(COUNTA(C64:D64)=0,"",ROUND(SUM(H$7:H64)-SUM(I$7:I64),2))</f>
        <v/>
      </c>
      <c r="K64" s="62"/>
      <c r="L64" s="64"/>
    </row>
    <row r="65" customFormat="false" ht="15" hidden="false" customHeight="false" outlineLevel="0" collapsed="false">
      <c r="B65" s="54" t="str">
        <f aca="false">IF(C65="","",CHOOSE(WEEKDAY(C65),"الأحد","الاثنين","الثلاثاء","الأربعاء","الخميس","الجمعة","السبت"))</f>
        <v/>
      </c>
      <c r="C65" s="70"/>
      <c r="D65" s="56"/>
      <c r="E65" s="71"/>
      <c r="F65" s="72"/>
      <c r="G65" s="73"/>
      <c r="H65" s="74"/>
      <c r="I65" s="74"/>
      <c r="J65" s="60" t="str">
        <f aca="false">IF(COUNTA(C65:D65)=0,"",ROUND(SUM(H$7:H65)-SUM(I$7:I65),2))</f>
        <v/>
      </c>
      <c r="K65" s="54"/>
      <c r="L65" s="56"/>
    </row>
    <row r="66" customFormat="false" ht="15" hidden="false" customHeight="false" outlineLevel="0" collapsed="false">
      <c r="B66" s="62" t="str">
        <f aca="false">IF(C66="","",CHOOSE(WEEKDAY(C66),"الأحد","الاثنين","الثلاثاء","الأربعاء","الخميس","الجمعة","السبت"))</f>
        <v/>
      </c>
      <c r="C66" s="70"/>
      <c r="D66" s="64"/>
      <c r="E66" s="71"/>
      <c r="F66" s="72"/>
      <c r="G66" s="73"/>
      <c r="H66" s="74"/>
      <c r="I66" s="74"/>
      <c r="J66" s="68" t="str">
        <f aca="false">IF(COUNTA(C66:D66)=0,"",ROUND(SUM(H$7:H66)-SUM(I$7:I66),2))</f>
        <v/>
      </c>
      <c r="K66" s="62"/>
      <c r="L66" s="64"/>
    </row>
    <row r="67" customFormat="false" ht="15" hidden="false" customHeight="false" outlineLevel="0" collapsed="false">
      <c r="B67" s="54" t="str">
        <f aca="false">IF(C67="","",CHOOSE(WEEKDAY(C67),"الأحد","الاثنين","الثلاثاء","الأربعاء","الخميس","الجمعة","السبت"))</f>
        <v/>
      </c>
      <c r="C67" s="70"/>
      <c r="D67" s="56"/>
      <c r="E67" s="71"/>
      <c r="F67" s="72"/>
      <c r="G67" s="73"/>
      <c r="H67" s="74"/>
      <c r="I67" s="74"/>
      <c r="J67" s="60" t="str">
        <f aca="false">IF(COUNTA(C67:D67)=0,"",ROUND(SUM(H$7:H67)-SUM(I$7:I67),2))</f>
        <v/>
      </c>
      <c r="K67" s="54"/>
      <c r="L67" s="56"/>
    </row>
    <row r="68" customFormat="false" ht="15" hidden="false" customHeight="false" outlineLevel="0" collapsed="false">
      <c r="B68" s="62" t="str">
        <f aca="false">IF(C68="","",CHOOSE(WEEKDAY(C68),"الأحد","الاثنين","الثلاثاء","الأربعاء","الخميس","الجمعة","السبت"))</f>
        <v/>
      </c>
      <c r="C68" s="70"/>
      <c r="D68" s="64"/>
      <c r="E68" s="71"/>
      <c r="F68" s="72"/>
      <c r="G68" s="73"/>
      <c r="H68" s="74"/>
      <c r="I68" s="74"/>
      <c r="J68" s="68" t="str">
        <f aca="false">IF(COUNTA(C68:D68)=0,"",ROUND(SUM(H$7:H68)-SUM(I$7:I68),2))</f>
        <v/>
      </c>
      <c r="K68" s="62"/>
      <c r="L68" s="64"/>
    </row>
    <row r="69" customFormat="false" ht="15" hidden="false" customHeight="false" outlineLevel="0" collapsed="false">
      <c r="B69" s="54" t="str">
        <f aca="false">IF(C69="","",CHOOSE(WEEKDAY(C69),"الأحد","الاثنين","الثلاثاء","الأربعاء","الخميس","الجمعة","السبت"))</f>
        <v/>
      </c>
      <c r="C69" s="70"/>
      <c r="D69" s="56"/>
      <c r="E69" s="71"/>
      <c r="F69" s="72"/>
      <c r="G69" s="73"/>
      <c r="H69" s="74"/>
      <c r="I69" s="74"/>
      <c r="J69" s="60" t="str">
        <f aca="false">IF(COUNTA(C69:D69)=0,"",ROUND(SUM(H$7:H69)-SUM(I$7:I69),2))</f>
        <v/>
      </c>
      <c r="K69" s="54"/>
      <c r="L69" s="56"/>
    </row>
    <row r="70" customFormat="false" ht="15" hidden="false" customHeight="false" outlineLevel="0" collapsed="false">
      <c r="B70" s="62" t="str">
        <f aca="false">IF(C70="","",CHOOSE(WEEKDAY(C70),"الأحد","الاثنين","الثلاثاء","الأربعاء","الخميس","الجمعة","السبت"))</f>
        <v/>
      </c>
      <c r="C70" s="70"/>
      <c r="D70" s="64"/>
      <c r="E70" s="71"/>
      <c r="F70" s="72"/>
      <c r="G70" s="73"/>
      <c r="H70" s="74"/>
      <c r="I70" s="74"/>
      <c r="J70" s="68" t="str">
        <f aca="false">IF(COUNTA(C70:D70)=0,"",ROUND(SUM(H$7:H70)-SUM(I$7:I70),2))</f>
        <v/>
      </c>
      <c r="K70" s="62"/>
      <c r="L70" s="64"/>
    </row>
    <row r="71" customFormat="false" ht="15" hidden="false" customHeight="false" outlineLevel="0" collapsed="false">
      <c r="B71" s="54" t="str">
        <f aca="false">IF(C71="","",CHOOSE(WEEKDAY(C71),"الأحد","الاثنين","الثلاثاء","الأربعاء","الخميس","الجمعة","السبت"))</f>
        <v/>
      </c>
      <c r="C71" s="70"/>
      <c r="D71" s="56"/>
      <c r="E71" s="71"/>
      <c r="F71" s="72"/>
      <c r="G71" s="73"/>
      <c r="H71" s="74"/>
      <c r="I71" s="74"/>
      <c r="J71" s="60" t="str">
        <f aca="false">IF(COUNTA(C71:D71)=0,"",ROUND(SUM(H$7:H71)-SUM(I$7:I71),2))</f>
        <v/>
      </c>
      <c r="K71" s="54"/>
      <c r="L71" s="56"/>
    </row>
    <row r="72" customFormat="false" ht="15" hidden="false" customHeight="false" outlineLevel="0" collapsed="false">
      <c r="B72" s="62" t="str">
        <f aca="false">IF(C72="","",CHOOSE(WEEKDAY(C72),"الأحد","الاثنين","الثلاثاء","الأربعاء","الخميس","الجمعة","السبت"))</f>
        <v/>
      </c>
      <c r="C72" s="70"/>
      <c r="D72" s="64"/>
      <c r="E72" s="71"/>
      <c r="F72" s="72"/>
      <c r="G72" s="73"/>
      <c r="H72" s="74"/>
      <c r="I72" s="74"/>
      <c r="J72" s="68" t="str">
        <f aca="false">IF(COUNTA(C72:D72)=0,"",ROUND(SUM(H$7:H72)-SUM(I$7:I72),2))</f>
        <v/>
      </c>
      <c r="K72" s="62"/>
      <c r="L72" s="64"/>
    </row>
    <row r="73" customFormat="false" ht="15" hidden="false" customHeight="false" outlineLevel="0" collapsed="false">
      <c r="B73" s="54" t="str">
        <f aca="false">IF(C73="","",CHOOSE(WEEKDAY(C73),"الأحد","الاثنين","الثلاثاء","الأربعاء","الخميس","الجمعة","السبت"))</f>
        <v/>
      </c>
      <c r="C73" s="70"/>
      <c r="D73" s="56"/>
      <c r="E73" s="71"/>
      <c r="F73" s="72"/>
      <c r="G73" s="73"/>
      <c r="H73" s="74"/>
      <c r="I73" s="74"/>
      <c r="J73" s="60" t="str">
        <f aca="false">IF(COUNTA(C73:D73)=0,"",ROUND(SUM(H$7:H73)-SUM(I$7:I73),2))</f>
        <v/>
      </c>
      <c r="K73" s="54"/>
      <c r="L73" s="56"/>
    </row>
    <row r="74" customFormat="false" ht="15" hidden="false" customHeight="false" outlineLevel="0" collapsed="false">
      <c r="B74" s="62" t="str">
        <f aca="false">IF(C74="","",CHOOSE(WEEKDAY(C74),"الأحد","الاثنين","الثلاثاء","الأربعاء","الخميس","الجمعة","السبت"))</f>
        <v/>
      </c>
      <c r="C74" s="70"/>
      <c r="D74" s="64"/>
      <c r="E74" s="71"/>
      <c r="F74" s="72"/>
      <c r="G74" s="73"/>
      <c r="H74" s="74"/>
      <c r="I74" s="74"/>
      <c r="J74" s="68" t="str">
        <f aca="false">IF(COUNTA(C74:D74)=0,"",ROUND(SUM(H$7:H74)-SUM(I$7:I74),2))</f>
        <v/>
      </c>
      <c r="K74" s="62"/>
      <c r="L74" s="64"/>
    </row>
    <row r="75" customFormat="false" ht="15" hidden="false" customHeight="false" outlineLevel="0" collapsed="false">
      <c r="B75" s="54" t="str">
        <f aca="false">IF(C75="","",CHOOSE(WEEKDAY(C75),"الأحد","الاثنين","الثلاثاء","الأربعاء","الخميس","الجمعة","السبت"))</f>
        <v/>
      </c>
      <c r="C75" s="70"/>
      <c r="D75" s="56"/>
      <c r="E75" s="71"/>
      <c r="F75" s="72"/>
      <c r="G75" s="73"/>
      <c r="H75" s="74"/>
      <c r="I75" s="74"/>
      <c r="J75" s="60" t="str">
        <f aca="false">IF(COUNTA(C75:D75)=0,"",ROUND(SUM(H$7:H75)-SUM(I$7:I75),2))</f>
        <v/>
      </c>
      <c r="K75" s="54"/>
      <c r="L75" s="56"/>
    </row>
    <row r="76" customFormat="false" ht="15" hidden="false" customHeight="false" outlineLevel="0" collapsed="false">
      <c r="B76" s="62" t="str">
        <f aca="false">IF(C76="","",CHOOSE(WEEKDAY(C76),"الأحد","الاثنين","الثلاثاء","الأربعاء","الخميس","الجمعة","السبت"))</f>
        <v/>
      </c>
      <c r="C76" s="70"/>
      <c r="D76" s="64"/>
      <c r="E76" s="71"/>
      <c r="F76" s="72"/>
      <c r="G76" s="73"/>
      <c r="H76" s="74"/>
      <c r="I76" s="74"/>
      <c r="J76" s="68" t="str">
        <f aca="false">IF(COUNTA(C76:D76)=0,"",ROUND(SUM(H$7:H76)-SUM(I$7:I76),2))</f>
        <v/>
      </c>
      <c r="K76" s="62"/>
      <c r="L76" s="64"/>
    </row>
    <row r="77" customFormat="false" ht="15" hidden="false" customHeight="false" outlineLevel="0" collapsed="false">
      <c r="B77" s="54" t="str">
        <f aca="false">IF(C77="","",CHOOSE(WEEKDAY(C77),"الأحد","الاثنين","الثلاثاء","الأربعاء","الخميس","الجمعة","السبت"))</f>
        <v/>
      </c>
      <c r="C77" s="70"/>
      <c r="D77" s="56"/>
      <c r="E77" s="71"/>
      <c r="F77" s="72"/>
      <c r="G77" s="73"/>
      <c r="H77" s="74"/>
      <c r="I77" s="74"/>
      <c r="J77" s="60" t="str">
        <f aca="false">IF(COUNTA(C77:D77)=0,"",ROUND(SUM(H$7:H77)-SUM(I$7:I77),2))</f>
        <v/>
      </c>
      <c r="K77" s="54"/>
      <c r="L77" s="56"/>
    </row>
    <row r="78" customFormat="false" ht="15" hidden="false" customHeight="false" outlineLevel="0" collapsed="false">
      <c r="B78" s="62" t="str">
        <f aca="false">IF(C78="","",CHOOSE(WEEKDAY(C78),"الأحد","الاثنين","الثلاثاء","الأربعاء","الخميس","الجمعة","السبت"))</f>
        <v/>
      </c>
      <c r="C78" s="70"/>
      <c r="D78" s="64"/>
      <c r="E78" s="71"/>
      <c r="F78" s="72"/>
      <c r="G78" s="73"/>
      <c r="H78" s="74"/>
      <c r="I78" s="74"/>
      <c r="J78" s="68" t="str">
        <f aca="false">IF(COUNTA(C78:D78)=0,"",ROUND(SUM(H$7:H78)-SUM(I$7:I78),2))</f>
        <v/>
      </c>
      <c r="K78" s="62"/>
      <c r="L78" s="64"/>
    </row>
    <row r="79" customFormat="false" ht="15" hidden="false" customHeight="false" outlineLevel="0" collapsed="false">
      <c r="B79" s="54" t="str">
        <f aca="false">IF(C79="","",CHOOSE(WEEKDAY(C79),"الأحد","الاثنين","الثلاثاء","الأربعاء","الخميس","الجمعة","السبت"))</f>
        <v/>
      </c>
      <c r="C79" s="70"/>
      <c r="D79" s="56"/>
      <c r="E79" s="71"/>
      <c r="F79" s="72"/>
      <c r="G79" s="73"/>
      <c r="H79" s="74"/>
      <c r="I79" s="74"/>
      <c r="J79" s="60" t="str">
        <f aca="false">IF(COUNTA(C79:D79)=0,"",ROUND(SUM(H$7:H79)-SUM(I$7:I79),2))</f>
        <v/>
      </c>
      <c r="K79" s="54"/>
      <c r="L79" s="56"/>
    </row>
    <row r="80" customFormat="false" ht="15" hidden="false" customHeight="false" outlineLevel="0" collapsed="false">
      <c r="B80" s="62" t="str">
        <f aca="false">IF(C80="","",CHOOSE(WEEKDAY(C80),"الأحد","الاثنين","الثلاثاء","الأربعاء","الخميس","الجمعة","السبت"))</f>
        <v/>
      </c>
      <c r="C80" s="70"/>
      <c r="D80" s="64"/>
      <c r="E80" s="71"/>
      <c r="F80" s="72"/>
      <c r="G80" s="73"/>
      <c r="H80" s="74"/>
      <c r="I80" s="74"/>
      <c r="J80" s="68" t="str">
        <f aca="false">IF(COUNTA(C80:D80)=0,"",ROUND(SUM(H$7:H80)-SUM(I$7:I80),2))</f>
        <v/>
      </c>
      <c r="K80" s="62"/>
      <c r="L80" s="64"/>
    </row>
    <row r="81" customFormat="false" ht="15" hidden="false" customHeight="false" outlineLevel="0" collapsed="false">
      <c r="B81" s="54" t="str">
        <f aca="false">IF(C81="","",CHOOSE(WEEKDAY(C81),"الأحد","الاثنين","الثلاثاء","الأربعاء","الخميس","الجمعة","السبت"))</f>
        <v/>
      </c>
      <c r="C81" s="70"/>
      <c r="D81" s="56"/>
      <c r="E81" s="71"/>
      <c r="F81" s="72"/>
      <c r="G81" s="73"/>
      <c r="H81" s="74"/>
      <c r="I81" s="74"/>
      <c r="J81" s="60" t="str">
        <f aca="false">IF(COUNTA(C81:D81)=0,"",ROUND(SUM(H$7:H81)-SUM(I$7:I81),2))</f>
        <v/>
      </c>
      <c r="K81" s="54"/>
      <c r="L81" s="56"/>
    </row>
    <row r="82" customFormat="false" ht="15" hidden="false" customHeight="false" outlineLevel="0" collapsed="false">
      <c r="B82" s="62" t="str">
        <f aca="false">IF(C82="","",CHOOSE(WEEKDAY(C82),"الأحد","الاثنين","الثلاثاء","الأربعاء","الخميس","الجمعة","السبت"))</f>
        <v/>
      </c>
      <c r="C82" s="70"/>
      <c r="D82" s="64"/>
      <c r="E82" s="71"/>
      <c r="F82" s="72"/>
      <c r="G82" s="73"/>
      <c r="H82" s="74"/>
      <c r="I82" s="74"/>
      <c r="J82" s="68" t="str">
        <f aca="false">IF(COUNTA(C82:D82)=0,"",ROUND(SUM(H$7:H82)-SUM(I$7:I82),2))</f>
        <v/>
      </c>
      <c r="K82" s="62"/>
      <c r="L82" s="64"/>
    </row>
    <row r="83" customFormat="false" ht="15" hidden="false" customHeight="false" outlineLevel="0" collapsed="false">
      <c r="B83" s="54" t="str">
        <f aca="false">IF(C83="","",CHOOSE(WEEKDAY(C83),"الأحد","الاثنين","الثلاثاء","الأربعاء","الخميس","الجمعة","السبت"))</f>
        <v/>
      </c>
      <c r="C83" s="70"/>
      <c r="D83" s="56"/>
      <c r="E83" s="71"/>
      <c r="F83" s="72"/>
      <c r="G83" s="73"/>
      <c r="H83" s="74"/>
      <c r="I83" s="74"/>
      <c r="J83" s="60" t="str">
        <f aca="false">IF(COUNTA(C83:D83)=0,"",ROUND(SUM(H$7:H83)-SUM(I$7:I83),2))</f>
        <v/>
      </c>
      <c r="K83" s="54"/>
      <c r="L83" s="56"/>
    </row>
    <row r="84" customFormat="false" ht="15" hidden="false" customHeight="false" outlineLevel="0" collapsed="false">
      <c r="B84" s="62" t="str">
        <f aca="false">IF(C84="","",CHOOSE(WEEKDAY(C84),"الأحد","الاثنين","الثلاثاء","الأربعاء","الخميس","الجمعة","السبت"))</f>
        <v/>
      </c>
      <c r="C84" s="70"/>
      <c r="D84" s="64"/>
      <c r="E84" s="71"/>
      <c r="F84" s="72"/>
      <c r="G84" s="73"/>
      <c r="H84" s="74"/>
      <c r="I84" s="74"/>
      <c r="J84" s="68" t="str">
        <f aca="false">IF(COUNTA(C84:D84)=0,"",ROUND(SUM(H$7:H84)-SUM(I$7:I84),2))</f>
        <v/>
      </c>
      <c r="K84" s="62"/>
      <c r="L84" s="64"/>
    </row>
    <row r="85" customFormat="false" ht="15" hidden="false" customHeight="false" outlineLevel="0" collapsed="false">
      <c r="B85" s="54" t="str">
        <f aca="false">IF(C85="","",CHOOSE(WEEKDAY(C85),"الأحد","الاثنين","الثلاثاء","الأربعاء","الخميس","الجمعة","السبت"))</f>
        <v/>
      </c>
      <c r="C85" s="70"/>
      <c r="D85" s="56"/>
      <c r="E85" s="71"/>
      <c r="F85" s="72"/>
      <c r="G85" s="73"/>
      <c r="H85" s="74"/>
      <c r="I85" s="74"/>
      <c r="J85" s="60" t="str">
        <f aca="false">IF(COUNTA(C85:D85)=0,"",ROUND(SUM(H$7:H85)-SUM(I$7:I85),2))</f>
        <v/>
      </c>
      <c r="K85" s="54"/>
      <c r="L85" s="56"/>
    </row>
    <row r="86" customFormat="false" ht="15" hidden="false" customHeight="false" outlineLevel="0" collapsed="false">
      <c r="B86" s="62" t="str">
        <f aca="false">IF(C86="","",CHOOSE(WEEKDAY(C86),"الأحد","الاثنين","الثلاثاء","الأربعاء","الخميس","الجمعة","السبت"))</f>
        <v/>
      </c>
      <c r="C86" s="70"/>
      <c r="D86" s="64"/>
      <c r="E86" s="71"/>
      <c r="F86" s="72"/>
      <c r="G86" s="73"/>
      <c r="H86" s="74"/>
      <c r="I86" s="74"/>
      <c r="J86" s="68" t="str">
        <f aca="false">IF(COUNTA(C86:D86)=0,"",ROUND(SUM(H$7:H86)-SUM(I$7:I86),2))</f>
        <v/>
      </c>
      <c r="K86" s="62"/>
      <c r="L86" s="64"/>
    </row>
    <row r="87" customFormat="false" ht="15" hidden="false" customHeight="false" outlineLevel="0" collapsed="false">
      <c r="B87" s="54" t="str">
        <f aca="false">IF(C87="","",CHOOSE(WEEKDAY(C87),"الأحد","الاثنين","الثلاثاء","الأربعاء","الخميس","الجمعة","السبت"))</f>
        <v/>
      </c>
      <c r="C87" s="70"/>
      <c r="D87" s="56"/>
      <c r="E87" s="71"/>
      <c r="F87" s="72"/>
      <c r="G87" s="73"/>
      <c r="H87" s="74"/>
      <c r="I87" s="74"/>
      <c r="J87" s="60" t="str">
        <f aca="false">IF(COUNTA(C87:D87)=0,"",ROUND(SUM(H$7:H87)-SUM(I$7:I87),2))</f>
        <v/>
      </c>
      <c r="K87" s="54"/>
      <c r="L87" s="56"/>
    </row>
    <row r="88" customFormat="false" ht="15" hidden="false" customHeight="false" outlineLevel="0" collapsed="false">
      <c r="B88" s="62" t="str">
        <f aca="false">IF(C88="","",CHOOSE(WEEKDAY(C88),"الأحد","الاثنين","الثلاثاء","الأربعاء","الخميس","الجمعة","السبت"))</f>
        <v/>
      </c>
      <c r="C88" s="70"/>
      <c r="D88" s="64"/>
      <c r="E88" s="71"/>
      <c r="F88" s="72"/>
      <c r="G88" s="73"/>
      <c r="H88" s="74"/>
      <c r="I88" s="74"/>
      <c r="J88" s="68" t="str">
        <f aca="false">IF(COUNTA(C88:D88)=0,"",ROUND(SUM(H$7:H88)-SUM(I$7:I88),2))</f>
        <v/>
      </c>
      <c r="K88" s="62"/>
      <c r="L88" s="64"/>
    </row>
    <row r="89" customFormat="false" ht="15" hidden="false" customHeight="false" outlineLevel="0" collapsed="false">
      <c r="B89" s="54" t="str">
        <f aca="false">IF(C89="","",CHOOSE(WEEKDAY(C89),"الأحد","الاثنين","الثلاثاء","الأربعاء","الخميس","الجمعة","السبت"))</f>
        <v/>
      </c>
      <c r="C89" s="70"/>
      <c r="D89" s="56"/>
      <c r="E89" s="71"/>
      <c r="F89" s="72"/>
      <c r="G89" s="73"/>
      <c r="H89" s="74"/>
      <c r="I89" s="74"/>
      <c r="J89" s="60" t="str">
        <f aca="false">IF(COUNTA(C89:D89)=0,"",ROUND(SUM(H$7:H89)-SUM(I$7:I89),2))</f>
        <v/>
      </c>
      <c r="K89" s="54"/>
      <c r="L89" s="56"/>
    </row>
    <row r="90" customFormat="false" ht="15" hidden="false" customHeight="false" outlineLevel="0" collapsed="false">
      <c r="B90" s="62" t="str">
        <f aca="false">IF(C90="","",CHOOSE(WEEKDAY(C90),"الأحد","الاثنين","الثلاثاء","الأربعاء","الخميس","الجمعة","السبت"))</f>
        <v/>
      </c>
      <c r="C90" s="70"/>
      <c r="D90" s="64"/>
      <c r="E90" s="71"/>
      <c r="F90" s="72"/>
      <c r="G90" s="73"/>
      <c r="H90" s="74"/>
      <c r="I90" s="74"/>
      <c r="J90" s="68" t="str">
        <f aca="false">IF(COUNTA(C90:D90)=0,"",ROUND(SUM(H$7:H90)-SUM(I$7:I90),2))</f>
        <v/>
      </c>
      <c r="K90" s="62"/>
      <c r="L90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377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46323</v>
      </c>
      <c r="E4" s="48" t="n">
        <f aca="false">IF(COUNT(C7:C1000)=0,"",MAX(C7:C1000))</f>
        <v>46325</v>
      </c>
      <c r="F4" s="49" t="n">
        <f aca="false">SUM(H7:H1000)</f>
        <v>7826</v>
      </c>
      <c r="G4" s="49" t="n">
        <f aca="false">SUM(I7:I1000)</f>
        <v>7826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46325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الأربعاء</v>
      </c>
      <c r="C7" s="55" t="n">
        <v>46323</v>
      </c>
      <c r="D7" s="56" t="s">
        <v>79</v>
      </c>
      <c r="E7" s="57" t="n">
        <v>91</v>
      </c>
      <c r="F7" s="58" t="n">
        <v>86</v>
      </c>
      <c r="G7" s="54" t="n">
        <v>0</v>
      </c>
      <c r="H7" s="59" t="n">
        <f aca="false">ROUND(E7*F7*IF(G7&gt;1,G7,1),2)</f>
        <v>7826</v>
      </c>
      <c r="I7" s="59"/>
      <c r="J7" s="60" t="n">
        <f aca="false">IF(COUNTA(C7:D7)=0,"",ROUND(SUM(H$7:H7)-SUM(I$7:I7),2))</f>
        <v>7826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46323</v>
      </c>
      <c r="D8" s="64" t="s">
        <v>292</v>
      </c>
      <c r="E8" s="65"/>
      <c r="F8" s="66"/>
      <c r="G8" s="62"/>
      <c r="H8" s="67"/>
      <c r="I8" s="67" t="n">
        <v>3000</v>
      </c>
      <c r="J8" s="68" t="n">
        <f aca="false">IF(COUNTA(C8:D8)=0,"",ROUND(SUM(H$7:H8)-SUM(I$7:I8),2))</f>
        <v>4826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الجمعة</v>
      </c>
      <c r="C9" s="55" t="n">
        <v>46325</v>
      </c>
      <c r="D9" s="56" t="s">
        <v>292</v>
      </c>
      <c r="E9" s="57"/>
      <c r="F9" s="58"/>
      <c r="G9" s="54"/>
      <c r="H9" s="59"/>
      <c r="I9" s="59" t="n">
        <v>4740</v>
      </c>
      <c r="J9" s="60" t="n">
        <f aca="false">IF(COUNTA(C9:D9)=0,"",ROUND(SUM(H$7:H9)-SUM(I$7:I9),2))</f>
        <v>86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الجمعة</v>
      </c>
      <c r="C10" s="63" t="n">
        <v>46325</v>
      </c>
      <c r="D10" s="64" t="s">
        <v>378</v>
      </c>
      <c r="E10" s="65"/>
      <c r="F10" s="66"/>
      <c r="G10" s="62"/>
      <c r="H10" s="67"/>
      <c r="I10" s="67" t="n">
        <v>86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379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46322</v>
      </c>
      <c r="E4" s="48" t="n">
        <f aca="false">IF(COUNT(C7:C1000)=0,"",MAX(C7:C1000))</f>
        <v>46324</v>
      </c>
      <c r="F4" s="49" t="n">
        <f aca="false">SUM(H7:H1000)</f>
        <v>2640</v>
      </c>
      <c r="G4" s="49" t="n">
        <f aca="false">SUM(I7:I1000)</f>
        <v>2640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46324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الثلاثاء</v>
      </c>
      <c r="C7" s="55" t="n">
        <v>46322</v>
      </c>
      <c r="D7" s="56" t="s">
        <v>79</v>
      </c>
      <c r="E7" s="57" t="n">
        <v>30</v>
      </c>
      <c r="F7" s="58" t="n">
        <v>88</v>
      </c>
      <c r="G7" s="54" t="n">
        <v>0</v>
      </c>
      <c r="H7" s="59" t="n">
        <f aca="false">ROUND(E7*F7*IF(G7&gt;1,G7,1),2)</f>
        <v>2640</v>
      </c>
      <c r="I7" s="59"/>
      <c r="J7" s="60" t="n">
        <f aca="false">IF(COUNTA(C7:D7)=0,"",ROUND(SUM(H$7:H7)-SUM(I$7:I7),2))</f>
        <v>2640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الخميس</v>
      </c>
      <c r="C8" s="63" t="n">
        <v>46324</v>
      </c>
      <c r="D8" s="64" t="s">
        <v>78</v>
      </c>
      <c r="E8" s="65"/>
      <c r="F8" s="66"/>
      <c r="G8" s="62"/>
      <c r="H8" s="67"/>
      <c r="I8" s="67" t="n">
        <v>2640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380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46324</v>
      </c>
      <c r="E4" s="48" t="n">
        <f aca="false">IF(COUNT(C7:C1000)=0,"",MAX(C7:C1000))</f>
        <v>46324</v>
      </c>
      <c r="F4" s="49" t="n">
        <f aca="false">SUM(H7:H1000)</f>
        <v>3018.75</v>
      </c>
      <c r="G4" s="49" t="n">
        <f aca="false">SUM(I7:I1000)</f>
        <v>0</v>
      </c>
      <c r="H4" s="50" t="n">
        <f aca="false">ROUND(F4-G4,2)</f>
        <v>3018.75</v>
      </c>
      <c r="I4" s="49" t="n">
        <f aca="false">ROUND(SUMPRODUCT((G7:G1000&gt;1)*E7:E1000*F7:F1000*(G7:G1000-1)),2)</f>
        <v>393.75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46324</v>
      </c>
      <c r="D7" s="56" t="s">
        <v>80</v>
      </c>
      <c r="E7" s="57" t="n">
        <v>25</v>
      </c>
      <c r="F7" s="58" t="n">
        <v>105</v>
      </c>
      <c r="G7" s="54" t="n">
        <v>1.15</v>
      </c>
      <c r="H7" s="59" t="n">
        <f aca="false">ROUND(E7*F7*IF(G7&gt;1,G7,1),2)</f>
        <v>3018.75</v>
      </c>
      <c r="I7" s="59"/>
      <c r="J7" s="60" t="n">
        <f aca="false">IF(COUNTA(C7:D7)=0,"",ROUND(SUM(H$7:H7)-SUM(I$7:I7),2))</f>
        <v>3018.75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/>
      </c>
      <c r="C8" s="70"/>
      <c r="D8" s="64"/>
      <c r="E8" s="71"/>
      <c r="F8" s="72"/>
      <c r="G8" s="73"/>
      <c r="H8" s="74"/>
      <c r="I8" s="74"/>
      <c r="J8" s="68" t="str">
        <f aca="false">IF(COUNTA(C8:D8)=0,"",ROUND(SUM(H$7:H8)-SUM(I$7:I8),2))</f>
        <v/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381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46317</v>
      </c>
      <c r="E4" s="48" t="n">
        <f aca="false">IF(COUNT(C7:C1000)=0,"",MAX(C7:C1000))</f>
        <v>46324</v>
      </c>
      <c r="F4" s="49" t="n">
        <f aca="false">SUM(H7:H1000)</f>
        <v>3830</v>
      </c>
      <c r="G4" s="49" t="n">
        <f aca="false">SUM(I7:I1000)</f>
        <v>2600</v>
      </c>
      <c r="H4" s="50" t="n">
        <f aca="false">ROUND(F4-G4,2)</f>
        <v>1230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46321</v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46317</v>
      </c>
      <c r="D7" s="56" t="s">
        <v>80</v>
      </c>
      <c r="E7" s="57" t="n">
        <v>10</v>
      </c>
      <c r="F7" s="58" t="n">
        <v>125</v>
      </c>
      <c r="G7" s="54" t="n">
        <v>0</v>
      </c>
      <c r="H7" s="59" t="n">
        <f aca="false">ROUND(E7*F7*IF(G7&gt;1,G7,1),2)</f>
        <v>1250</v>
      </c>
      <c r="I7" s="59"/>
      <c r="J7" s="60" t="n">
        <f aca="false">IF(COUNTA(C7:D7)=0,"",ROUND(SUM(H$7:H7)-SUM(I$7:I7),2))</f>
        <v>1250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46318</v>
      </c>
      <c r="D8" s="64" t="s">
        <v>78</v>
      </c>
      <c r="E8" s="65"/>
      <c r="F8" s="66"/>
      <c r="G8" s="62"/>
      <c r="H8" s="67"/>
      <c r="I8" s="67" t="n">
        <v>1250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46319</v>
      </c>
      <c r="D9" s="56" t="s">
        <v>80</v>
      </c>
      <c r="E9" s="57" t="n">
        <v>10</v>
      </c>
      <c r="F9" s="58" t="n">
        <v>135</v>
      </c>
      <c r="G9" s="54" t="n">
        <v>0</v>
      </c>
      <c r="H9" s="59" t="n">
        <f aca="false">ROUND(E9*F9*IF(G9&gt;1,G9,1),2)</f>
        <v>1350</v>
      </c>
      <c r="I9" s="59"/>
      <c r="J9" s="60" t="n">
        <f aca="false">IF(COUNTA(C9:D9)=0,"",ROUND(SUM(H$7:H9)-SUM(I$7:I9),2))</f>
        <v>1350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الاثنين</v>
      </c>
      <c r="C10" s="63" t="n">
        <v>46321</v>
      </c>
      <c r="D10" s="64" t="s">
        <v>78</v>
      </c>
      <c r="E10" s="65"/>
      <c r="F10" s="66"/>
      <c r="G10" s="62"/>
      <c r="H10" s="67"/>
      <c r="I10" s="67" t="n">
        <v>1350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الخميس</v>
      </c>
      <c r="C11" s="55" t="n">
        <v>46324</v>
      </c>
      <c r="D11" s="56" t="s">
        <v>80</v>
      </c>
      <c r="E11" s="57" t="n">
        <v>10</v>
      </c>
      <c r="F11" s="58" t="n">
        <v>123</v>
      </c>
      <c r="G11" s="54" t="n">
        <v>0</v>
      </c>
      <c r="H11" s="59" t="n">
        <f aca="false">ROUND(E11*F11*IF(G11&gt;1,G11,1),2)</f>
        <v>1230</v>
      </c>
      <c r="I11" s="59"/>
      <c r="J11" s="60" t="n">
        <f aca="false">IF(COUNTA(C11:D11)=0,"",ROUND(SUM(H$7:H11)-SUM(I$7:I11),2))</f>
        <v>1230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382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46323</v>
      </c>
      <c r="E4" s="48" t="n">
        <f aca="false">IF(COUNT(C7:C1000)=0,"",MAX(C7:C1000))</f>
        <v>46323</v>
      </c>
      <c r="F4" s="49" t="n">
        <f aca="false">SUM(H7:H1000)</f>
        <v>140</v>
      </c>
      <c r="G4" s="49" t="n">
        <f aca="false">SUM(I7:I1000)</f>
        <v>0</v>
      </c>
      <c r="H4" s="50" t="n">
        <f aca="false">ROUND(F4-G4,2)</f>
        <v>140</v>
      </c>
      <c r="I4" s="49" t="n">
        <f aca="false">ROUND(SUMPRODUCT((G7:G1000&gt;1)*E7:E1000*F7:F1000*(G7:G1000-1)),2)</f>
        <v>0</v>
      </c>
      <c r="J4" s="48" t="str">
        <f aca="false">IF(COUNTIFS(I7:I1000,"&gt;0",E7:E1000,"")=0,"",_xlfn.MAXIFS(C7:C1000,I7:I1000,"&gt;0",E7:E1000,""))</f>
        <v/>
      </c>
      <c r="K4" s="51" t="str">
        <f aca="false">IF(ABS(H4)&lt;0.01,"مسدد",IF(H4&gt;0,"مستحق لنا","رصيد للعميل"))</f>
        <v>مستحق لنا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الأربعاء</v>
      </c>
      <c r="C7" s="55" t="n">
        <v>46323</v>
      </c>
      <c r="D7" s="56" t="s">
        <v>102</v>
      </c>
      <c r="E7" s="57" t="n">
        <v>7</v>
      </c>
      <c r="F7" s="58" t="n">
        <v>20</v>
      </c>
      <c r="G7" s="54" t="n">
        <v>0</v>
      </c>
      <c r="H7" s="59" t="n">
        <f aca="false">ROUND(E7*F7*IF(G7&gt;1,G7,1),2)</f>
        <v>140</v>
      </c>
      <c r="I7" s="59"/>
      <c r="J7" s="60" t="n">
        <f aca="false">IF(COUNTA(C7:D7)=0,"",ROUND(SUM(H$7:H7)-SUM(I$7:I7),2))</f>
        <v>140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/>
      </c>
      <c r="C8" s="70"/>
      <c r="D8" s="64"/>
      <c r="E8" s="71"/>
      <c r="F8" s="72"/>
      <c r="G8" s="73"/>
      <c r="H8" s="74"/>
      <c r="I8" s="74"/>
      <c r="J8" s="68" t="str">
        <f aca="false">IF(COUNTA(C8:D8)=0,"",ROUND(SUM(H$7:H8)-SUM(I$7:I8),2))</f>
        <v/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6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383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46302</v>
      </c>
      <c r="E4" s="48" t="n">
        <f aca="false">IF(COUNT(C7:C1000)=0,"",MAX(C7:C1000))</f>
        <v>46320</v>
      </c>
      <c r="F4" s="49" t="n">
        <f aca="false">SUM(H7:H1000)</f>
        <v>13390</v>
      </c>
      <c r="G4" s="49" t="n">
        <f aca="false">SUM(I7:I1000)</f>
        <v>13392</v>
      </c>
      <c r="H4" s="50" t="n">
        <f aca="false">ROUND(F4-G4,2)</f>
        <v>-2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46320</v>
      </c>
      <c r="K4" s="51" t="str">
        <f aca="false">IF(ABS(H4)&lt;0.01,"مسدد",IF(H4&gt;0,"مستحق لنا","رصيد للعميل"))</f>
        <v>رصيد للعميل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الأربعاء</v>
      </c>
      <c r="C7" s="55" t="n">
        <v>46302</v>
      </c>
      <c r="D7" s="56" t="s">
        <v>87</v>
      </c>
      <c r="E7" s="57" t="n">
        <v>114</v>
      </c>
      <c r="F7" s="58" t="n">
        <v>12</v>
      </c>
      <c r="G7" s="54" t="n">
        <v>0</v>
      </c>
      <c r="H7" s="59" t="n">
        <f aca="false">ROUND(E7*F7*IF(G7&gt;1,G7,1),2)</f>
        <v>1368</v>
      </c>
      <c r="I7" s="59"/>
      <c r="J7" s="60" t="n">
        <f aca="false">IF(COUNTA(C7:D7)=0,"",ROUND(SUM(H$7:H7)-SUM(I$7:I7),2))</f>
        <v>1368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الخميس</v>
      </c>
      <c r="C8" s="63" t="n">
        <v>46303</v>
      </c>
      <c r="D8" s="64" t="s">
        <v>87</v>
      </c>
      <c r="E8" s="65" t="n">
        <v>340</v>
      </c>
      <c r="F8" s="66" t="n">
        <v>12</v>
      </c>
      <c r="G8" s="62" t="n">
        <v>0</v>
      </c>
      <c r="H8" s="67" t="n">
        <f aca="false">ROUND(E8*F8*IF(G8&gt;1,G8,1),2)</f>
        <v>4080</v>
      </c>
      <c r="I8" s="67"/>
      <c r="J8" s="68" t="n">
        <f aca="false">IF(COUNTA(C8:D8)=0,"",ROUND(SUM(H$7:H8)-SUM(I$7:I8),2))</f>
        <v>5448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46305</v>
      </c>
      <c r="D9" s="56" t="s">
        <v>384</v>
      </c>
      <c r="E9" s="57"/>
      <c r="F9" s="58"/>
      <c r="G9" s="54"/>
      <c r="H9" s="59"/>
      <c r="I9" s="59" t="n">
        <v>5436</v>
      </c>
      <c r="J9" s="60" t="n">
        <f aca="false">IF(COUNTA(C9:D9)=0,"",ROUND(SUM(H$7:H9)-SUM(I$7:I9),2))</f>
        <v>12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السبت</v>
      </c>
      <c r="C10" s="63" t="n">
        <v>46305</v>
      </c>
      <c r="D10" s="64" t="s">
        <v>385</v>
      </c>
      <c r="E10" s="65"/>
      <c r="F10" s="66"/>
      <c r="G10" s="62"/>
      <c r="H10" s="67"/>
      <c r="I10" s="67" t="n">
        <v>12</v>
      </c>
      <c r="J10" s="68" t="n">
        <f aca="false">IF(COUNTA(C10:D10)=0,"",ROUND(SUM(H$7:H10)-SUM(I$7:I10),2))</f>
        <v>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الاثنين</v>
      </c>
      <c r="C11" s="55" t="n">
        <v>46307</v>
      </c>
      <c r="D11" s="56" t="s">
        <v>87</v>
      </c>
      <c r="E11" s="57" t="n">
        <v>193</v>
      </c>
      <c r="F11" s="58" t="n">
        <v>15</v>
      </c>
      <c r="G11" s="54" t="n">
        <v>0</v>
      </c>
      <c r="H11" s="59" t="n">
        <f aca="false">ROUND(E11*F11*IF(G11&gt;1,G11,1),2)</f>
        <v>2895</v>
      </c>
      <c r="I11" s="59"/>
      <c r="J11" s="60" t="n">
        <f aca="false">IF(COUNTA(C11:D11)=0,"",ROUND(SUM(H$7:H11)-SUM(I$7:I11),2))</f>
        <v>2895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الأربعاء</v>
      </c>
      <c r="C12" s="63" t="n">
        <v>46309</v>
      </c>
      <c r="D12" s="64" t="s">
        <v>384</v>
      </c>
      <c r="E12" s="65"/>
      <c r="F12" s="66"/>
      <c r="G12" s="62"/>
      <c r="H12" s="67"/>
      <c r="I12" s="67" t="n">
        <v>2865</v>
      </c>
      <c r="J12" s="68" t="n">
        <f aca="false">IF(COUNTA(C12:D12)=0,"",ROUND(SUM(H$7:H12)-SUM(I$7:I12),2))</f>
        <v>30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الأربعاء</v>
      </c>
      <c r="C13" s="55" t="n">
        <v>46309</v>
      </c>
      <c r="D13" s="56" t="s">
        <v>386</v>
      </c>
      <c r="E13" s="57"/>
      <c r="F13" s="58"/>
      <c r="G13" s="54"/>
      <c r="H13" s="59"/>
      <c r="I13" s="59" t="n">
        <v>30</v>
      </c>
      <c r="J13" s="60" t="n">
        <f aca="false">IF(COUNTA(C13:D13)=0,"",ROUND(SUM(H$7:H13)-SUM(I$7:I13),2))</f>
        <v>0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الأربعاء</v>
      </c>
      <c r="C14" s="63" t="n">
        <v>46309</v>
      </c>
      <c r="D14" s="64" t="s">
        <v>87</v>
      </c>
      <c r="E14" s="65" t="n">
        <v>50</v>
      </c>
      <c r="F14" s="66" t="n">
        <v>15</v>
      </c>
      <c r="G14" s="62" t="n">
        <v>0</v>
      </c>
      <c r="H14" s="67" t="n">
        <f aca="false">ROUND(E14*F14*IF(G14&gt;1,G14,1),2)</f>
        <v>750</v>
      </c>
      <c r="I14" s="67"/>
      <c r="J14" s="68" t="n">
        <f aca="false">IF(COUNTA(C14:D14)=0,"",ROUND(SUM(H$7:H14)-SUM(I$7:I14),2))</f>
        <v>750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الجمعة</v>
      </c>
      <c r="C15" s="55" t="n">
        <v>46311</v>
      </c>
      <c r="D15" s="56" t="s">
        <v>87</v>
      </c>
      <c r="E15" s="57" t="n">
        <v>50</v>
      </c>
      <c r="F15" s="58" t="n">
        <v>14</v>
      </c>
      <c r="G15" s="54" t="n">
        <v>0</v>
      </c>
      <c r="H15" s="59" t="n">
        <f aca="false">ROUND(E15*F15*IF(G15&gt;1,G15,1),2)</f>
        <v>700</v>
      </c>
      <c r="I15" s="59"/>
      <c r="J15" s="60" t="n">
        <f aca="false">IF(COUNTA(C15:D15)=0,"",ROUND(SUM(H$7:H15)-SUM(I$7:I15),2))</f>
        <v>1450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السبت</v>
      </c>
      <c r="C16" s="63" t="n">
        <v>46312</v>
      </c>
      <c r="D16" s="64" t="s">
        <v>384</v>
      </c>
      <c r="E16" s="65"/>
      <c r="F16" s="66"/>
      <c r="G16" s="62"/>
      <c r="H16" s="67"/>
      <c r="I16" s="67" t="n">
        <v>750</v>
      </c>
      <c r="J16" s="68" t="n">
        <f aca="false">IF(COUNTA(C16:D16)=0,"",ROUND(SUM(H$7:H16)-SUM(I$7:I16),2))</f>
        <v>700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الثلاثاء</v>
      </c>
      <c r="C17" s="55" t="n">
        <v>46315</v>
      </c>
      <c r="D17" s="56" t="s">
        <v>114</v>
      </c>
      <c r="E17" s="57" t="n">
        <v>10</v>
      </c>
      <c r="F17" s="58" t="n">
        <v>75</v>
      </c>
      <c r="G17" s="54" t="n">
        <v>0</v>
      </c>
      <c r="H17" s="59" t="n">
        <f aca="false">ROUND(E17*F17*IF(G17&gt;1,G17,1),2)</f>
        <v>750</v>
      </c>
      <c r="I17" s="59"/>
      <c r="J17" s="60" t="n">
        <f aca="false">IF(COUNTA(C17:D17)=0,"",ROUND(SUM(H$7:H17)-SUM(I$7:I17),2))</f>
        <v>1450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الجمعة</v>
      </c>
      <c r="C18" s="63" t="n">
        <v>46318</v>
      </c>
      <c r="D18" s="64" t="s">
        <v>310</v>
      </c>
      <c r="E18" s="65" t="n">
        <v>146</v>
      </c>
      <c r="F18" s="66" t="n">
        <v>19.5</v>
      </c>
      <c r="G18" s="62" t="n">
        <v>0</v>
      </c>
      <c r="H18" s="67" t="n">
        <f aca="false">ROUND(E18*F18*IF(G18&gt;1,G18,1),2)</f>
        <v>2847</v>
      </c>
      <c r="I18" s="67"/>
      <c r="J18" s="68" t="n">
        <f aca="false">IF(COUNTA(C18:D18)=0,"",ROUND(SUM(H$7:H18)-SUM(I$7:I18),2))</f>
        <v>4297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الأحد</v>
      </c>
      <c r="C19" s="55" t="n">
        <v>46320</v>
      </c>
      <c r="D19" s="56" t="s">
        <v>78</v>
      </c>
      <c r="E19" s="57"/>
      <c r="F19" s="58"/>
      <c r="G19" s="54"/>
      <c r="H19" s="59"/>
      <c r="I19" s="59" t="n">
        <v>3910</v>
      </c>
      <c r="J19" s="60" t="n">
        <f aca="false">IF(COUNTA(C19:D19)=0,"",ROUND(SUM(H$7:H19)-SUM(I$7:I19),2))</f>
        <v>387</v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الأحد</v>
      </c>
      <c r="C20" s="63" t="n">
        <v>46320</v>
      </c>
      <c r="D20" s="64" t="s">
        <v>115</v>
      </c>
      <c r="E20" s="65" t="n">
        <v>5</v>
      </c>
      <c r="F20" s="66" t="n">
        <v>75</v>
      </c>
      <c r="G20" s="62" t="n">
        <v>0</v>
      </c>
      <c r="H20" s="67"/>
      <c r="I20" s="67" t="n">
        <f aca="false">ROUND(E20*F20*IF(G20&gt;1,G20,1),2)</f>
        <v>375</v>
      </c>
      <c r="J20" s="68" t="n">
        <f aca="false">IF(COUNTA(C20:D20)=0,"",ROUND(SUM(H$7:H20)-SUM(I$7:I20),2))</f>
        <v>12</v>
      </c>
      <c r="K20" s="62"/>
      <c r="L20" s="69" t="s">
        <v>340</v>
      </c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الأحد</v>
      </c>
      <c r="C21" s="55" t="n">
        <v>46320</v>
      </c>
      <c r="D21" s="56" t="s">
        <v>116</v>
      </c>
      <c r="E21" s="57" t="n">
        <v>1</v>
      </c>
      <c r="F21" s="58" t="n">
        <v>14</v>
      </c>
      <c r="G21" s="54" t="n">
        <v>0</v>
      </c>
      <c r="H21" s="59"/>
      <c r="I21" s="59" t="n">
        <f aca="false">ROUND(E21*F21*IF(G21&gt;1,G21,1),2)</f>
        <v>14</v>
      </c>
      <c r="J21" s="60" t="n">
        <f aca="false">IF(COUNTA(C21:D21)=0,"",ROUND(SUM(H$7:H21)-SUM(I$7:I21),2))</f>
        <v>-2</v>
      </c>
      <c r="K21" s="54"/>
      <c r="L21" s="61" t="s">
        <v>340</v>
      </c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  <row r="59" customFormat="false" ht="1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/>
      </c>
      <c r="C59" s="70"/>
      <c r="D59" s="56"/>
      <c r="E59" s="71"/>
      <c r="F59" s="72"/>
      <c r="G59" s="73"/>
      <c r="H59" s="74"/>
      <c r="I59" s="74"/>
      <c r="J59" s="60" t="str">
        <f aca="false">IF(COUNTA(C59:D59)=0,"",ROUND(SUM(H$7:H59)-SUM(I$7:I59),2))</f>
        <v/>
      </c>
      <c r="K59" s="54"/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/>
      </c>
      <c r="C60" s="70"/>
      <c r="D60" s="64"/>
      <c r="E60" s="71"/>
      <c r="F60" s="72"/>
      <c r="G60" s="73"/>
      <c r="H60" s="74"/>
      <c r="I60" s="74"/>
      <c r="J60" s="68" t="str">
        <f aca="false">IF(COUNTA(C60:D60)=0,"",ROUND(SUM(H$7:H60)-SUM(I$7:I60),2))</f>
        <v/>
      </c>
      <c r="K60" s="62"/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/>
      </c>
      <c r="C61" s="70"/>
      <c r="D61" s="56"/>
      <c r="E61" s="71"/>
      <c r="F61" s="72"/>
      <c r="G61" s="73"/>
      <c r="H61" s="74"/>
      <c r="I61" s="74"/>
      <c r="J61" s="60" t="str">
        <f aca="false">IF(COUNTA(C61:D61)=0,"",ROUND(SUM(H$7:H61)-SUM(I$7:I61),2))</f>
        <v/>
      </c>
      <c r="K61" s="54"/>
      <c r="L61" s="56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6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387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46304</v>
      </c>
      <c r="E4" s="48" t="n">
        <f aca="false">IF(COUNT(C7:C1000)=0,"",MAX(C7:C1000))</f>
        <v>46323</v>
      </c>
      <c r="F4" s="49" t="n">
        <f aca="false">SUM(H7:H1000)</f>
        <v>35043.95</v>
      </c>
      <c r="G4" s="49" t="n">
        <f aca="false">SUM(I7:I1000)</f>
        <v>35043.95</v>
      </c>
      <c r="H4" s="50" t="n">
        <f aca="false">ROUND(F4-G4,2)</f>
        <v>0</v>
      </c>
      <c r="I4" s="49" t="n">
        <f aca="false">ROUND(SUMPRODUCT((G7:G1000&gt;1)*E7:E1000*F7:F1000*(G7:G1000-1)),2)</f>
        <v>4570.95</v>
      </c>
      <c r="J4" s="48" t="n">
        <f aca="false">IF(COUNTIFS(I7:I1000,"&gt;0",E7:E1000,"")=0,"",_xlfn.MAXIFS(C7:C1000,I7:I1000,"&gt;0",E7:E1000,""))</f>
        <v>46323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الجمعة</v>
      </c>
      <c r="C7" s="55" t="n">
        <v>46304</v>
      </c>
      <c r="D7" s="56" t="s">
        <v>77</v>
      </c>
      <c r="E7" s="57" t="n">
        <v>220</v>
      </c>
      <c r="F7" s="58" t="n">
        <v>16</v>
      </c>
      <c r="G7" s="54" t="n">
        <v>1.15</v>
      </c>
      <c r="H7" s="59" t="n">
        <f aca="false">ROUND(E7*F7*IF(G7&gt;1,G7,1),2)</f>
        <v>4048</v>
      </c>
      <c r="I7" s="59"/>
      <c r="J7" s="60" t="n">
        <f aca="false">IF(COUNTA(C7:D7)=0,"",ROUND(SUM(H$7:H7)-SUM(I$7:I7),2))</f>
        <v>4048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46304</v>
      </c>
      <c r="D8" s="64" t="s">
        <v>117</v>
      </c>
      <c r="E8" s="65" t="n">
        <v>100</v>
      </c>
      <c r="F8" s="66" t="n">
        <v>32</v>
      </c>
      <c r="G8" s="62" t="n">
        <v>1.15</v>
      </c>
      <c r="H8" s="67" t="n">
        <f aca="false">ROUND(E8*F8*IF(G8&gt;1,G8,1),2)</f>
        <v>3680</v>
      </c>
      <c r="I8" s="67"/>
      <c r="J8" s="68" t="n">
        <f aca="false">IF(COUNTA(C8:D8)=0,"",ROUND(SUM(H$7:H8)-SUM(I$7:I8),2))</f>
        <v>7728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السبت</v>
      </c>
      <c r="C9" s="55" t="n">
        <v>46305</v>
      </c>
      <c r="D9" s="56" t="s">
        <v>388</v>
      </c>
      <c r="E9" s="57"/>
      <c r="F9" s="58"/>
      <c r="G9" s="54"/>
      <c r="H9" s="59"/>
      <c r="I9" s="59" t="n">
        <v>7728</v>
      </c>
      <c r="J9" s="60" t="n">
        <f aca="false">IF(COUNTA(C9:D9)=0,"",ROUND(SUM(H$7:H9)-SUM(I$7:I9),2))</f>
        <v>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الأحد</v>
      </c>
      <c r="C10" s="63" t="n">
        <v>46306</v>
      </c>
      <c r="D10" s="64" t="s">
        <v>117</v>
      </c>
      <c r="E10" s="65" t="n">
        <v>100</v>
      </c>
      <c r="F10" s="66" t="n">
        <v>30</v>
      </c>
      <c r="G10" s="62" t="n">
        <v>1.15</v>
      </c>
      <c r="H10" s="67" t="n">
        <f aca="false">ROUND(E10*F10*IF(G10&gt;1,G10,1),2)</f>
        <v>3450</v>
      </c>
      <c r="I10" s="67"/>
      <c r="J10" s="68" t="n">
        <f aca="false">IF(COUNTA(C10:D10)=0,"",ROUND(SUM(H$7:H10)-SUM(I$7:I10),2))</f>
        <v>3450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الثلاثاء</v>
      </c>
      <c r="C11" s="55" t="n">
        <v>46308</v>
      </c>
      <c r="D11" s="56" t="s">
        <v>388</v>
      </c>
      <c r="E11" s="57"/>
      <c r="F11" s="58"/>
      <c r="G11" s="54"/>
      <c r="H11" s="59"/>
      <c r="I11" s="59" t="n">
        <v>3450</v>
      </c>
      <c r="J11" s="60" t="n">
        <f aca="false">IF(COUNTA(C11:D11)=0,"",ROUND(SUM(H$7:H11)-SUM(I$7:I11),2))</f>
        <v>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السبت</v>
      </c>
      <c r="C12" s="63" t="n">
        <v>46312</v>
      </c>
      <c r="D12" s="64" t="s">
        <v>77</v>
      </c>
      <c r="E12" s="65" t="n">
        <v>132</v>
      </c>
      <c r="F12" s="66" t="n">
        <v>16</v>
      </c>
      <c r="G12" s="62" t="n">
        <v>1.15</v>
      </c>
      <c r="H12" s="67" t="n">
        <f aca="false">ROUND(E12*F12*IF(G12&gt;1,G12,1),2)</f>
        <v>2428.8</v>
      </c>
      <c r="I12" s="67"/>
      <c r="J12" s="68" t="n">
        <f aca="false">IF(COUNTA(C12:D12)=0,"",ROUND(SUM(H$7:H12)-SUM(I$7:I12),2))</f>
        <v>2428.8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>الأحد</v>
      </c>
      <c r="C13" s="55" t="n">
        <v>46313</v>
      </c>
      <c r="D13" s="56" t="s">
        <v>388</v>
      </c>
      <c r="E13" s="57"/>
      <c r="F13" s="58"/>
      <c r="G13" s="54"/>
      <c r="H13" s="59"/>
      <c r="I13" s="59" t="n">
        <v>2428</v>
      </c>
      <c r="J13" s="60" t="n">
        <f aca="false">IF(COUNTA(C13:D13)=0,"",ROUND(SUM(H$7:H13)-SUM(I$7:I13),2))</f>
        <v>0.8</v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>الجمعة</v>
      </c>
      <c r="C14" s="63" t="n">
        <v>46318</v>
      </c>
      <c r="D14" s="64" t="s">
        <v>389</v>
      </c>
      <c r="E14" s="65" t="n">
        <v>70</v>
      </c>
      <c r="F14" s="66" t="n">
        <v>50</v>
      </c>
      <c r="G14" s="62" t="n">
        <v>1.15</v>
      </c>
      <c r="H14" s="67" t="n">
        <f aca="false">ROUND(E14*F14*IF(G14&gt;1,G14,1),2)</f>
        <v>4025</v>
      </c>
      <c r="I14" s="67"/>
      <c r="J14" s="68" t="n">
        <f aca="false">IF(COUNTA(C14:D14)=0,"",ROUND(SUM(H$7:H14)-SUM(I$7:I14),2))</f>
        <v>4025.8</v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>الجمعة</v>
      </c>
      <c r="C15" s="55" t="n">
        <v>46318</v>
      </c>
      <c r="D15" s="56" t="s">
        <v>118</v>
      </c>
      <c r="E15" s="57" t="n">
        <v>79</v>
      </c>
      <c r="F15" s="58" t="n">
        <v>89</v>
      </c>
      <c r="G15" s="54" t="n">
        <v>1.15</v>
      </c>
      <c r="H15" s="59" t="n">
        <f aca="false">ROUND(E15*F15*IF(G15&gt;1,G15,1),2)</f>
        <v>8085.65</v>
      </c>
      <c r="I15" s="59"/>
      <c r="J15" s="60" t="n">
        <f aca="false">IF(COUNTA(C15:D15)=0,"",ROUND(SUM(H$7:H15)-SUM(I$7:I15),2))</f>
        <v>12111.45</v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>الأحد</v>
      </c>
      <c r="C16" s="63" t="n">
        <v>46320</v>
      </c>
      <c r="D16" s="64" t="s">
        <v>390</v>
      </c>
      <c r="E16" s="65"/>
      <c r="F16" s="66"/>
      <c r="G16" s="62"/>
      <c r="H16" s="67"/>
      <c r="I16" s="67" t="n">
        <v>7000</v>
      </c>
      <c r="J16" s="68" t="n">
        <f aca="false">IF(COUNTA(C16:D16)=0,"",ROUND(SUM(H$7:H16)-SUM(I$7:I16),2))</f>
        <v>5111.45</v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>الاثنين</v>
      </c>
      <c r="C17" s="55" t="n">
        <v>46321</v>
      </c>
      <c r="D17" s="56" t="s">
        <v>77</v>
      </c>
      <c r="E17" s="57" t="n">
        <v>110</v>
      </c>
      <c r="F17" s="58" t="n">
        <v>17</v>
      </c>
      <c r="G17" s="54" t="n">
        <v>1.15</v>
      </c>
      <c r="H17" s="59" t="n">
        <f aca="false">ROUND(E17*F17*IF(G17&gt;1,G17,1),2)</f>
        <v>2150.5</v>
      </c>
      <c r="I17" s="59"/>
      <c r="J17" s="60" t="n">
        <f aca="false">IF(COUNTA(C17:D17)=0,"",ROUND(SUM(H$7:H17)-SUM(I$7:I17),2))</f>
        <v>7261.95</v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>الاثنين</v>
      </c>
      <c r="C18" s="63" t="n">
        <v>46321</v>
      </c>
      <c r="D18" s="64" t="s">
        <v>118</v>
      </c>
      <c r="E18" s="65" t="n">
        <v>80</v>
      </c>
      <c r="F18" s="66" t="n">
        <v>78</v>
      </c>
      <c r="G18" s="62" t="n">
        <v>1.15</v>
      </c>
      <c r="H18" s="67" t="n">
        <f aca="false">ROUND(E18*F18*IF(G18&gt;1,G18,1),2)</f>
        <v>7176</v>
      </c>
      <c r="I18" s="67"/>
      <c r="J18" s="68" t="n">
        <f aca="false">IF(COUNTA(C18:D18)=0,"",ROUND(SUM(H$7:H18)-SUM(I$7:I18),2))</f>
        <v>14437.95</v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>الاثنين</v>
      </c>
      <c r="C19" s="55" t="n">
        <v>46321</v>
      </c>
      <c r="D19" s="56" t="s">
        <v>388</v>
      </c>
      <c r="E19" s="57"/>
      <c r="F19" s="58"/>
      <c r="G19" s="54"/>
      <c r="H19" s="59"/>
      <c r="I19" s="59" t="n">
        <v>5110</v>
      </c>
      <c r="J19" s="60" t="n">
        <f aca="false">IF(COUNTA(C19:D19)=0,"",ROUND(SUM(H$7:H19)-SUM(I$7:I19),2))</f>
        <v>9327.95</v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>الأربعاء</v>
      </c>
      <c r="C20" s="63" t="n">
        <v>46323</v>
      </c>
      <c r="D20" s="64" t="s">
        <v>391</v>
      </c>
      <c r="E20" s="65"/>
      <c r="F20" s="66"/>
      <c r="G20" s="62"/>
      <c r="H20" s="67"/>
      <c r="I20" s="67" t="n">
        <v>5000</v>
      </c>
      <c r="J20" s="68" t="n">
        <f aca="false">IF(COUNTA(C20:D20)=0,"",ROUND(SUM(H$7:H20)-SUM(I$7:I20),2))</f>
        <v>4327.95</v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>الأربعاء</v>
      </c>
      <c r="C21" s="55" t="n">
        <v>46323</v>
      </c>
      <c r="D21" s="56" t="s">
        <v>391</v>
      </c>
      <c r="E21" s="57"/>
      <c r="F21" s="58"/>
      <c r="G21" s="54"/>
      <c r="H21" s="59"/>
      <c r="I21" s="59" t="n">
        <v>4326</v>
      </c>
      <c r="J21" s="60" t="n">
        <f aca="false">IF(COUNTA(C21:D21)=0,"",ROUND(SUM(H$7:H21)-SUM(I$7:I21),2))</f>
        <v>1.95</v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>الأربعاء</v>
      </c>
      <c r="C22" s="63" t="n">
        <v>46323</v>
      </c>
      <c r="D22" s="64" t="s">
        <v>96</v>
      </c>
      <c r="E22" s="65"/>
      <c r="F22" s="66"/>
      <c r="G22" s="62"/>
      <c r="H22" s="67"/>
      <c r="I22" s="67" t="n">
        <v>1.95</v>
      </c>
      <c r="J22" s="68" t="n">
        <f aca="false">IF(COUNTA(C22:D22)=0,"",ROUND(SUM(H$7:H22)-SUM(I$7:I22),2))</f>
        <v>0</v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  <row r="53" customFormat="false" ht="15" hidden="false" customHeight="false" outlineLevel="0" collapsed="false">
      <c r="B53" s="54" t="str">
        <f aca="false">IF(C53="","",CHOOSE(WEEKDAY(C53),"الأحد","الاثنين","الثلاثاء","الأربعاء","الخميس","الجمعة","السبت"))</f>
        <v/>
      </c>
      <c r="C53" s="70"/>
      <c r="D53" s="56"/>
      <c r="E53" s="71"/>
      <c r="F53" s="72"/>
      <c r="G53" s="73"/>
      <c r="H53" s="74"/>
      <c r="I53" s="74"/>
      <c r="J53" s="60" t="str">
        <f aca="false">IF(COUNTA(C53:D53)=0,"",ROUND(SUM(H$7:H53)-SUM(I$7:I53),2))</f>
        <v/>
      </c>
      <c r="K53" s="54"/>
      <c r="L53" s="56"/>
    </row>
    <row r="54" customFormat="false" ht="15" hidden="false" customHeight="false" outlineLevel="0" collapsed="false">
      <c r="B54" s="62" t="str">
        <f aca="false">IF(C54="","",CHOOSE(WEEKDAY(C54),"الأحد","الاثنين","الثلاثاء","الأربعاء","الخميس","الجمعة","السبت"))</f>
        <v/>
      </c>
      <c r="C54" s="70"/>
      <c r="D54" s="64"/>
      <c r="E54" s="71"/>
      <c r="F54" s="72"/>
      <c r="G54" s="73"/>
      <c r="H54" s="74"/>
      <c r="I54" s="74"/>
      <c r="J54" s="68" t="str">
        <f aca="false">IF(COUNTA(C54:D54)=0,"",ROUND(SUM(H$7:H54)-SUM(I$7:I54),2))</f>
        <v/>
      </c>
      <c r="K54" s="62"/>
      <c r="L54" s="64"/>
    </row>
    <row r="55" customFormat="false" ht="15" hidden="false" customHeight="false" outlineLevel="0" collapsed="false">
      <c r="B55" s="54" t="str">
        <f aca="false">IF(C55="","",CHOOSE(WEEKDAY(C55),"الأحد","الاثنين","الثلاثاء","الأربعاء","الخميس","الجمعة","السبت"))</f>
        <v/>
      </c>
      <c r="C55" s="70"/>
      <c r="D55" s="56"/>
      <c r="E55" s="71"/>
      <c r="F55" s="72"/>
      <c r="G55" s="73"/>
      <c r="H55" s="74"/>
      <c r="I55" s="74"/>
      <c r="J55" s="60" t="str">
        <f aca="false">IF(COUNTA(C55:D55)=0,"",ROUND(SUM(H$7:H55)-SUM(I$7:I55),2))</f>
        <v/>
      </c>
      <c r="K55" s="54"/>
      <c r="L55" s="56"/>
    </row>
    <row r="56" customFormat="false" ht="15" hidden="false" customHeight="false" outlineLevel="0" collapsed="false">
      <c r="B56" s="62" t="str">
        <f aca="false">IF(C56="","",CHOOSE(WEEKDAY(C56),"الأحد","الاثنين","الثلاثاء","الأربعاء","الخميس","الجمعة","السبت"))</f>
        <v/>
      </c>
      <c r="C56" s="70"/>
      <c r="D56" s="64"/>
      <c r="E56" s="71"/>
      <c r="F56" s="72"/>
      <c r="G56" s="73"/>
      <c r="H56" s="74"/>
      <c r="I56" s="74"/>
      <c r="J56" s="68" t="str">
        <f aca="false">IF(COUNTA(C56:D56)=0,"",ROUND(SUM(H$7:H56)-SUM(I$7:I56),2))</f>
        <v/>
      </c>
      <c r="K56" s="62"/>
      <c r="L56" s="64"/>
    </row>
    <row r="57" customFormat="false" ht="15" hidden="false" customHeight="false" outlineLevel="0" collapsed="false">
      <c r="B57" s="54" t="str">
        <f aca="false">IF(C57="","",CHOOSE(WEEKDAY(C57),"الأحد","الاثنين","الثلاثاء","الأربعاء","الخميس","الجمعة","السبت"))</f>
        <v/>
      </c>
      <c r="C57" s="70"/>
      <c r="D57" s="56"/>
      <c r="E57" s="71"/>
      <c r="F57" s="72"/>
      <c r="G57" s="73"/>
      <c r="H57" s="74"/>
      <c r="I57" s="74"/>
      <c r="J57" s="60" t="str">
        <f aca="false">IF(COUNTA(C57:D57)=0,"",ROUND(SUM(H$7:H57)-SUM(I$7:I57),2))</f>
        <v/>
      </c>
      <c r="K57" s="54"/>
      <c r="L57" s="56"/>
    </row>
    <row r="58" customFormat="false" ht="15" hidden="false" customHeight="false" outlineLevel="0" collapsed="false">
      <c r="B58" s="62" t="str">
        <f aca="false">IF(C58="","",CHOOSE(WEEKDAY(C58),"الأحد","الاثنين","الثلاثاء","الأربعاء","الخميس","الجمعة","السبت"))</f>
        <v/>
      </c>
      <c r="C58" s="70"/>
      <c r="D58" s="64"/>
      <c r="E58" s="71"/>
      <c r="F58" s="72"/>
      <c r="G58" s="73"/>
      <c r="H58" s="74"/>
      <c r="I58" s="74"/>
      <c r="J58" s="68" t="str">
        <f aca="false">IF(COUNTA(C58:D58)=0,"",ROUND(SUM(H$7:H58)-SUM(I$7:I58),2))</f>
        <v/>
      </c>
      <c r="K58" s="62"/>
      <c r="L58" s="64"/>
    </row>
    <row r="59" customFormat="false" ht="15" hidden="false" customHeight="false" outlineLevel="0" collapsed="false">
      <c r="B59" s="54" t="str">
        <f aca="false">IF(C59="","",CHOOSE(WEEKDAY(C59),"الأحد","الاثنين","الثلاثاء","الأربعاء","الخميس","الجمعة","السبت"))</f>
        <v/>
      </c>
      <c r="C59" s="70"/>
      <c r="D59" s="56"/>
      <c r="E59" s="71"/>
      <c r="F59" s="72"/>
      <c r="G59" s="73"/>
      <c r="H59" s="74"/>
      <c r="I59" s="74"/>
      <c r="J59" s="60" t="str">
        <f aca="false">IF(COUNTA(C59:D59)=0,"",ROUND(SUM(H$7:H59)-SUM(I$7:I59),2))</f>
        <v/>
      </c>
      <c r="K59" s="54"/>
      <c r="L59" s="56"/>
    </row>
    <row r="60" customFormat="false" ht="15" hidden="false" customHeight="false" outlineLevel="0" collapsed="false">
      <c r="B60" s="62" t="str">
        <f aca="false">IF(C60="","",CHOOSE(WEEKDAY(C60),"الأحد","الاثنين","الثلاثاء","الأربعاء","الخميس","الجمعة","السبت"))</f>
        <v/>
      </c>
      <c r="C60" s="70"/>
      <c r="D60" s="64"/>
      <c r="E60" s="71"/>
      <c r="F60" s="72"/>
      <c r="G60" s="73"/>
      <c r="H60" s="74"/>
      <c r="I60" s="74"/>
      <c r="J60" s="68" t="str">
        <f aca="false">IF(COUNTA(C60:D60)=0,"",ROUND(SUM(H$7:H60)-SUM(I$7:I60),2))</f>
        <v/>
      </c>
      <c r="K60" s="62"/>
      <c r="L60" s="64"/>
    </row>
    <row r="61" customFormat="false" ht="15" hidden="false" customHeight="false" outlineLevel="0" collapsed="false">
      <c r="B61" s="54" t="str">
        <f aca="false">IF(C61="","",CHOOSE(WEEKDAY(C61),"الأحد","الاثنين","الثلاثاء","الأربعاء","الخميس","الجمعة","السبت"))</f>
        <v/>
      </c>
      <c r="C61" s="70"/>
      <c r="D61" s="56"/>
      <c r="E61" s="71"/>
      <c r="F61" s="72"/>
      <c r="G61" s="73"/>
      <c r="H61" s="74"/>
      <c r="I61" s="74"/>
      <c r="J61" s="60" t="str">
        <f aca="false">IF(COUNTA(C61:D61)=0,"",ROUND(SUM(H$7:H61)-SUM(I$7:I61),2))</f>
        <v/>
      </c>
      <c r="K61" s="54"/>
      <c r="L61" s="56"/>
    </row>
    <row r="62" customFormat="false" ht="15" hidden="false" customHeight="false" outlineLevel="0" collapsed="false">
      <c r="B62" s="62" t="str">
        <f aca="false">IF(C62="","",CHOOSE(WEEKDAY(C62),"الأحد","الاثنين","الثلاثاء","الأربعاء","الخميس","الجمعة","السبت"))</f>
        <v/>
      </c>
      <c r="C62" s="70"/>
      <c r="D62" s="64"/>
      <c r="E62" s="71"/>
      <c r="F62" s="72"/>
      <c r="G62" s="73"/>
      <c r="H62" s="74"/>
      <c r="I62" s="74"/>
      <c r="J62" s="68" t="str">
        <f aca="false">IF(COUNTA(C62:D62)=0,"",ROUND(SUM(H$7:H62)-SUM(I$7:I62),2))</f>
        <v/>
      </c>
      <c r="K62" s="62"/>
      <c r="L62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392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46303</v>
      </c>
      <c r="E4" s="48" t="n">
        <f aca="false">IF(COUNT(C7:C1000)=0,"",MAX(C7:C1000))</f>
        <v>46313</v>
      </c>
      <c r="F4" s="49" t="n">
        <f aca="false">SUM(H7:H1000)</f>
        <v>200</v>
      </c>
      <c r="G4" s="49" t="n">
        <f aca="false">SUM(I7:I1000)</f>
        <v>200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46313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الخميس</v>
      </c>
      <c r="C7" s="55" t="n">
        <v>46303</v>
      </c>
      <c r="D7" s="56" t="s">
        <v>102</v>
      </c>
      <c r="E7" s="57" t="n">
        <v>5</v>
      </c>
      <c r="F7" s="58" t="n">
        <v>12</v>
      </c>
      <c r="G7" s="54" t="n">
        <v>0</v>
      </c>
      <c r="H7" s="59" t="n">
        <f aca="false">ROUND(E7*F7*IF(G7&gt;1,G7,1),2)</f>
        <v>60</v>
      </c>
      <c r="I7" s="59"/>
      <c r="J7" s="60" t="n">
        <f aca="false">IF(COUNTA(C7:D7)=0,"",ROUND(SUM(H$7:H7)-SUM(I$7:I7),2))</f>
        <v>60</v>
      </c>
      <c r="K7" s="54"/>
      <c r="L7" s="61" t="s">
        <v>289</v>
      </c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الجمعة</v>
      </c>
      <c r="C8" s="63" t="n">
        <v>46304</v>
      </c>
      <c r="D8" s="64" t="s">
        <v>393</v>
      </c>
      <c r="E8" s="65"/>
      <c r="F8" s="66"/>
      <c r="G8" s="62"/>
      <c r="H8" s="67"/>
      <c r="I8" s="67" t="n">
        <v>60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>الاثنين</v>
      </c>
      <c r="C9" s="55" t="n">
        <v>46307</v>
      </c>
      <c r="D9" s="56" t="s">
        <v>87</v>
      </c>
      <c r="E9" s="57" t="n">
        <v>5</v>
      </c>
      <c r="F9" s="58" t="n">
        <v>14</v>
      </c>
      <c r="G9" s="54" t="n">
        <v>0</v>
      </c>
      <c r="H9" s="59" t="n">
        <f aca="false">ROUND(E9*F9*IF(G9&gt;1,G9,1),2)</f>
        <v>70</v>
      </c>
      <c r="I9" s="59"/>
      <c r="J9" s="60" t="n">
        <f aca="false">IF(COUNTA(C9:D9)=0,"",ROUND(SUM(H$7:H9)-SUM(I$7:I9),2))</f>
        <v>70</v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>الثلاثاء</v>
      </c>
      <c r="C10" s="63" t="n">
        <v>46308</v>
      </c>
      <c r="D10" s="64" t="s">
        <v>87</v>
      </c>
      <c r="E10" s="65" t="n">
        <v>5</v>
      </c>
      <c r="F10" s="66" t="n">
        <v>14</v>
      </c>
      <c r="G10" s="62" t="n">
        <v>0</v>
      </c>
      <c r="H10" s="67" t="n">
        <f aca="false">ROUND(E10*F10*IF(G10&gt;1,G10,1),2)</f>
        <v>70</v>
      </c>
      <c r="I10" s="67"/>
      <c r="J10" s="68" t="n">
        <f aca="false">IF(COUNTA(C10:D10)=0,"",ROUND(SUM(H$7:H10)-SUM(I$7:I10),2))</f>
        <v>140</v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>الثلاثاء</v>
      </c>
      <c r="C11" s="55" t="n">
        <v>46308</v>
      </c>
      <c r="D11" s="56" t="s">
        <v>394</v>
      </c>
      <c r="E11" s="57"/>
      <c r="F11" s="58"/>
      <c r="G11" s="54"/>
      <c r="H11" s="59"/>
      <c r="I11" s="59" t="n">
        <v>70</v>
      </c>
      <c r="J11" s="60" t="n">
        <f aca="false">IF(COUNTA(C11:D11)=0,"",ROUND(SUM(H$7:H11)-SUM(I$7:I11),2))</f>
        <v>70</v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>الأحد</v>
      </c>
      <c r="C12" s="63" t="n">
        <v>46313</v>
      </c>
      <c r="D12" s="64" t="s">
        <v>393</v>
      </c>
      <c r="E12" s="65"/>
      <c r="F12" s="66"/>
      <c r="G12" s="62"/>
      <c r="H12" s="67"/>
      <c r="I12" s="67" t="n">
        <v>70</v>
      </c>
      <c r="J12" s="68" t="n">
        <f aca="false">IF(COUNTA(C12:D12)=0,"",ROUND(SUM(H$7:H12)-SUM(I$7:I12),2))</f>
        <v>0</v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  <row r="49" customFormat="false" ht="15" hidden="false" customHeight="false" outlineLevel="0" collapsed="false">
      <c r="B49" s="54" t="str">
        <f aca="false">IF(C49="","",CHOOSE(WEEKDAY(C49),"الأحد","الاثنين","الثلاثاء","الأربعاء","الخميس","الجمعة","السبت"))</f>
        <v/>
      </c>
      <c r="C49" s="70"/>
      <c r="D49" s="56"/>
      <c r="E49" s="71"/>
      <c r="F49" s="72"/>
      <c r="G49" s="73"/>
      <c r="H49" s="74"/>
      <c r="I49" s="74"/>
      <c r="J49" s="60" t="str">
        <f aca="false">IF(COUNTA(C49:D49)=0,"",ROUND(SUM(H$7:H49)-SUM(I$7:I49),2))</f>
        <v/>
      </c>
      <c r="K49" s="54"/>
      <c r="L49" s="56"/>
    </row>
    <row r="50" customFormat="false" ht="15" hidden="false" customHeight="false" outlineLevel="0" collapsed="false">
      <c r="B50" s="62" t="str">
        <f aca="false">IF(C50="","",CHOOSE(WEEKDAY(C50),"الأحد","الاثنين","الثلاثاء","الأربعاء","الخميس","الجمعة","السبت"))</f>
        <v/>
      </c>
      <c r="C50" s="70"/>
      <c r="D50" s="64"/>
      <c r="E50" s="71"/>
      <c r="F50" s="72"/>
      <c r="G50" s="73"/>
      <c r="H50" s="74"/>
      <c r="I50" s="74"/>
      <c r="J50" s="68" t="str">
        <f aca="false">IF(COUNTA(C50:D50)=0,"",ROUND(SUM(H$7:H50)-SUM(I$7:I50),2))</f>
        <v/>
      </c>
      <c r="K50" s="62"/>
      <c r="L50" s="64"/>
    </row>
    <row r="51" customFormat="false" ht="15" hidden="false" customHeight="false" outlineLevel="0" collapsed="false">
      <c r="B51" s="54" t="str">
        <f aca="false">IF(C51="","",CHOOSE(WEEKDAY(C51),"الأحد","الاثنين","الثلاثاء","الأربعاء","الخميس","الجمعة","السبت"))</f>
        <v/>
      </c>
      <c r="C51" s="70"/>
      <c r="D51" s="56"/>
      <c r="E51" s="71"/>
      <c r="F51" s="72"/>
      <c r="G51" s="73"/>
      <c r="H51" s="74"/>
      <c r="I51" s="74"/>
      <c r="J51" s="60" t="str">
        <f aca="false">IF(COUNTA(C51:D51)=0,"",ROUND(SUM(H$7:H51)-SUM(I$7:I51),2))</f>
        <v/>
      </c>
      <c r="K51" s="54"/>
      <c r="L51" s="56"/>
    </row>
    <row r="52" customFormat="false" ht="15" hidden="false" customHeight="false" outlineLevel="0" collapsed="false">
      <c r="B52" s="62" t="str">
        <f aca="false">IF(C52="","",CHOOSE(WEEKDAY(C52),"الأحد","الاثنين","الثلاثاء","الأربعاء","الخميس","الجمعة","السبت"))</f>
        <v/>
      </c>
      <c r="C52" s="70"/>
      <c r="D52" s="64"/>
      <c r="E52" s="71"/>
      <c r="F52" s="72"/>
      <c r="G52" s="73"/>
      <c r="H52" s="74"/>
      <c r="I52" s="74"/>
      <c r="J52" s="68" t="str">
        <f aca="false">IF(COUNTA(C52:D52)=0,"",ROUND(SUM(H$7:H52)-SUM(I$7:I52),2))</f>
        <v/>
      </c>
      <c r="K52" s="62"/>
      <c r="L52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4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30" hidden="false" customHeight="true" outlineLevel="0" collapsed="false">
      <c r="B1" s="44" t="s">
        <v>395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true" outlineLevel="0" collapsed="false">
      <c r="B2" s="45" t="s">
        <v>275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27.75" hidden="false" customHeight="true" outlineLevel="0" collapsed="false">
      <c r="B3" s="46" t="s">
        <v>276</v>
      </c>
      <c r="C3" s="46"/>
      <c r="D3" s="3" t="s">
        <v>277</v>
      </c>
      <c r="E3" s="3" t="s">
        <v>278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17</v>
      </c>
      <c r="K3" s="3" t="s">
        <v>18</v>
      </c>
      <c r="L3" s="47" t="s">
        <v>279</v>
      </c>
    </row>
    <row r="4" customFormat="false" ht="24" hidden="false" customHeight="true" outlineLevel="0" collapsed="false">
      <c r="B4" s="46"/>
      <c r="C4" s="46"/>
      <c r="D4" s="48" t="n">
        <f aca="false">IF(COUNT(C7:C1000)=0,"",MIN(C7:C1000))</f>
        <v>46319</v>
      </c>
      <c r="E4" s="48" t="n">
        <f aca="false">IF(COUNT(C7:C1000)=0,"",MAX(C7:C1000))</f>
        <v>46323</v>
      </c>
      <c r="F4" s="49" t="n">
        <f aca="false">SUM(H7:H1000)</f>
        <v>2100</v>
      </c>
      <c r="G4" s="49" t="n">
        <f aca="false">SUM(I7:I1000)</f>
        <v>2100</v>
      </c>
      <c r="H4" s="50" t="n">
        <f aca="false">ROUND(F4-G4,2)</f>
        <v>0</v>
      </c>
      <c r="I4" s="49" t="n">
        <f aca="false">ROUND(SUMPRODUCT((G7:G1000&gt;1)*E7:E1000*F7:F1000*(G7:G1000-1)),2)</f>
        <v>0</v>
      </c>
      <c r="J4" s="48" t="n">
        <f aca="false">IF(COUNTIFS(I7:I1000,"&gt;0",E7:E1000,"")=0,"",_xlfn.MAXIFS(C7:C1000,I7:I1000,"&gt;0",E7:E1000,""))</f>
        <v>46323</v>
      </c>
      <c r="K4" s="51" t="str">
        <f aca="false">IF(ABS(H4)&lt;0.01,"مسدد",IF(H4&gt;0,"مستحق لنا","رصيد للعميل"))</f>
        <v>مسدد</v>
      </c>
      <c r="L4" s="47"/>
    </row>
    <row r="5" customFormat="false" ht="15" hidden="false" customHeight="false" outlineLevel="0" collapsed="false">
      <c r="B5" s="52" t="s">
        <v>280</v>
      </c>
    </row>
    <row r="6" customFormat="false" ht="31.5" hidden="false" customHeight="true" outlineLevel="0" collapsed="false">
      <c r="B6" s="53" t="s">
        <v>281</v>
      </c>
      <c r="C6" s="53" t="s">
        <v>65</v>
      </c>
      <c r="D6" s="53" t="s">
        <v>282</v>
      </c>
      <c r="E6" s="53" t="s">
        <v>69</v>
      </c>
      <c r="F6" s="53" t="s">
        <v>70</v>
      </c>
      <c r="G6" s="53" t="s">
        <v>283</v>
      </c>
      <c r="H6" s="53" t="s">
        <v>284</v>
      </c>
      <c r="I6" s="53" t="s">
        <v>285</v>
      </c>
      <c r="J6" s="53" t="s">
        <v>286</v>
      </c>
      <c r="K6" s="53" t="s">
        <v>287</v>
      </c>
      <c r="L6" s="53" t="s">
        <v>288</v>
      </c>
    </row>
    <row r="7" customFormat="false" ht="15" hidden="false" customHeight="false" outlineLevel="0" collapsed="false">
      <c r="B7" s="54" t="str">
        <f aca="false">IF(C7="","",CHOOSE(WEEKDAY(C7),"الأحد","الاثنين","الثلاثاء","الأربعاء","الخميس","الجمعة","السبت"))</f>
        <v>السبت</v>
      </c>
      <c r="C7" s="55" t="n">
        <v>46319</v>
      </c>
      <c r="D7" s="56" t="s">
        <v>80</v>
      </c>
      <c r="E7" s="57" t="n">
        <v>15</v>
      </c>
      <c r="F7" s="58" t="n">
        <v>140</v>
      </c>
      <c r="G7" s="54" t="n">
        <v>0</v>
      </c>
      <c r="H7" s="59" t="n">
        <f aca="false">ROUND(E7*F7*IF(G7&gt;1,G7,1),2)</f>
        <v>2100</v>
      </c>
      <c r="I7" s="59"/>
      <c r="J7" s="60" t="n">
        <f aca="false">IF(COUNTA(C7:D7)=0,"",ROUND(SUM(H$7:H7)-SUM(I$7:I7),2))</f>
        <v>2100</v>
      </c>
      <c r="K7" s="54"/>
      <c r="L7" s="56"/>
    </row>
    <row r="8" customFormat="false" ht="15" hidden="false" customHeight="false" outlineLevel="0" collapsed="false">
      <c r="B8" s="62" t="str">
        <f aca="false">IF(C8="","",CHOOSE(WEEKDAY(C8),"الأحد","الاثنين","الثلاثاء","الأربعاء","الخميس","الجمعة","السبت"))</f>
        <v>الأربعاء</v>
      </c>
      <c r="C8" s="63" t="n">
        <v>46323</v>
      </c>
      <c r="D8" s="64" t="s">
        <v>78</v>
      </c>
      <c r="E8" s="65"/>
      <c r="F8" s="66"/>
      <c r="G8" s="62"/>
      <c r="H8" s="67"/>
      <c r="I8" s="67" t="n">
        <v>2100</v>
      </c>
      <c r="J8" s="68" t="n">
        <f aca="false">IF(COUNTA(C8:D8)=0,"",ROUND(SUM(H$7:H8)-SUM(I$7:I8),2))</f>
        <v>0</v>
      </c>
      <c r="K8" s="62"/>
      <c r="L8" s="64"/>
    </row>
    <row r="9" customFormat="false" ht="15" hidden="false" customHeight="false" outlineLevel="0" collapsed="false">
      <c r="B9" s="54" t="str">
        <f aca="false">IF(C9="","",CHOOSE(WEEKDAY(C9),"الأحد","الاثنين","الثلاثاء","الأربعاء","الخميس","الجمعة","السبت"))</f>
        <v/>
      </c>
      <c r="C9" s="70"/>
      <c r="D9" s="56"/>
      <c r="E9" s="71"/>
      <c r="F9" s="72"/>
      <c r="G9" s="73"/>
      <c r="H9" s="74"/>
      <c r="I9" s="74"/>
      <c r="J9" s="60" t="str">
        <f aca="false">IF(COUNTA(C9:D9)=0,"",ROUND(SUM(H$7:H9)-SUM(I$7:I9),2))</f>
        <v/>
      </c>
      <c r="K9" s="54"/>
      <c r="L9" s="56"/>
    </row>
    <row r="10" customFormat="false" ht="15" hidden="false" customHeight="false" outlineLevel="0" collapsed="false">
      <c r="B10" s="62" t="str">
        <f aca="false">IF(C10="","",CHOOSE(WEEKDAY(C10),"الأحد","الاثنين","الثلاثاء","الأربعاء","الخميس","الجمعة","السبت"))</f>
        <v/>
      </c>
      <c r="C10" s="70"/>
      <c r="D10" s="64"/>
      <c r="E10" s="71"/>
      <c r="F10" s="72"/>
      <c r="G10" s="73"/>
      <c r="H10" s="74"/>
      <c r="I10" s="74"/>
      <c r="J10" s="68" t="str">
        <f aca="false">IF(COUNTA(C10:D10)=0,"",ROUND(SUM(H$7:H10)-SUM(I$7:I10),2))</f>
        <v/>
      </c>
      <c r="K10" s="62"/>
      <c r="L10" s="64"/>
    </row>
    <row r="11" customFormat="false" ht="15" hidden="false" customHeight="false" outlineLevel="0" collapsed="false">
      <c r="B11" s="54" t="str">
        <f aca="false">IF(C11="","",CHOOSE(WEEKDAY(C11),"الأحد","الاثنين","الثلاثاء","الأربعاء","الخميس","الجمعة","السبت"))</f>
        <v/>
      </c>
      <c r="C11" s="70"/>
      <c r="D11" s="56"/>
      <c r="E11" s="71"/>
      <c r="F11" s="72"/>
      <c r="G11" s="73"/>
      <c r="H11" s="74"/>
      <c r="I11" s="74"/>
      <c r="J11" s="60" t="str">
        <f aca="false">IF(COUNTA(C11:D11)=0,"",ROUND(SUM(H$7:H11)-SUM(I$7:I11),2))</f>
        <v/>
      </c>
      <c r="K11" s="54"/>
      <c r="L11" s="56"/>
    </row>
    <row r="12" customFormat="false" ht="15" hidden="false" customHeight="false" outlineLevel="0" collapsed="false">
      <c r="B12" s="62" t="str">
        <f aca="false">IF(C12="","",CHOOSE(WEEKDAY(C12),"الأحد","الاثنين","الثلاثاء","الأربعاء","الخميس","الجمعة","السبت"))</f>
        <v/>
      </c>
      <c r="C12" s="70"/>
      <c r="D12" s="64"/>
      <c r="E12" s="71"/>
      <c r="F12" s="72"/>
      <c r="G12" s="73"/>
      <c r="H12" s="74"/>
      <c r="I12" s="74"/>
      <c r="J12" s="68" t="str">
        <f aca="false">IF(COUNTA(C12:D12)=0,"",ROUND(SUM(H$7:H12)-SUM(I$7:I12),2))</f>
        <v/>
      </c>
      <c r="K12" s="62"/>
      <c r="L12" s="64"/>
    </row>
    <row r="13" customFormat="false" ht="15" hidden="false" customHeight="false" outlineLevel="0" collapsed="false">
      <c r="B13" s="54" t="str">
        <f aca="false">IF(C13="","",CHOOSE(WEEKDAY(C13),"الأحد","الاثنين","الثلاثاء","الأربعاء","الخميس","الجمعة","السبت"))</f>
        <v/>
      </c>
      <c r="C13" s="70"/>
      <c r="D13" s="56"/>
      <c r="E13" s="71"/>
      <c r="F13" s="72"/>
      <c r="G13" s="73"/>
      <c r="H13" s="74"/>
      <c r="I13" s="74"/>
      <c r="J13" s="60" t="str">
        <f aca="false">IF(COUNTA(C13:D13)=0,"",ROUND(SUM(H$7:H13)-SUM(I$7:I13),2))</f>
        <v/>
      </c>
      <c r="K13" s="54"/>
      <c r="L13" s="56"/>
    </row>
    <row r="14" customFormat="false" ht="15" hidden="false" customHeight="false" outlineLevel="0" collapsed="false">
      <c r="B14" s="62" t="str">
        <f aca="false">IF(C14="","",CHOOSE(WEEKDAY(C14),"الأحد","الاثنين","الثلاثاء","الأربعاء","الخميس","الجمعة","السبت"))</f>
        <v/>
      </c>
      <c r="C14" s="70"/>
      <c r="D14" s="64"/>
      <c r="E14" s="71"/>
      <c r="F14" s="72"/>
      <c r="G14" s="73"/>
      <c r="H14" s="74"/>
      <c r="I14" s="74"/>
      <c r="J14" s="68" t="str">
        <f aca="false">IF(COUNTA(C14:D14)=0,"",ROUND(SUM(H$7:H14)-SUM(I$7:I14),2))</f>
        <v/>
      </c>
      <c r="K14" s="62"/>
      <c r="L14" s="64"/>
    </row>
    <row r="15" customFormat="false" ht="15" hidden="false" customHeight="false" outlineLevel="0" collapsed="false">
      <c r="B15" s="54" t="str">
        <f aca="false">IF(C15="","",CHOOSE(WEEKDAY(C15),"الأحد","الاثنين","الثلاثاء","الأربعاء","الخميس","الجمعة","السبت"))</f>
        <v/>
      </c>
      <c r="C15" s="70"/>
      <c r="D15" s="56"/>
      <c r="E15" s="71"/>
      <c r="F15" s="72"/>
      <c r="G15" s="73"/>
      <c r="H15" s="74"/>
      <c r="I15" s="74"/>
      <c r="J15" s="60" t="str">
        <f aca="false">IF(COUNTA(C15:D15)=0,"",ROUND(SUM(H$7:H15)-SUM(I$7:I15),2))</f>
        <v/>
      </c>
      <c r="K15" s="54"/>
      <c r="L15" s="56"/>
    </row>
    <row r="16" customFormat="false" ht="15" hidden="false" customHeight="false" outlineLevel="0" collapsed="false">
      <c r="B16" s="62" t="str">
        <f aca="false">IF(C16="","",CHOOSE(WEEKDAY(C16),"الأحد","الاثنين","الثلاثاء","الأربعاء","الخميس","الجمعة","السبت"))</f>
        <v/>
      </c>
      <c r="C16" s="70"/>
      <c r="D16" s="64"/>
      <c r="E16" s="71"/>
      <c r="F16" s="72"/>
      <c r="G16" s="73"/>
      <c r="H16" s="74"/>
      <c r="I16" s="74"/>
      <c r="J16" s="68" t="str">
        <f aca="false">IF(COUNTA(C16:D16)=0,"",ROUND(SUM(H$7:H16)-SUM(I$7:I16),2))</f>
        <v/>
      </c>
      <c r="K16" s="62"/>
      <c r="L16" s="64"/>
    </row>
    <row r="17" customFormat="false" ht="15" hidden="false" customHeight="false" outlineLevel="0" collapsed="false">
      <c r="B17" s="54" t="str">
        <f aca="false">IF(C17="","",CHOOSE(WEEKDAY(C17),"الأحد","الاثنين","الثلاثاء","الأربعاء","الخميس","الجمعة","السبت"))</f>
        <v/>
      </c>
      <c r="C17" s="70"/>
      <c r="D17" s="56"/>
      <c r="E17" s="71"/>
      <c r="F17" s="72"/>
      <c r="G17" s="73"/>
      <c r="H17" s="74"/>
      <c r="I17" s="74"/>
      <c r="J17" s="60" t="str">
        <f aca="false">IF(COUNTA(C17:D17)=0,"",ROUND(SUM(H$7:H17)-SUM(I$7:I17),2))</f>
        <v/>
      </c>
      <c r="K17" s="54"/>
      <c r="L17" s="56"/>
    </row>
    <row r="18" customFormat="false" ht="15" hidden="false" customHeight="false" outlineLevel="0" collapsed="false">
      <c r="B18" s="62" t="str">
        <f aca="false">IF(C18="","",CHOOSE(WEEKDAY(C18),"الأحد","الاثنين","الثلاثاء","الأربعاء","الخميس","الجمعة","السبت"))</f>
        <v/>
      </c>
      <c r="C18" s="70"/>
      <c r="D18" s="64"/>
      <c r="E18" s="71"/>
      <c r="F18" s="72"/>
      <c r="G18" s="73"/>
      <c r="H18" s="74"/>
      <c r="I18" s="74"/>
      <c r="J18" s="68" t="str">
        <f aca="false">IF(COUNTA(C18:D18)=0,"",ROUND(SUM(H$7:H18)-SUM(I$7:I18),2))</f>
        <v/>
      </c>
      <c r="K18" s="62"/>
      <c r="L18" s="64"/>
    </row>
    <row r="19" customFormat="false" ht="15" hidden="false" customHeight="false" outlineLevel="0" collapsed="false">
      <c r="B19" s="54" t="str">
        <f aca="false">IF(C19="","",CHOOSE(WEEKDAY(C19),"الأحد","الاثنين","الثلاثاء","الأربعاء","الخميس","الجمعة","السبت"))</f>
        <v/>
      </c>
      <c r="C19" s="70"/>
      <c r="D19" s="56"/>
      <c r="E19" s="71"/>
      <c r="F19" s="72"/>
      <c r="G19" s="73"/>
      <c r="H19" s="74"/>
      <c r="I19" s="74"/>
      <c r="J19" s="60" t="str">
        <f aca="false">IF(COUNTA(C19:D19)=0,"",ROUND(SUM(H$7:H19)-SUM(I$7:I19),2))</f>
        <v/>
      </c>
      <c r="K19" s="54"/>
      <c r="L19" s="56"/>
    </row>
    <row r="20" customFormat="false" ht="15" hidden="false" customHeight="false" outlineLevel="0" collapsed="false">
      <c r="B20" s="62" t="str">
        <f aca="false">IF(C20="","",CHOOSE(WEEKDAY(C20),"الأحد","الاثنين","الثلاثاء","الأربعاء","الخميس","الجمعة","السبت"))</f>
        <v/>
      </c>
      <c r="C20" s="70"/>
      <c r="D20" s="64"/>
      <c r="E20" s="71"/>
      <c r="F20" s="72"/>
      <c r="G20" s="73"/>
      <c r="H20" s="74"/>
      <c r="I20" s="74"/>
      <c r="J20" s="68" t="str">
        <f aca="false">IF(COUNTA(C20:D20)=0,"",ROUND(SUM(H$7:H20)-SUM(I$7:I20),2))</f>
        <v/>
      </c>
      <c r="K20" s="62"/>
      <c r="L20" s="64"/>
    </row>
    <row r="21" customFormat="false" ht="15" hidden="false" customHeight="false" outlineLevel="0" collapsed="false">
      <c r="B21" s="54" t="str">
        <f aca="false">IF(C21="","",CHOOSE(WEEKDAY(C21),"الأحد","الاثنين","الثلاثاء","الأربعاء","الخميس","الجمعة","السبت"))</f>
        <v/>
      </c>
      <c r="C21" s="70"/>
      <c r="D21" s="56"/>
      <c r="E21" s="71"/>
      <c r="F21" s="72"/>
      <c r="G21" s="73"/>
      <c r="H21" s="74"/>
      <c r="I21" s="74"/>
      <c r="J21" s="60" t="str">
        <f aca="false">IF(COUNTA(C21:D21)=0,"",ROUND(SUM(H$7:H21)-SUM(I$7:I21),2))</f>
        <v/>
      </c>
      <c r="K21" s="54"/>
      <c r="L21" s="56"/>
    </row>
    <row r="22" customFormat="false" ht="15" hidden="false" customHeight="false" outlineLevel="0" collapsed="false">
      <c r="B22" s="62" t="str">
        <f aca="false">IF(C22="","",CHOOSE(WEEKDAY(C22),"الأحد","الاثنين","الثلاثاء","الأربعاء","الخميس","الجمعة","السبت"))</f>
        <v/>
      </c>
      <c r="C22" s="70"/>
      <c r="D22" s="64"/>
      <c r="E22" s="71"/>
      <c r="F22" s="72"/>
      <c r="G22" s="73"/>
      <c r="H22" s="74"/>
      <c r="I22" s="74"/>
      <c r="J22" s="68" t="str">
        <f aca="false">IF(COUNTA(C22:D22)=0,"",ROUND(SUM(H$7:H22)-SUM(I$7:I22),2))</f>
        <v/>
      </c>
      <c r="K22" s="62"/>
      <c r="L22" s="64"/>
    </row>
    <row r="23" customFormat="false" ht="15" hidden="false" customHeight="false" outlineLevel="0" collapsed="false">
      <c r="B23" s="54" t="str">
        <f aca="false">IF(C23="","",CHOOSE(WEEKDAY(C23),"الأحد","الاثنين","الثلاثاء","الأربعاء","الخميس","الجمعة","السبت"))</f>
        <v/>
      </c>
      <c r="C23" s="70"/>
      <c r="D23" s="56"/>
      <c r="E23" s="71"/>
      <c r="F23" s="72"/>
      <c r="G23" s="73"/>
      <c r="H23" s="74"/>
      <c r="I23" s="74"/>
      <c r="J23" s="60" t="str">
        <f aca="false">IF(COUNTA(C23:D23)=0,"",ROUND(SUM(H$7:H23)-SUM(I$7:I23),2))</f>
        <v/>
      </c>
      <c r="K23" s="54"/>
      <c r="L23" s="56"/>
    </row>
    <row r="24" customFormat="false" ht="15" hidden="false" customHeight="false" outlineLevel="0" collapsed="false">
      <c r="B24" s="62" t="str">
        <f aca="false">IF(C24="","",CHOOSE(WEEKDAY(C24),"الأحد","الاثنين","الثلاثاء","الأربعاء","الخميس","الجمعة","السبت"))</f>
        <v/>
      </c>
      <c r="C24" s="70"/>
      <c r="D24" s="64"/>
      <c r="E24" s="71"/>
      <c r="F24" s="72"/>
      <c r="G24" s="73"/>
      <c r="H24" s="74"/>
      <c r="I24" s="74"/>
      <c r="J24" s="68" t="str">
        <f aca="false">IF(COUNTA(C24:D24)=0,"",ROUND(SUM(H$7:H24)-SUM(I$7:I24),2))</f>
        <v/>
      </c>
      <c r="K24" s="62"/>
      <c r="L24" s="64"/>
    </row>
    <row r="25" customFormat="false" ht="15" hidden="false" customHeight="false" outlineLevel="0" collapsed="false">
      <c r="B25" s="54" t="str">
        <f aca="false">IF(C25="","",CHOOSE(WEEKDAY(C25),"الأحد","الاثنين","الثلاثاء","الأربعاء","الخميس","الجمعة","السبت"))</f>
        <v/>
      </c>
      <c r="C25" s="70"/>
      <c r="D25" s="56"/>
      <c r="E25" s="71"/>
      <c r="F25" s="72"/>
      <c r="G25" s="73"/>
      <c r="H25" s="74"/>
      <c r="I25" s="74"/>
      <c r="J25" s="60" t="str">
        <f aca="false">IF(COUNTA(C25:D25)=0,"",ROUND(SUM(H$7:H25)-SUM(I$7:I25),2))</f>
        <v/>
      </c>
      <c r="K25" s="54"/>
      <c r="L25" s="56"/>
    </row>
    <row r="26" customFormat="false" ht="15" hidden="false" customHeight="false" outlineLevel="0" collapsed="false">
      <c r="B26" s="62" t="str">
        <f aca="false">IF(C26="","",CHOOSE(WEEKDAY(C26),"الأحد","الاثنين","الثلاثاء","الأربعاء","الخميس","الجمعة","السبت"))</f>
        <v/>
      </c>
      <c r="C26" s="70"/>
      <c r="D26" s="64"/>
      <c r="E26" s="71"/>
      <c r="F26" s="72"/>
      <c r="G26" s="73"/>
      <c r="H26" s="74"/>
      <c r="I26" s="74"/>
      <c r="J26" s="68" t="str">
        <f aca="false">IF(COUNTA(C26:D26)=0,"",ROUND(SUM(H$7:H26)-SUM(I$7:I26),2))</f>
        <v/>
      </c>
      <c r="K26" s="62"/>
      <c r="L26" s="64"/>
    </row>
    <row r="27" customFormat="false" ht="15" hidden="false" customHeight="false" outlineLevel="0" collapsed="false">
      <c r="B27" s="54" t="str">
        <f aca="false">IF(C27="","",CHOOSE(WEEKDAY(C27),"الأحد","الاثنين","الثلاثاء","الأربعاء","الخميس","الجمعة","السبت"))</f>
        <v/>
      </c>
      <c r="C27" s="70"/>
      <c r="D27" s="56"/>
      <c r="E27" s="71"/>
      <c r="F27" s="72"/>
      <c r="G27" s="73"/>
      <c r="H27" s="74"/>
      <c r="I27" s="74"/>
      <c r="J27" s="60" t="str">
        <f aca="false">IF(COUNTA(C27:D27)=0,"",ROUND(SUM(H$7:H27)-SUM(I$7:I27),2))</f>
        <v/>
      </c>
      <c r="K27" s="54"/>
      <c r="L27" s="56"/>
    </row>
    <row r="28" customFormat="false" ht="15" hidden="false" customHeight="false" outlineLevel="0" collapsed="false">
      <c r="B28" s="62" t="str">
        <f aca="false">IF(C28="","",CHOOSE(WEEKDAY(C28),"الأحد","الاثنين","الثلاثاء","الأربعاء","الخميس","الجمعة","السبت"))</f>
        <v/>
      </c>
      <c r="C28" s="70"/>
      <c r="D28" s="64"/>
      <c r="E28" s="71"/>
      <c r="F28" s="72"/>
      <c r="G28" s="73"/>
      <c r="H28" s="74"/>
      <c r="I28" s="74"/>
      <c r="J28" s="68" t="str">
        <f aca="false">IF(COUNTA(C28:D28)=0,"",ROUND(SUM(H$7:H28)-SUM(I$7:I28),2))</f>
        <v/>
      </c>
      <c r="K28" s="62"/>
      <c r="L28" s="64"/>
    </row>
    <row r="29" customFormat="false" ht="15" hidden="false" customHeight="false" outlineLevel="0" collapsed="false">
      <c r="B29" s="54" t="str">
        <f aca="false">IF(C29="","",CHOOSE(WEEKDAY(C29),"الأحد","الاثنين","الثلاثاء","الأربعاء","الخميس","الجمعة","السبت"))</f>
        <v/>
      </c>
      <c r="C29" s="70"/>
      <c r="D29" s="56"/>
      <c r="E29" s="71"/>
      <c r="F29" s="72"/>
      <c r="G29" s="73"/>
      <c r="H29" s="74"/>
      <c r="I29" s="74"/>
      <c r="J29" s="60" t="str">
        <f aca="false">IF(COUNTA(C29:D29)=0,"",ROUND(SUM(H$7:H29)-SUM(I$7:I29),2))</f>
        <v/>
      </c>
      <c r="K29" s="54"/>
      <c r="L29" s="56"/>
    </row>
    <row r="30" customFormat="false" ht="15" hidden="false" customHeight="false" outlineLevel="0" collapsed="false">
      <c r="B30" s="62" t="str">
        <f aca="false">IF(C30="","",CHOOSE(WEEKDAY(C30),"الأحد","الاثنين","الثلاثاء","الأربعاء","الخميس","الجمعة","السبت"))</f>
        <v/>
      </c>
      <c r="C30" s="70"/>
      <c r="D30" s="64"/>
      <c r="E30" s="71"/>
      <c r="F30" s="72"/>
      <c r="G30" s="73"/>
      <c r="H30" s="74"/>
      <c r="I30" s="74"/>
      <c r="J30" s="68" t="str">
        <f aca="false">IF(COUNTA(C30:D30)=0,"",ROUND(SUM(H$7:H30)-SUM(I$7:I30),2))</f>
        <v/>
      </c>
      <c r="K30" s="62"/>
      <c r="L30" s="64"/>
    </row>
    <row r="31" customFormat="false" ht="15" hidden="false" customHeight="false" outlineLevel="0" collapsed="false">
      <c r="B31" s="54" t="str">
        <f aca="false">IF(C31="","",CHOOSE(WEEKDAY(C31),"الأحد","الاثنين","الثلاثاء","الأربعاء","الخميس","الجمعة","السبت"))</f>
        <v/>
      </c>
      <c r="C31" s="70"/>
      <c r="D31" s="56"/>
      <c r="E31" s="71"/>
      <c r="F31" s="72"/>
      <c r="G31" s="73"/>
      <c r="H31" s="74"/>
      <c r="I31" s="74"/>
      <c r="J31" s="60" t="str">
        <f aca="false">IF(COUNTA(C31:D31)=0,"",ROUND(SUM(H$7:H31)-SUM(I$7:I31),2))</f>
        <v/>
      </c>
      <c r="K31" s="54"/>
      <c r="L31" s="56"/>
    </row>
    <row r="32" customFormat="false" ht="15" hidden="false" customHeight="false" outlineLevel="0" collapsed="false">
      <c r="B32" s="62" t="str">
        <f aca="false">IF(C32="","",CHOOSE(WEEKDAY(C32),"الأحد","الاثنين","الثلاثاء","الأربعاء","الخميس","الجمعة","السبت"))</f>
        <v/>
      </c>
      <c r="C32" s="70"/>
      <c r="D32" s="64"/>
      <c r="E32" s="71"/>
      <c r="F32" s="72"/>
      <c r="G32" s="73"/>
      <c r="H32" s="74"/>
      <c r="I32" s="74"/>
      <c r="J32" s="68" t="str">
        <f aca="false">IF(COUNTA(C32:D32)=0,"",ROUND(SUM(H$7:H32)-SUM(I$7:I32),2))</f>
        <v/>
      </c>
      <c r="K32" s="62"/>
      <c r="L32" s="64"/>
    </row>
    <row r="33" customFormat="false" ht="15" hidden="false" customHeight="false" outlineLevel="0" collapsed="false">
      <c r="B33" s="54" t="str">
        <f aca="false">IF(C33="","",CHOOSE(WEEKDAY(C33),"الأحد","الاثنين","الثلاثاء","الأربعاء","الخميس","الجمعة","السبت"))</f>
        <v/>
      </c>
      <c r="C33" s="70"/>
      <c r="D33" s="56"/>
      <c r="E33" s="71"/>
      <c r="F33" s="72"/>
      <c r="G33" s="73"/>
      <c r="H33" s="74"/>
      <c r="I33" s="74"/>
      <c r="J33" s="60" t="str">
        <f aca="false">IF(COUNTA(C33:D33)=0,"",ROUND(SUM(H$7:H33)-SUM(I$7:I33),2))</f>
        <v/>
      </c>
      <c r="K33" s="54"/>
      <c r="L33" s="56"/>
    </row>
    <row r="34" customFormat="false" ht="15" hidden="false" customHeight="false" outlineLevel="0" collapsed="false">
      <c r="B34" s="62" t="str">
        <f aca="false">IF(C34="","",CHOOSE(WEEKDAY(C34),"الأحد","الاثنين","الثلاثاء","الأربعاء","الخميس","الجمعة","السبت"))</f>
        <v/>
      </c>
      <c r="C34" s="70"/>
      <c r="D34" s="64"/>
      <c r="E34" s="71"/>
      <c r="F34" s="72"/>
      <c r="G34" s="73"/>
      <c r="H34" s="74"/>
      <c r="I34" s="74"/>
      <c r="J34" s="68" t="str">
        <f aca="false">IF(COUNTA(C34:D34)=0,"",ROUND(SUM(H$7:H34)-SUM(I$7:I34),2))</f>
        <v/>
      </c>
      <c r="K34" s="62"/>
      <c r="L34" s="64"/>
    </row>
    <row r="35" customFormat="false" ht="15" hidden="false" customHeight="false" outlineLevel="0" collapsed="false">
      <c r="B35" s="54" t="str">
        <f aca="false">IF(C35="","",CHOOSE(WEEKDAY(C35),"الأحد","الاثنين","الثلاثاء","الأربعاء","الخميس","الجمعة","السبت"))</f>
        <v/>
      </c>
      <c r="C35" s="70"/>
      <c r="D35" s="56"/>
      <c r="E35" s="71"/>
      <c r="F35" s="72"/>
      <c r="G35" s="73"/>
      <c r="H35" s="74"/>
      <c r="I35" s="74"/>
      <c r="J35" s="60" t="str">
        <f aca="false">IF(COUNTA(C35:D35)=0,"",ROUND(SUM(H$7:H35)-SUM(I$7:I35),2))</f>
        <v/>
      </c>
      <c r="K35" s="54"/>
      <c r="L35" s="56"/>
    </row>
    <row r="36" customFormat="false" ht="15" hidden="false" customHeight="false" outlineLevel="0" collapsed="false">
      <c r="B36" s="62" t="str">
        <f aca="false">IF(C36="","",CHOOSE(WEEKDAY(C36),"الأحد","الاثنين","الثلاثاء","الأربعاء","الخميس","الجمعة","السبت"))</f>
        <v/>
      </c>
      <c r="C36" s="70"/>
      <c r="D36" s="64"/>
      <c r="E36" s="71"/>
      <c r="F36" s="72"/>
      <c r="G36" s="73"/>
      <c r="H36" s="74"/>
      <c r="I36" s="74"/>
      <c r="J36" s="68" t="str">
        <f aca="false">IF(COUNTA(C36:D36)=0,"",ROUND(SUM(H$7:H36)-SUM(I$7:I36),2))</f>
        <v/>
      </c>
      <c r="K36" s="62"/>
      <c r="L36" s="64"/>
    </row>
    <row r="37" customFormat="false" ht="15" hidden="false" customHeight="false" outlineLevel="0" collapsed="false">
      <c r="B37" s="54" t="str">
        <f aca="false">IF(C37="","",CHOOSE(WEEKDAY(C37),"الأحد","الاثنين","الثلاثاء","الأربعاء","الخميس","الجمعة","السبت"))</f>
        <v/>
      </c>
      <c r="C37" s="70"/>
      <c r="D37" s="56"/>
      <c r="E37" s="71"/>
      <c r="F37" s="72"/>
      <c r="G37" s="73"/>
      <c r="H37" s="74"/>
      <c r="I37" s="74"/>
      <c r="J37" s="60" t="str">
        <f aca="false">IF(COUNTA(C37:D37)=0,"",ROUND(SUM(H$7:H37)-SUM(I$7:I37),2))</f>
        <v/>
      </c>
      <c r="K37" s="54"/>
      <c r="L37" s="56"/>
    </row>
    <row r="38" customFormat="false" ht="15" hidden="false" customHeight="false" outlineLevel="0" collapsed="false">
      <c r="B38" s="62" t="str">
        <f aca="false">IF(C38="","",CHOOSE(WEEKDAY(C38),"الأحد","الاثنين","الثلاثاء","الأربعاء","الخميس","الجمعة","السبت"))</f>
        <v/>
      </c>
      <c r="C38" s="70"/>
      <c r="D38" s="64"/>
      <c r="E38" s="71"/>
      <c r="F38" s="72"/>
      <c r="G38" s="73"/>
      <c r="H38" s="74"/>
      <c r="I38" s="74"/>
      <c r="J38" s="68" t="str">
        <f aca="false">IF(COUNTA(C38:D38)=0,"",ROUND(SUM(H$7:H38)-SUM(I$7:I38),2))</f>
        <v/>
      </c>
      <c r="K38" s="62"/>
      <c r="L38" s="64"/>
    </row>
    <row r="39" customFormat="false" ht="15" hidden="false" customHeight="false" outlineLevel="0" collapsed="false">
      <c r="B39" s="54" t="str">
        <f aca="false">IF(C39="","",CHOOSE(WEEKDAY(C39),"الأحد","الاثنين","الثلاثاء","الأربعاء","الخميس","الجمعة","السبت"))</f>
        <v/>
      </c>
      <c r="C39" s="70"/>
      <c r="D39" s="56"/>
      <c r="E39" s="71"/>
      <c r="F39" s="72"/>
      <c r="G39" s="73"/>
      <c r="H39" s="74"/>
      <c r="I39" s="74"/>
      <c r="J39" s="60" t="str">
        <f aca="false">IF(COUNTA(C39:D39)=0,"",ROUND(SUM(H$7:H39)-SUM(I$7:I39),2))</f>
        <v/>
      </c>
      <c r="K39" s="54"/>
      <c r="L39" s="56"/>
    </row>
    <row r="40" customFormat="false" ht="15" hidden="false" customHeight="false" outlineLevel="0" collapsed="false">
      <c r="B40" s="62" t="str">
        <f aca="false">IF(C40="","",CHOOSE(WEEKDAY(C40),"الأحد","الاثنين","الثلاثاء","الأربعاء","الخميس","الجمعة","السبت"))</f>
        <v/>
      </c>
      <c r="C40" s="70"/>
      <c r="D40" s="64"/>
      <c r="E40" s="71"/>
      <c r="F40" s="72"/>
      <c r="G40" s="73"/>
      <c r="H40" s="74"/>
      <c r="I40" s="74"/>
      <c r="J40" s="68" t="str">
        <f aca="false">IF(COUNTA(C40:D40)=0,"",ROUND(SUM(H$7:H40)-SUM(I$7:I40),2))</f>
        <v/>
      </c>
      <c r="K40" s="62"/>
      <c r="L40" s="64"/>
    </row>
    <row r="41" customFormat="false" ht="15" hidden="false" customHeight="false" outlineLevel="0" collapsed="false">
      <c r="B41" s="54" t="str">
        <f aca="false">IF(C41="","",CHOOSE(WEEKDAY(C41),"الأحد","الاثنين","الثلاثاء","الأربعاء","الخميس","الجمعة","السبت"))</f>
        <v/>
      </c>
      <c r="C41" s="70"/>
      <c r="D41" s="56"/>
      <c r="E41" s="71"/>
      <c r="F41" s="72"/>
      <c r="G41" s="73"/>
      <c r="H41" s="74"/>
      <c r="I41" s="74"/>
      <c r="J41" s="60" t="str">
        <f aca="false">IF(COUNTA(C41:D41)=0,"",ROUND(SUM(H$7:H41)-SUM(I$7:I41),2))</f>
        <v/>
      </c>
      <c r="K41" s="54"/>
      <c r="L41" s="56"/>
    </row>
    <row r="42" customFormat="false" ht="15" hidden="false" customHeight="false" outlineLevel="0" collapsed="false">
      <c r="B42" s="62" t="str">
        <f aca="false">IF(C42="","",CHOOSE(WEEKDAY(C42),"الأحد","الاثنين","الثلاثاء","الأربعاء","الخميس","الجمعة","السبت"))</f>
        <v/>
      </c>
      <c r="C42" s="70"/>
      <c r="D42" s="64"/>
      <c r="E42" s="71"/>
      <c r="F42" s="72"/>
      <c r="G42" s="73"/>
      <c r="H42" s="74"/>
      <c r="I42" s="74"/>
      <c r="J42" s="68" t="str">
        <f aca="false">IF(COUNTA(C42:D42)=0,"",ROUND(SUM(H$7:H42)-SUM(I$7:I42),2))</f>
        <v/>
      </c>
      <c r="K42" s="62"/>
      <c r="L42" s="64"/>
    </row>
    <row r="43" customFormat="false" ht="15" hidden="false" customHeight="false" outlineLevel="0" collapsed="false">
      <c r="B43" s="54" t="str">
        <f aca="false">IF(C43="","",CHOOSE(WEEKDAY(C43),"الأحد","الاثنين","الثلاثاء","الأربعاء","الخميس","الجمعة","السبت"))</f>
        <v/>
      </c>
      <c r="C43" s="70"/>
      <c r="D43" s="56"/>
      <c r="E43" s="71"/>
      <c r="F43" s="72"/>
      <c r="G43" s="73"/>
      <c r="H43" s="74"/>
      <c r="I43" s="74"/>
      <c r="J43" s="60" t="str">
        <f aca="false">IF(COUNTA(C43:D43)=0,"",ROUND(SUM(H$7:H43)-SUM(I$7:I43),2))</f>
        <v/>
      </c>
      <c r="K43" s="54"/>
      <c r="L43" s="56"/>
    </row>
    <row r="44" customFormat="false" ht="15" hidden="false" customHeight="false" outlineLevel="0" collapsed="false">
      <c r="B44" s="62" t="str">
        <f aca="false">IF(C44="","",CHOOSE(WEEKDAY(C44),"الأحد","الاثنين","الثلاثاء","الأربعاء","الخميس","الجمعة","السبت"))</f>
        <v/>
      </c>
      <c r="C44" s="70"/>
      <c r="D44" s="64"/>
      <c r="E44" s="71"/>
      <c r="F44" s="72"/>
      <c r="G44" s="73"/>
      <c r="H44" s="74"/>
      <c r="I44" s="74"/>
      <c r="J44" s="68" t="str">
        <f aca="false">IF(COUNTA(C44:D44)=0,"",ROUND(SUM(H$7:H44)-SUM(I$7:I44),2))</f>
        <v/>
      </c>
      <c r="K44" s="62"/>
      <c r="L44" s="64"/>
    </row>
    <row r="45" customFormat="false" ht="15" hidden="false" customHeight="false" outlineLevel="0" collapsed="false">
      <c r="B45" s="54" t="str">
        <f aca="false">IF(C45="","",CHOOSE(WEEKDAY(C45),"الأحد","الاثنين","الثلاثاء","الأربعاء","الخميس","الجمعة","السبت"))</f>
        <v/>
      </c>
      <c r="C45" s="70"/>
      <c r="D45" s="56"/>
      <c r="E45" s="71"/>
      <c r="F45" s="72"/>
      <c r="G45" s="73"/>
      <c r="H45" s="74"/>
      <c r="I45" s="74"/>
      <c r="J45" s="60" t="str">
        <f aca="false">IF(COUNTA(C45:D45)=0,"",ROUND(SUM(H$7:H45)-SUM(I$7:I45),2))</f>
        <v/>
      </c>
      <c r="K45" s="54"/>
      <c r="L45" s="56"/>
    </row>
    <row r="46" customFormat="false" ht="15" hidden="false" customHeight="false" outlineLevel="0" collapsed="false">
      <c r="B46" s="62" t="str">
        <f aca="false">IF(C46="","",CHOOSE(WEEKDAY(C46),"الأحد","الاثنين","الثلاثاء","الأربعاء","الخميس","الجمعة","السبت"))</f>
        <v/>
      </c>
      <c r="C46" s="70"/>
      <c r="D46" s="64"/>
      <c r="E46" s="71"/>
      <c r="F46" s="72"/>
      <c r="G46" s="73"/>
      <c r="H46" s="74"/>
      <c r="I46" s="74"/>
      <c r="J46" s="68" t="str">
        <f aca="false">IF(COUNTA(C46:D46)=0,"",ROUND(SUM(H$7:H46)-SUM(I$7:I46),2))</f>
        <v/>
      </c>
      <c r="K46" s="62"/>
      <c r="L46" s="64"/>
    </row>
    <row r="47" customFormat="false" ht="15" hidden="false" customHeight="false" outlineLevel="0" collapsed="false">
      <c r="B47" s="54" t="str">
        <f aca="false">IF(C47="","",CHOOSE(WEEKDAY(C47),"الأحد","الاثنين","الثلاثاء","الأربعاء","الخميس","الجمعة","السبت"))</f>
        <v/>
      </c>
      <c r="C47" s="70"/>
      <c r="D47" s="56"/>
      <c r="E47" s="71"/>
      <c r="F47" s="72"/>
      <c r="G47" s="73"/>
      <c r="H47" s="74"/>
      <c r="I47" s="74"/>
      <c r="J47" s="60" t="str">
        <f aca="false">IF(COUNTA(C47:D47)=0,"",ROUND(SUM(H$7:H47)-SUM(I$7:I47),2))</f>
        <v/>
      </c>
      <c r="K47" s="54"/>
      <c r="L47" s="56"/>
    </row>
    <row r="48" customFormat="false" ht="15" hidden="false" customHeight="false" outlineLevel="0" collapsed="false">
      <c r="B48" s="62" t="str">
        <f aca="false">IF(C48="","",CHOOSE(WEEKDAY(C48),"الأحد","الاثنين","الثلاثاء","الأربعاء","الخميس","الجمعة","السبت"))</f>
        <v/>
      </c>
      <c r="C48" s="70"/>
      <c r="D48" s="64"/>
      <c r="E48" s="71"/>
      <c r="F48" s="72"/>
      <c r="G48" s="73"/>
      <c r="H48" s="74"/>
      <c r="I48" s="74"/>
      <c r="J48" s="68" t="str">
        <f aca="false">IF(COUNTA(C48:D48)=0,"",ROUND(SUM(H$7:H48)-SUM(I$7:I48),2))</f>
        <v/>
      </c>
      <c r="K48" s="62"/>
      <c r="L48" s="64"/>
    </row>
  </sheetData>
  <mergeCells count="4">
    <mergeCell ref="B1:L1"/>
    <mergeCell ref="B2:L2"/>
    <mergeCell ref="B3:C4"/>
    <mergeCell ref="L3:L4"/>
  </mergeCells>
  <dataValidations count="2">
    <dataValidation allowBlank="true" errorStyle="stop" operator="between" showDropDown="false" showErrorMessage="false" showInputMessage="false" sqref="G7:G1000" type="list">
      <formula1>"0,1.15"</formula1>
      <formula2>0</formula2>
    </dataValidation>
    <dataValidation allowBlank="true" error="أدخل تاريخاً صحيحاً بصيغة يوم/شهر/سنة" errorStyle="stop" operator="between" showDropDown="false" showErrorMessage="true" showInputMessage="false" sqref="C7:C1000" type="date">
      <formula1>DATE(2020,1,1)</formula1>
      <formula2>DATE(2035,12,31)</formula2>
    </dataValidation>
  </dataValidations>
  <hyperlinks>
    <hyperlink ref="B5" r:id="rId1" location="'الملخص'!A1" display="← العودة للملخ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2026-10-31T08:47:40Z</dcterms:created>
  <dc:creator>openpyxl</dc:creator>
  <dc:description/>
  <dc:language>en-US</dc:language>
  <cp:lastModifiedBy/>
  <dcterms:modified xsi:type="dcterms:W3CDTF">2026-10-31T08:47:46Z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